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1_cut-off_14Aug26\"/>
    </mc:Choice>
  </mc:AlternateContent>
  <xr:revisionPtr revIDLastSave="0" documentId="13_ncr:1_{8CE6ADE7-FDC7-48EF-93AC-80A228EA8CC1}" xr6:coauthVersionLast="47" xr6:coauthVersionMax="47" xr10:uidLastSave="{00000000-0000-0000-0000-000000000000}"/>
  <bookViews>
    <workbookView xWindow="-110" yWindow="-110" windowWidth="25820" windowHeight="15500" firstSheet="1" activeTab="4" xr2:uid="{DC7D016A-7103-4FB4-BEC7-A584BDEDD643}"/>
  </bookViews>
  <sheets>
    <sheet name="Cut_Off" sheetId="5" state="hidden" r:id="rId1"/>
    <sheet name="Progress Summary" sheetId="2" r:id="rId2"/>
    <sheet name="Progress%" sheetId="3" r:id="rId3"/>
    <sheet name="S-Curves" sheetId="7" r:id="rId4"/>
    <sheet name="EDSR" sheetId="1" r:id="rId5"/>
    <sheet name="Overall S-Curves DDE Only" sheetId="10" state="hidden" r:id="rId6"/>
    <sheet name="Progress Summary DDE Normalise" sheetId="11" state="hidden" r:id="rId7"/>
    <sheet name="Review Cycle" sheetId="9" state="hidden" r:id="rId8"/>
    <sheet name="Sheet4" sheetId="4" state="hidden" r:id="rId9"/>
  </sheets>
  <definedNames>
    <definedName name="_______________________________________H1" localSheetId="5" hidden="1">{#N/A,#N/A,TRUE,"Mhr_Sum"}</definedName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5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5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5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5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5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5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5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5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5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5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5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5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5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5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5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5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5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5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5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5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5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5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5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5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5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5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5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5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5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5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5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5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5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5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5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5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5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5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5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5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5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5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5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5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5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5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5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5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5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5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5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5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5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5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5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5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5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5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5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5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5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5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5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5" hidden="1">{"WtList",#N/A,FALSE,"Process"}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5" hidden="1">{"EqList",#N/A,FALSE,"Process"}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5" hidden="1">{"WtList",#N/A,FALSE,"Process"}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5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5" hidden="1">{#N/A,#N/A,TRUE,"Mhr_Sum"}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5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5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5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5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5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5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5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5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5" hidden="1">{"WtList",#N/A,FALSE,"Process"}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5" hidden="1">{"EqList",#N/A,FALSE,"Process"}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5" hidden="1">{"WtList",#N/A,FALSE,"Process"}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5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5" hidden="1">{#N/A,#N/A,TRUE,"Mhr_Sum"}</definedName>
    <definedName name="_____________fsf2" localSheetId="3" hidden="1">{#N/A,#N/A,TRUE,"Mhr_Sum"}</definedName>
    <definedName name="_____________fsf2" hidden="1">{#N/A,#N/A,TRUE,"Mhr_Sum"}</definedName>
    <definedName name="_____________H1" localSheetId="5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5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5" hidden="1">{"WtList",#N/A,FALSE,"Process"}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5" hidden="1">{"EqList",#N/A,FALSE,"Process"}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5" hidden="1">{"WtList",#N/A,FALSE,"Process"}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5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5" hidden="1">{#N/A,#N/A,TRUE,"Mhr_Sum"}</definedName>
    <definedName name="____________fsf2" localSheetId="3" hidden="1">{#N/A,#N/A,TRUE,"Mhr_Sum"}</definedName>
    <definedName name="____________fsf2" hidden="1">{#N/A,#N/A,TRUE,"Mhr_Sum"}</definedName>
    <definedName name="____________H1" localSheetId="5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5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5" hidden="1">{"WtList",#N/A,FALSE,"Process"}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5" hidden="1">{"EqList",#N/A,FALSE,"Process"}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5" hidden="1">{"WtList",#N/A,FALSE,"Process"}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5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5" hidden="1">{#N/A,#N/A,TRUE,"Mhr_Sum"}</definedName>
    <definedName name="___________fsf2" localSheetId="3" hidden="1">{#N/A,#N/A,TRUE,"Mhr_Sum"}</definedName>
    <definedName name="___________fsf2" hidden="1">{#N/A,#N/A,TRUE,"Mhr_Sum"}</definedName>
    <definedName name="___________H1" localSheetId="5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5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5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5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5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5" hidden="1">{"WtList",#N/A,FALSE,"Process"}</definedName>
    <definedName name="__________IRT1" localSheetId="3" hidden="1">{"WtList",#N/A,FALSE,"Process"}</definedName>
    <definedName name="__________IRT1" hidden="1">{"WtList",#N/A,FALSE,"Process"}</definedName>
    <definedName name="__________IRT2" localSheetId="5" hidden="1">{"EqList",#N/A,FALSE,"Process"}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5" hidden="1">{"WtList",#N/A,FALSE,"Process"}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5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5" hidden="1">{#N/A,#N/A,TRUE,"Mhr_Sum"}</definedName>
    <definedName name="_________fsf2" localSheetId="3" hidden="1">{#N/A,#N/A,TRUE,"Mhr_Sum"}</definedName>
    <definedName name="_________fsf2" hidden="1">{#N/A,#N/A,TRUE,"Mhr_Sum"}</definedName>
    <definedName name="_________H1" localSheetId="5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5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5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5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5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5" hidden="1">{"WtList",#N/A,FALSE,"Process"}</definedName>
    <definedName name="________IRT1" localSheetId="3" hidden="1">{"WtList",#N/A,FALSE,"Process"}</definedName>
    <definedName name="________IRT1" hidden="1">{"WtList",#N/A,FALSE,"Process"}</definedName>
    <definedName name="________IRT2" localSheetId="5" hidden="1">{"EqList",#N/A,FALSE,"Process"}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5" hidden="1">{"WtList",#N/A,FALSE,"Process"}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5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5" hidden="1">{#N/A,#N/A,TRUE,"Mhr_Sum"}</definedName>
    <definedName name="_______fsf2" localSheetId="3" hidden="1">{#N/A,#N/A,TRUE,"Mhr_Sum"}</definedName>
    <definedName name="_______fsf2" hidden="1">{#N/A,#N/A,TRUE,"Mhr_Sum"}</definedName>
    <definedName name="_______H1" localSheetId="5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5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5" hidden="1">{"WtList",#N/A,FALSE,"Process"}</definedName>
    <definedName name="_______IRT1" localSheetId="3" hidden="1">{"WtList",#N/A,FALSE,"Process"}</definedName>
    <definedName name="_______IRT1" hidden="1">{"WtList",#N/A,FALSE,"Process"}</definedName>
    <definedName name="_______IRT2" localSheetId="5" hidden="1">{"EqList",#N/A,FALSE,"Process"}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5" hidden="1">{"WtList",#N/A,FALSE,"Process"}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5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5" hidden="1">{#N/A,#N/A,TRUE,"Mhr_Sum"}</definedName>
    <definedName name="______fsf2" localSheetId="3" hidden="1">{#N/A,#N/A,TRUE,"Mhr_Sum"}</definedName>
    <definedName name="______fsf2" hidden="1">{#N/A,#N/A,TRUE,"Mhr_Sum"}</definedName>
    <definedName name="______H1" localSheetId="5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5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5" hidden="1">{"WtList",#N/A,FALSE,"Process"}</definedName>
    <definedName name="______IRT1" localSheetId="3" hidden="1">{"WtList",#N/A,FALSE,"Process"}</definedName>
    <definedName name="______IRT1" hidden="1">{"WtList",#N/A,FALSE,"Process"}</definedName>
    <definedName name="______IRT2" localSheetId="5" hidden="1">{"EqList",#N/A,FALSE,"Process"}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5" hidden="1">{"WtList",#N/A,FALSE,"Process"}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5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5" hidden="1">{#N/A,#N/A,TRUE,"Mhr_Sum"}</definedName>
    <definedName name="_____fsf2" localSheetId="3" hidden="1">{#N/A,#N/A,TRUE,"Mhr_Sum"}</definedName>
    <definedName name="_____fsf2" hidden="1">{#N/A,#N/A,TRUE,"Mhr_Sum"}</definedName>
    <definedName name="_____H1" localSheetId="5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5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5" hidden="1">{"WtList",#N/A,FALSE,"Process"}</definedName>
    <definedName name="_____IRT1" localSheetId="3" hidden="1">{"WtList",#N/A,FALSE,"Process"}</definedName>
    <definedName name="_____IRT1" hidden="1">{"WtList",#N/A,FALSE,"Process"}</definedName>
    <definedName name="_____IRT2" localSheetId="5" hidden="1">{"EqList",#N/A,FALSE,"Process"}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5" hidden="1">{"WtList",#N/A,FALSE,"Process"}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5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5" hidden="1">{#N/A,#N/A,TRUE,"Mhr_Sum"}</definedName>
    <definedName name="____fsf2" localSheetId="3" hidden="1">{#N/A,#N/A,TRUE,"Mhr_Sum"}</definedName>
    <definedName name="____fsf2" hidden="1">{#N/A,#N/A,TRUE,"Mhr_Sum"}</definedName>
    <definedName name="____H1" localSheetId="5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5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5" hidden="1">{"WtList",#N/A,FALSE,"Process"}</definedName>
    <definedName name="____IRT1" localSheetId="3" hidden="1">{"WtList",#N/A,FALSE,"Process"}</definedName>
    <definedName name="____IRT1" hidden="1">{"WtList",#N/A,FALSE,"Process"}</definedName>
    <definedName name="____IRT2" localSheetId="5" hidden="1">{"EqList",#N/A,FALSE,"Process"}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5" hidden="1">{"WtList",#N/A,FALSE,"Process"}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5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5" hidden="1">{#N/A,#N/A,TRUE,"Mhr_Sum"}</definedName>
    <definedName name="___fsf2" localSheetId="3" hidden="1">{#N/A,#N/A,TRUE,"Mhr_Sum"}</definedName>
    <definedName name="___fsf2" hidden="1">{#N/A,#N/A,TRUE,"Mhr_Sum"}</definedName>
    <definedName name="___H1" localSheetId="5" hidden="1">{#N/A,#N/A,TRUE,"Mhr_Sum"}</definedName>
    <definedName name="___H1" localSheetId="3" hidden="1">{#N/A,#N/A,TRUE,"Mhr_Sum"}</definedName>
    <definedName name="___H1" hidden="1">{#N/A,#N/A,TRUE,"Mhr_Sum"}</definedName>
    <definedName name="___H4" localSheetId="5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5" hidden="1">{"WtList",#N/A,FALSE,"Process"}</definedName>
    <definedName name="___IRT1" localSheetId="3" hidden="1">{"WtList",#N/A,FALSE,"Process"}</definedName>
    <definedName name="___IRT1" hidden="1">{"WtList",#N/A,FALSE,"Process"}</definedName>
    <definedName name="___IRT2" localSheetId="5" hidden="1">{"EqList",#N/A,FALSE,"Process"}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5" hidden="1">{"WtList",#N/A,FALSE,"Process"}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5" hidden="1">{"EqList",#N/A,FALSE,"Process"}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5" hidden="1">{"WtList",#N/A,FALSE,"Process"}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5" hidden="1">#REF!</definedName>
    <definedName name="__123Graph_A" localSheetId="3" hidden="1">#REF!</definedName>
    <definedName name="__123Graph_A" hidden="1">#REF!</definedName>
    <definedName name="__123Graph_ANCF" localSheetId="5" hidden="1">#REF!</definedName>
    <definedName name="__123Graph_ANCF" localSheetId="3" hidden="1">#REF!</definedName>
    <definedName name="__123Graph_ANCF" hidden="1">#REF!</definedName>
    <definedName name="__123Graph_B" localSheetId="5" hidden="1">#REF!</definedName>
    <definedName name="__123Graph_B" localSheetId="3" hidden="1">#REF!</definedName>
    <definedName name="__123Graph_B" hidden="1">#REF!</definedName>
    <definedName name="__123Graph_BNCF" localSheetId="5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5" hidden="1">{#N/A,#N/A,TRUE,"Mhr_Sum"}</definedName>
    <definedName name="__fsf2" localSheetId="3" hidden="1">{#N/A,#N/A,TRUE,"Mhr_Sum"}</definedName>
    <definedName name="__fsf2" hidden="1">{#N/A,#N/A,TRUE,"Mhr_Sum"}</definedName>
    <definedName name="__H1" localSheetId="5" hidden="1">{#N/A,#N/A,TRUE,"Mhr_Sum"}</definedName>
    <definedName name="__H1" localSheetId="3" hidden="1">{#N/A,#N/A,TRUE,"Mhr_Sum"}</definedName>
    <definedName name="__H1" hidden="1">{#N/A,#N/A,TRUE,"Mhr_Sum"}</definedName>
    <definedName name="__H4" localSheetId="5" hidden="1">{#N/A,#N/A,TRUE,"Mhr_Sum"}</definedName>
    <definedName name="__H4" localSheetId="3" hidden="1">{#N/A,#N/A,TRUE,"Mhr_Sum"}</definedName>
    <definedName name="__H4" hidden="1">{#N/A,#N/A,TRUE,"Mhr_Sum"}</definedName>
    <definedName name="__IRT1" localSheetId="5" hidden="1">{"WtList",#N/A,FALSE,"Process"}</definedName>
    <definedName name="__IRT1" localSheetId="3" hidden="1">{"WtList",#N/A,FALSE,"Process"}</definedName>
    <definedName name="__IRT1" hidden="1">{"WtList",#N/A,FALSE,"Process"}</definedName>
    <definedName name="__IRT2" localSheetId="5" hidden="1">{"EqList",#N/A,FALSE,"Process"}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5" hidden="1">{"WtList",#N/A,FALSE,"Process"}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5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5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5" hidden="1">#REF!</definedName>
    <definedName name="_2__123Graph_ACONTRAC._OIL" localSheetId="3" hidden="1">#REF!</definedName>
    <definedName name="_2__123Graph_ACONTRAC._OIL" hidden="1">#REF!</definedName>
    <definedName name="_2__123Graph_BCHART_2" localSheetId="5" hidden="1">#REF!</definedName>
    <definedName name="_2__123Graph_BCHART_2" localSheetId="3" hidden="1">#REF!</definedName>
    <definedName name="_2__123Graph_BCHART_2" hidden="1">#REF!</definedName>
    <definedName name="_3__123Graph_ACONTRAC._OIL" localSheetId="5" hidden="1">#REF!</definedName>
    <definedName name="_3__123Graph_ACONTRAC._OIL" localSheetId="3" hidden="1">#REF!</definedName>
    <definedName name="_3__123Graph_ACONTRAC._OIL" hidden="1">#REF!</definedName>
    <definedName name="_3__123Graph_CCHART_2" localSheetId="5" hidden="1">#REF!</definedName>
    <definedName name="_3__123Graph_CCHART_2" localSheetId="3" hidden="1">#REF!</definedName>
    <definedName name="_3__123Graph_CCHART_2" hidden="1">#REF!</definedName>
    <definedName name="_4__123Graph_BCONTRAC._OIL" localSheetId="5" hidden="1">#REF!</definedName>
    <definedName name="_4__123Graph_BCONTRAC._OIL" localSheetId="3" hidden="1">#REF!</definedName>
    <definedName name="_4__123Graph_BCONTRAC._OIL" hidden="1">#REF!</definedName>
    <definedName name="_4__123Graph_DCHART_2" localSheetId="5" hidden="1">#REF!</definedName>
    <definedName name="_4__123Graph_DCHART_2" localSheetId="3" hidden="1">#REF!</definedName>
    <definedName name="_4__123Graph_DCHART_2" hidden="1">#REF!</definedName>
    <definedName name="_5__123Graph_ECHART_2" localSheetId="5" hidden="1">#REF!</definedName>
    <definedName name="_5__123Graph_ECHART_2" localSheetId="3" hidden="1">#REF!</definedName>
    <definedName name="_5__123Graph_ECHART_2" hidden="1">#REF!</definedName>
    <definedName name="_6__123Graph_BCONTRAC._OIL" localSheetId="5" hidden="1">#REF!</definedName>
    <definedName name="_6__123Graph_BCONTRAC._OIL" localSheetId="3" hidden="1">#REF!</definedName>
    <definedName name="_6__123Graph_BCONTRAC._OIL" hidden="1">#REF!</definedName>
    <definedName name="_6__123Graph_CCONTRAC._OIL" localSheetId="5" hidden="1">#REF!</definedName>
    <definedName name="_6__123Graph_CCONTRAC._OIL" localSheetId="3" hidden="1">#REF!</definedName>
    <definedName name="_6__123Graph_CCONTRAC._OIL" hidden="1">#REF!</definedName>
    <definedName name="_6__123Graph_FCHART_2" localSheetId="5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5" hidden="1">#REF!</definedName>
    <definedName name="_8__123Graph_DCONTRAC._OIL" localSheetId="3" hidden="1">#REF!</definedName>
    <definedName name="_8__123Graph_DCONTRAC._OIL" hidden="1">#REF!</definedName>
    <definedName name="_9__123Graph_CCONTRAC._OIL" localSheetId="5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5" hidden="1">{#N/A,#N/A,TRUE,"Mhr_Sum"}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5" hidden="1">{"EqList",#N/A,FALSE,"Process"}</definedName>
    <definedName name="_eng3" localSheetId="3" hidden="1">{"EqList",#N/A,FALSE,"Process"}</definedName>
    <definedName name="_eng3" hidden="1">{"EqList",#N/A,FALSE,"Process"}</definedName>
    <definedName name="_Fill" localSheetId="5" hidden="1">#REF!</definedName>
    <definedName name="_Fill" localSheetId="3" hidden="1">#REF!</definedName>
    <definedName name="_Fill" hidden="1">#REF!</definedName>
    <definedName name="_xlnm._FilterDatabase" localSheetId="4" hidden="1">EDSR!$A$3:$V$242</definedName>
    <definedName name="_xlnm._FilterDatabase" localSheetId="5" hidden="1">#REF!</definedName>
    <definedName name="_xlnm._FilterDatabase" localSheetId="3" hidden="1">#REF!</definedName>
    <definedName name="_xlnm._FilterDatabase" hidden="1">#REF!</definedName>
    <definedName name="_fsf2" localSheetId="5" hidden="1">{#N/A,#N/A,TRUE,"Mhr_Sum"}</definedName>
    <definedName name="_fsf2" localSheetId="3" hidden="1">{#N/A,#N/A,TRUE,"Mhr_Sum"}</definedName>
    <definedName name="_fsf2" hidden="1">{#N/A,#N/A,TRUE,"Mhr_Sum"}</definedName>
    <definedName name="_H1" localSheetId="5" hidden="1">{#N/A,#N/A,TRUE,"Mhr_Sum"}</definedName>
    <definedName name="_H1" localSheetId="3" hidden="1">{#N/A,#N/A,TRUE,"Mhr_Sum"}</definedName>
    <definedName name="_H1" hidden="1">{#N/A,#N/A,TRUE,"Mhr_Sum"}</definedName>
    <definedName name="_H4" localSheetId="5" hidden="1">{#N/A,#N/A,TRUE,"Mhr_Sum"}</definedName>
    <definedName name="_H4" localSheetId="3" hidden="1">{#N/A,#N/A,TRUE,"Mhr_Sum"}</definedName>
    <definedName name="_H4" hidden="1">{#N/A,#N/A,TRUE,"Mhr_Sum"}</definedName>
    <definedName name="_IRT1" localSheetId="5" hidden="1">{"WtList",#N/A,FALSE,"Process"}</definedName>
    <definedName name="_IRT1" localSheetId="3" hidden="1">{"WtList",#N/A,FALSE,"Process"}</definedName>
    <definedName name="_IRT1" hidden="1">{"WtList",#N/A,FALSE,"Process"}</definedName>
    <definedName name="_IRT2" localSheetId="5" hidden="1">{"EqList",#N/A,FALSE,"Process"}</definedName>
    <definedName name="_IRT2" localSheetId="3" hidden="1">{"EqList",#N/A,FALSE,"Process"}</definedName>
    <definedName name="_IRT2" hidden="1">{"EqList",#N/A,FALSE,"Process"}</definedName>
    <definedName name="_irt3" localSheetId="5" hidden="1">{"WtList",#N/A,FALSE,"Process"}</definedName>
    <definedName name="_irt3" localSheetId="3" hidden="1">{"WtList",#N/A,FALSE,"Process"}</definedName>
    <definedName name="_irt3" hidden="1">{"WtList",#N/A,FALSE,"Process"}</definedName>
    <definedName name="_Key1" localSheetId="5" hidden="1">#REF!</definedName>
    <definedName name="_Key1" localSheetId="3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hidden="1">#REF!</definedName>
    <definedName name="_mmm1" localSheetId="5" hidden="1">{"EqList",#N/A,FALSE,"Process"}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5" hidden="1">#REF!</definedName>
    <definedName name="_ref2" localSheetId="3" hidden="1">#REF!</definedName>
    <definedName name="_ref2" hidden="1">#REF!</definedName>
    <definedName name="_Sort" localSheetId="5" hidden="1">#REF!</definedName>
    <definedName name="_Sort" localSheetId="3" hidden="1">#REF!</definedName>
    <definedName name="_Sort" hidden="1">#REF!</definedName>
    <definedName name="_Table1_In1" localSheetId="5" hidden="1">#REF!</definedName>
    <definedName name="_Table1_In1" localSheetId="3" hidden="1">#REF!</definedName>
    <definedName name="_Table1_In1" hidden="1">#REF!</definedName>
    <definedName name="_Table2_In1" localSheetId="5" hidden="1">#REF!</definedName>
    <definedName name="_Table2_In1" localSheetId="3" hidden="1">#REF!</definedName>
    <definedName name="_Table2_In1" hidden="1">#REF!</definedName>
    <definedName name="_VDR1" localSheetId="5" hidden="1">{"WtList",#N/A,FALSE,"Process"}</definedName>
    <definedName name="_VDR1" localSheetId="3" hidden="1">{"WtList",#N/A,FALSE,"Process"}</definedName>
    <definedName name="_VDR1" hidden="1">{"WtList",#N/A,FALSE,"Process"}</definedName>
    <definedName name="a" localSheetId="5" hidden="1">#REF!</definedName>
    <definedName name="a" localSheetId="3" hidden="1">#REF!</definedName>
    <definedName name="a" hidden="1">#REF!</definedName>
    <definedName name="AA" hidden="1">#REF!</definedName>
    <definedName name="aaa" localSheetId="5" hidden="1">{"EqList",#N/A,FALSE,"Process"}</definedName>
    <definedName name="aaa" localSheetId="3" hidden="1">{"EqList",#N/A,FALSE,"Process"}</definedName>
    <definedName name="aaa" hidden="1">{"EqList",#N/A,FALSE,"Process"}</definedName>
    <definedName name="aaaaa" localSheetId="5" hidden="1">{#N/A,#N/A,TRUE,"Mhr_Sum"}</definedName>
    <definedName name="aaaaa" localSheetId="3" hidden="1">{#N/A,#N/A,TRUE,"Mhr_Sum"}</definedName>
    <definedName name="aaaaa" hidden="1">{#N/A,#N/A,TRUE,"Mhr_Sum"}</definedName>
    <definedName name="aaaaaaaa" localSheetId="5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5" hidden="1">{#N/A,#N/A,TRUE,"Mhr_Sum"}</definedName>
    <definedName name="ab" localSheetId="3" hidden="1">{#N/A,#N/A,TRUE,"Mhr_Sum"}</definedName>
    <definedName name="ab" hidden="1">{#N/A,#N/A,TRUE,"Mhr_Sum"}</definedName>
    <definedName name="abc" localSheetId="5" hidden="1">{"WtList",#N/A,FALSE,"Process"}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5" hidden="1">{#N/A,#N/A,TRUE,"Mhr_Sum"}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5" hidden="1">{#N/A,#N/A,FALSE,"Mhr_Sum"}</definedName>
    <definedName name="ar" localSheetId="3" hidden="1">{#N/A,#N/A,FALSE,"Mhr_Sum"}</definedName>
    <definedName name="ar" hidden="1">{#N/A,#N/A,FALSE,"Mhr_Sum"}</definedName>
    <definedName name="ars" localSheetId="5" hidden="1">{#N/A,#N/A,TRUE,"Mhr_Sum"}</definedName>
    <definedName name="ars" localSheetId="3" hidden="1">{#N/A,#N/A,TRUE,"Mhr_Sum"}</definedName>
    <definedName name="ars" hidden="1">{#N/A,#N/A,TRUE,"Mhr_Sum"}</definedName>
    <definedName name="asasd" localSheetId="5" hidden="1">#REF!</definedName>
    <definedName name="asasd" localSheetId="3" hidden="1">#REF!</definedName>
    <definedName name="asasd" hidden="1">#REF!</definedName>
    <definedName name="ASD" localSheetId="5" hidden="1">{#N/A,#N/A,TRUE,"Mhr_Sum"}</definedName>
    <definedName name="ASD" localSheetId="3" hidden="1">{#N/A,#N/A,TRUE,"Mhr_Sum"}</definedName>
    <definedName name="ASD" hidden="1">{#N/A,#N/A,TRUE,"Mhr_Sum"}</definedName>
    <definedName name="asdsadfsd" localSheetId="5" hidden="1">#REF!</definedName>
    <definedName name="asdsadfsd" localSheetId="3" hidden="1">#REF!</definedName>
    <definedName name="asdsadfsd" hidden="1">#REF!</definedName>
    <definedName name="b" localSheetId="5" hidden="1">#REF!</definedName>
    <definedName name="b" localSheetId="3" hidden="1">#REF!</definedName>
    <definedName name="B">#REF!</definedName>
    <definedName name="barge" localSheetId="5" hidden="1">{#N/A,#N/A,FALSE,"Mhr_Sum"}</definedName>
    <definedName name="barge" localSheetId="3" hidden="1">{#N/A,#N/A,FALSE,"Mhr_Sum"}</definedName>
    <definedName name="barge" hidden="1">{#N/A,#N/A,FALSE,"Mhr_Sum"}</definedName>
    <definedName name="BB" localSheetId="5" hidden="1">#REF!</definedName>
    <definedName name="BB" localSheetId="3" hidden="1">#REF!</definedName>
    <definedName name="BB" hidden="1">#REF!</definedName>
    <definedName name="bsvv" localSheetId="5" hidden="1">{#N/A,#N/A,TRUE,"Mhr_Sum"}</definedName>
    <definedName name="bsvv" localSheetId="3" hidden="1">{#N/A,#N/A,TRUE,"Mhr_Sum"}</definedName>
    <definedName name="bsvv" hidden="1">{#N/A,#N/A,TRUE,"Mhr_Sum"}</definedName>
    <definedName name="bxcs" localSheetId="5" hidden="1">{#N/A,#N/A,FALSE,"Mhr_Sum"}</definedName>
    <definedName name="bxcs" localSheetId="3" hidden="1">{#N/A,#N/A,FALSE,"Mhr_Sum"}</definedName>
    <definedName name="bxcs" hidden="1">{#N/A,#N/A,FALSE,"Mhr_Sum"}</definedName>
    <definedName name="CC" localSheetId="5" hidden="1">#REF!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5">HLOOKUP(#REF!,#REF!,2,FALSE)</definedName>
    <definedName name="Cutoff_Date" localSheetId="3">HLOOKUP(#REF!,#REF!,2,FALSE)</definedName>
    <definedName name="Cutoff_Date">HLOOKUP(#REF!,#REF!,2,FALSE)</definedName>
    <definedName name="d" localSheetId="5" hidden="1">#REF!</definedName>
    <definedName name="d" localSheetId="3" hidden="1">#REF!</definedName>
    <definedName name="d" hidden="1">#REF!</definedName>
    <definedName name="DD" localSheetId="5" hidden="1">#REF!</definedName>
    <definedName name="DD" localSheetId="3" hidden="1">#REF!</definedName>
    <definedName name="DD" hidden="1">#REF!</definedName>
    <definedName name="ddd" localSheetId="5" hidden="1">{"WtList",#N/A,FALSE,"Process"}</definedName>
    <definedName name="ddd" localSheetId="3" hidden="1">{"WtList",#N/A,FALSE,"Process"}</definedName>
    <definedName name="ddd" hidden="1">{"WtList",#N/A,FALSE,"Process"}</definedName>
    <definedName name="DE" localSheetId="5" hidden="1">{#N/A,#N/A,FALSE,"Mhr_Sum"}</definedName>
    <definedName name="DE" localSheetId="3" hidden="1">{#N/A,#N/A,FALSE,"Mhr_Sum"}</definedName>
    <definedName name="DE" hidden="1">{#N/A,#N/A,FALSE,"Mhr_Sum"}</definedName>
    <definedName name="deva" localSheetId="5" hidden="1">{"WtList",#N/A,FALSE,"Process"}</definedName>
    <definedName name="deva" localSheetId="3" hidden="1">{"WtList",#N/A,FALSE,"Process"}</definedName>
    <definedName name="deva" hidden="1">{"WtList",#N/A,FALSE,"Process"}</definedName>
    <definedName name="dfg" localSheetId="5" hidden="1">{"EqList",#N/A,FALSE,"Process"}</definedName>
    <definedName name="dfg" localSheetId="3" hidden="1">{"EqList",#N/A,FALSE,"Process"}</definedName>
    <definedName name="dfg" hidden="1">{"EqList",#N/A,FALSE,"Process"}</definedName>
    <definedName name="e" localSheetId="5" hidden="1">#REF!</definedName>
    <definedName name="e" localSheetId="3" hidden="1">#REF!</definedName>
    <definedName name="e" hidden="1">#REF!</definedName>
    <definedName name="EE" localSheetId="5" hidden="1">#REF!</definedName>
    <definedName name="EE" localSheetId="3" hidden="1">#REF!</definedName>
    <definedName name="EE" hidden="1">#REF!</definedName>
    <definedName name="ERTRE" localSheetId="5" hidden="1">{#N/A,#N/A,TRUE,"Mhr_Sum"}</definedName>
    <definedName name="ERTRE" localSheetId="3" hidden="1">{#N/A,#N/A,TRUE,"Mhr_Sum"}</definedName>
    <definedName name="ERTRE" hidden="1">{#N/A,#N/A,TRUE,"Mhr_Sum"}</definedName>
    <definedName name="ertre3" localSheetId="5" hidden="1">{#N/A,#N/A,TRUE,"Mhr_Sum"}</definedName>
    <definedName name="ertre3" localSheetId="3" hidden="1">{#N/A,#N/A,TRUE,"Mhr_Sum"}</definedName>
    <definedName name="ertre3" hidden="1">{#N/A,#N/A,TRUE,"Mhr_Sum"}</definedName>
    <definedName name="f" localSheetId="5" hidden="1">#REF!</definedName>
    <definedName name="f" localSheetId="3" hidden="1">#REF!</definedName>
    <definedName name="f" hidden="1">#REF!</definedName>
    <definedName name="fd" localSheetId="5" hidden="1">{#N/A,#N/A,TRUE,"Mhr_Sum"}</definedName>
    <definedName name="fd" localSheetId="3" hidden="1">{#N/A,#N/A,TRUE,"Mhr_Sum"}</definedName>
    <definedName name="fd" hidden="1">{#N/A,#N/A,TRUE,"Mhr_Sum"}</definedName>
    <definedName name="fdisdfs" localSheetId="5" hidden="1">{#N/A,#N/A,FALSE,"Mhr_Sum"}</definedName>
    <definedName name="fdisdfs" localSheetId="3" hidden="1">{#N/A,#N/A,FALSE,"Mhr_Sum"}</definedName>
    <definedName name="fdisdfs" hidden="1">{#N/A,#N/A,FALSE,"Mhr_Sum"}</definedName>
    <definedName name="FF" localSheetId="5" hidden="1">#REF!</definedName>
    <definedName name="FF" localSheetId="3" hidden="1">#REF!</definedName>
    <definedName name="FF" hidden="1">#REF!</definedName>
    <definedName name="FSD" localSheetId="5" hidden="1">{#N/A,#N/A,TRUE,"Mhr_Sum"}</definedName>
    <definedName name="FSD" localSheetId="3" hidden="1">{#N/A,#N/A,TRUE,"Mhr_Sum"}</definedName>
    <definedName name="FSD" hidden="1">{#N/A,#N/A,TRUE,"Mhr_Sum"}</definedName>
    <definedName name="FSF" localSheetId="5" hidden="1">{#N/A,#N/A,TRUE,"Mhr_Sum"}</definedName>
    <definedName name="FSF" localSheetId="3" hidden="1">{#N/A,#N/A,TRUE,"Mhr_Sum"}</definedName>
    <definedName name="FSF" hidden="1">{#N/A,#N/A,TRUE,"Mhr_Sum"}</definedName>
    <definedName name="FTsda" localSheetId="5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5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5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5" hidden="1">{#N/A,#N/A,TRUE,"Mhr_Sum"}</definedName>
    <definedName name="FTSDF2" localSheetId="3" hidden="1">{#N/A,#N/A,TRUE,"Mhr_Sum"}</definedName>
    <definedName name="FTSDF2" hidden="1">{#N/A,#N/A,TRUE,"Mhr_Sum"}</definedName>
    <definedName name="g" localSheetId="5" hidden="1">#REF!</definedName>
    <definedName name="g" localSheetId="3" hidden="1">#REF!</definedName>
    <definedName name="G">#REF!</definedName>
    <definedName name="GF" localSheetId="5" hidden="1">#REF!</definedName>
    <definedName name="GF" localSheetId="3" hidden="1">#REF!</definedName>
    <definedName name="GF" hidden="1">#REF!</definedName>
    <definedName name="gfgrfg" localSheetId="5" hidden="1">{"WtList",#N/A,FALSE,"Process"}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5">'Overall S-Curves DDE Only'!$A$7&amp;" | "&amp;'Overall S-Curves DDE Only'!$A$8&amp;IF('Overall S-Curves DDE Only'!$A$7="Structural Engineering"," | "&amp;'Overall S-Curves DDE Only'!$A$11,"")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5" hidden="1">{#N/A,#N/A,FALSE,"Mhr_Sum"}</definedName>
    <definedName name="GTESS" localSheetId="3" hidden="1">{#N/A,#N/A,FALSE,"Mhr_Sum"}</definedName>
    <definedName name="GTESS" hidden="1">{#N/A,#N/A,FALSE,"Mhr_Sum"}</definedName>
    <definedName name="h" localSheetId="5" hidden="1">#REF!</definedName>
    <definedName name="h" localSheetId="3" hidden="1">#REF!</definedName>
    <definedName name="H">#REF!</definedName>
    <definedName name="HDFJHJ" localSheetId="5" hidden="1">{#N/A,#N/A,FALSE,"Mhr_Sum"}</definedName>
    <definedName name="HDFJHJ" localSheetId="3" hidden="1">{#N/A,#N/A,FALSE,"Mhr_Sum"}</definedName>
    <definedName name="HDFJHJ" hidden="1">{#N/A,#N/A,FALSE,"Mhr_Sum"}</definedName>
    <definedName name="i" localSheetId="5" hidden="1">#REF!</definedName>
    <definedName name="i" localSheetId="3" hidden="1">#REF!</definedName>
    <definedName name="I">#REF!</definedName>
    <definedName name="INS" localSheetId="5" hidden="1">{"WtList",#N/A,FALSE,"Process"}</definedName>
    <definedName name="INS" localSheetId="3" hidden="1">{"WtList",#N/A,FALSE,"Process"}</definedName>
    <definedName name="INS" hidden="1">{"WtList",#N/A,FALSE,"Process"}</definedName>
    <definedName name="INSPE" localSheetId="5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5" hidden="1">{"EqList",#N/A,FALSE,"Process"}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5" hidden="1">{"EqList",#N/A,FALSE,"Process"}</definedName>
    <definedName name="IR" localSheetId="3" hidden="1">{"EqList",#N/A,FALSE,"Process"}</definedName>
    <definedName name="IR" hidden="1">{"EqList",#N/A,FALSE,"Process"}</definedName>
    <definedName name="IRT" localSheetId="5" hidden="1">{"WtList",#N/A,FALSE,"Process"}</definedName>
    <definedName name="IRT" localSheetId="3" hidden="1">{"WtList",#N/A,FALSE,"Process"}</definedName>
    <definedName name="IRT" hidden="1">{"WtList",#N/A,FALSE,"Process"}</definedName>
    <definedName name="ITP" localSheetId="5" hidden="1">{"EqList",#N/A,FALSE,"Process"}</definedName>
    <definedName name="ITP" localSheetId="3" hidden="1">{"EqList",#N/A,FALSE,"Process"}</definedName>
    <definedName name="ITP" hidden="1">{"EqList",#N/A,FALSE,"Process"}</definedName>
    <definedName name="ITTP" localSheetId="5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5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5" hidden="1">#REF!</definedName>
    <definedName name="j" localSheetId="3" hidden="1">#REF!</definedName>
    <definedName name="j" hidden="1">#REF!</definedName>
    <definedName name="kg" localSheetId="5" hidden="1">{"WtList",#N/A,FALSE,"Process"}</definedName>
    <definedName name="kg" localSheetId="3" hidden="1">{"WtList",#N/A,FALSE,"Process"}</definedName>
    <definedName name="kg" hidden="1">{"WtList",#N/A,FALSE,"Process"}</definedName>
    <definedName name="legen" localSheetId="5" hidden="1">{"EqList",#N/A,FALSE,"Process"}</definedName>
    <definedName name="legen" localSheetId="3" hidden="1">{"EqList",#N/A,FALSE,"Process"}</definedName>
    <definedName name="legen" hidden="1">{"EqList",#N/A,FALSE,"Process"}</definedName>
    <definedName name="legen12" localSheetId="5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5" hidden="1">{"WtList",#N/A,FALSE,"Process"}</definedName>
    <definedName name="legends" localSheetId="3" hidden="1">{"WtList",#N/A,FALSE,"Process"}</definedName>
    <definedName name="legends" hidden="1">{"WtList",#N/A,FALSE,"Process"}</definedName>
    <definedName name="LF" localSheetId="5" hidden="1">{#N/A,#N/A,TRUE,"Mhr_Sum"}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5" hidden="1">{"EqList",#N/A,FALSE,"Process"}</definedName>
    <definedName name="line" localSheetId="3" hidden="1">{"EqList",#N/A,FALSE,"Process"}</definedName>
    <definedName name="line" hidden="1">{"EqList",#N/A,FALSE,"Process"}</definedName>
    <definedName name="loda" localSheetId="5" hidden="1">{#N/A,#N/A,TRUE,"Mhr_Sum"}</definedName>
    <definedName name="loda" localSheetId="3" hidden="1">{#N/A,#N/A,TRUE,"Mhr_Sum"}</definedName>
    <definedName name="loda" hidden="1">{#N/A,#N/A,TRUE,"Mhr_Sum"}</definedName>
    <definedName name="Material1" localSheetId="5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5" hidden="1">{"EqList",#N/A,FALSE,"Process"}</definedName>
    <definedName name="mm" localSheetId="3" hidden="1">{"EqList",#N/A,FALSE,"Process"}</definedName>
    <definedName name="mm" hidden="1">{"EqList",#N/A,FALSE,"Process"}</definedName>
    <definedName name="mmm" localSheetId="5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5" hidden="1">{"WtList",#N/A,FALSE,"Process"}</definedName>
    <definedName name="MSDS" localSheetId="3" hidden="1">{"WtList",#N/A,FALSE,"Process"}</definedName>
    <definedName name="MSDS" hidden="1">{"WtList",#N/A,FALSE,"Process"}</definedName>
    <definedName name="OK" localSheetId="5" hidden="1">#REF!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5" hidden="1">{"EqList",#N/A,FALSE,"Process"}</definedName>
    <definedName name="PIDs" localSheetId="3" hidden="1">{"EqList",#N/A,FALSE,"Process"}</definedName>
    <definedName name="PIDs" hidden="1">{"EqList",#N/A,FALSE,"Process"}</definedName>
    <definedName name="_xlnm.Print_Area" localSheetId="5">'Overall S-Curves DDE Only'!$B$3:$CS$18</definedName>
    <definedName name="_xlnm.Print_Area" localSheetId="3">'S-Curves'!$B$3:$DF$18</definedName>
    <definedName name="_xlnm.Print_Titles" localSheetId="4">EDSR!$1:$3</definedName>
    <definedName name="q" hidden="1">1</definedName>
    <definedName name="qd" localSheetId="5" hidden="1">{#N/A,#N/A,TRUE,"Mhr_Sum"}</definedName>
    <definedName name="qd" localSheetId="3" hidden="1">{#N/A,#N/A,TRUE,"Mhr_Sum"}</definedName>
    <definedName name="qd" hidden="1">{#N/A,#N/A,TRUE,"Mhr_Sum"}</definedName>
    <definedName name="QQ" localSheetId="5" hidden="1">{#N/A,#N/A,FALSE,"Mhr_Sum"}</definedName>
    <definedName name="QQ" localSheetId="3" hidden="1">{#N/A,#N/A,FALSE,"Mhr_Sum"}</definedName>
    <definedName name="QQ" hidden="1">{#N/A,#N/A,FALSE,"Mhr_Sum"}</definedName>
    <definedName name="raj" localSheetId="5" hidden="1">{"WtList",#N/A,FALSE,"Process"}</definedName>
    <definedName name="raj" localSheetId="3" hidden="1">{"WtList",#N/A,FALSE,"Process"}</definedName>
    <definedName name="raj" hidden="1">{"WtList",#N/A,FALSE,"Process"}</definedName>
    <definedName name="req" localSheetId="5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5" hidden="1">{#N/A,#N/A,FALSE,"Mhr_Sum"}</definedName>
    <definedName name="REWRE" localSheetId="3" hidden="1">{#N/A,#N/A,FALSE,"Mhr_Sum"}</definedName>
    <definedName name="REWRE" hidden="1">{#N/A,#N/A,FALSE,"Mhr_Sum"}</definedName>
    <definedName name="rg" localSheetId="5" hidden="1">{"WtList",#N/A,FALSE,"Process"}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5" hidden="1">{"EqList",#N/A,FALSE,"Process"}</definedName>
    <definedName name="rq" localSheetId="3" hidden="1">{"EqList",#N/A,FALSE,"Process"}</definedName>
    <definedName name="rq" hidden="1">{"EqList",#N/A,FALSE,"Process"}</definedName>
    <definedName name="rrr" localSheetId="5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5" hidden="1">#REF!</definedName>
    <definedName name="rrrrrrrrrr" localSheetId="3" hidden="1">#REF!</definedName>
    <definedName name="rrrrrrrrrr" hidden="1">#REF!</definedName>
    <definedName name="s" localSheetId="5" hidden="1">#REF!</definedName>
    <definedName name="s" localSheetId="3" hidden="1">#REF!</definedName>
    <definedName name="s" hidden="1">{#N/A,#N/A,FALSE,"Mhr_Sum"}</definedName>
    <definedName name="sadACc" localSheetId="5" hidden="1">{#N/A,#N/A,TRUE,"Mhr_Sum"}</definedName>
    <definedName name="sadACc" localSheetId="3" hidden="1">{#N/A,#N/A,TRUE,"Mhr_Sum"}</definedName>
    <definedName name="sadACc" hidden="1">{#N/A,#N/A,TRUE,"Mhr_Sum"}</definedName>
    <definedName name="sd" localSheetId="5" hidden="1">{#N/A,#N/A,TRUE,"Mhr_Sum"}</definedName>
    <definedName name="sd" localSheetId="3" hidden="1">{#N/A,#N/A,TRUE,"Mhr_Sum"}</definedName>
    <definedName name="sd" hidden="1">{#N/A,#N/A,TRUE,"Mhr_Sum"}</definedName>
    <definedName name="sdas" localSheetId="5" hidden="1">#REF!</definedName>
    <definedName name="sdas" localSheetId="3" hidden="1">#REF!</definedName>
    <definedName name="sdas" hidden="1">#REF!</definedName>
    <definedName name="sdfsadfsdf" localSheetId="5" hidden="1">{"EqList",#N/A,FALSE,"Process"}</definedName>
    <definedName name="sdfsadfsdf" localSheetId="3" hidden="1">{"EqList",#N/A,FALSE,"Process"}</definedName>
    <definedName name="sdfsadfsdf" hidden="1">{"EqList",#N/A,FALSE,"Process"}</definedName>
    <definedName name="sea" localSheetId="5" hidden="1">{"WtList",#N/A,FALSE,"Process"}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5" hidden="1">#REF!</definedName>
    <definedName name="SONIA" localSheetId="3" hidden="1">#REF!</definedName>
    <definedName name="SONIA" hidden="1">#REF!</definedName>
    <definedName name="spe" localSheetId="5" hidden="1">{"WtList",#N/A,FALSE,"Process"}</definedName>
    <definedName name="spe" localSheetId="3" hidden="1">{"WtList",#N/A,FALSE,"Process"}</definedName>
    <definedName name="spe" hidden="1">{"WtList",#N/A,FALSE,"Process"}</definedName>
    <definedName name="spec" localSheetId="5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5" hidden="1">{"EqList",#N/A,FALSE,"Process"}</definedName>
    <definedName name="stl" localSheetId="3" hidden="1">{"EqList",#N/A,FALSE,"Process"}</definedName>
    <definedName name="stl" hidden="1">{"EqList",#N/A,FALSE,"Process"}</definedName>
    <definedName name="stools" localSheetId="5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5" hidden="1">{#N/A,#N/A,FALSE,"Mhr_Sum"}</definedName>
    <definedName name="Summary" localSheetId="3" hidden="1">{#N/A,#N/A,FALSE,"Mhr_Sum"}</definedName>
    <definedName name="Summary" hidden="1">{#N/A,#N/A,FALSE,"Mhr_Sum"}</definedName>
    <definedName name="T" localSheetId="5" hidden="1">{"WtList",#N/A,FALSE,"Process"}</definedName>
    <definedName name="T" localSheetId="3" hidden="1">{"WtList",#N/A,FALSE,"Process"}</definedName>
    <definedName name="T" hidden="1">{"WtList",#N/A,FALSE,"Process"}</definedName>
    <definedName name="TEST" localSheetId="5" hidden="1">{"EqList",#N/A,FALSE,"Process"}</definedName>
    <definedName name="TEST" localSheetId="3" hidden="1">{"EqList",#N/A,FALSE,"Process"}</definedName>
    <definedName name="TEST" hidden="1">{"EqList",#N/A,FALSE,"Process"}</definedName>
    <definedName name="TESTPLAN" localSheetId="5" hidden="1">{"WtList",#N/A,FALSE,"Process"}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5" hidden="1">{"EqList",#N/A,FALSE,"Process"}</definedName>
    <definedName name="tools" localSheetId="3" hidden="1">{"EqList",#N/A,FALSE,"Process"}</definedName>
    <definedName name="tools" hidden="1">{"EqList",#N/A,FALSE,"Process"}</definedName>
    <definedName name="trtrrt" localSheetId="5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5" hidden="1">#REF!</definedName>
    <definedName name="var" localSheetId="3" hidden="1">#REF!</definedName>
    <definedName name="var" hidden="1">#REF!</definedName>
    <definedName name="vv" localSheetId="5" hidden="1">{#N/A,#N/A,TRUE,"Mhr_Sum"}</definedName>
    <definedName name="vv" localSheetId="3" hidden="1">{#N/A,#N/A,TRUE,"Mhr_Sum"}</definedName>
    <definedName name="vv" hidden="1">{#N/A,#N/A,TRUE,"Mhr_Sum"}</definedName>
    <definedName name="wrn.Mhr_Sum." localSheetId="5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5" hidden="1">{#N/A,#N/A,FALSE,"Mhr_Sum"}</definedName>
    <definedName name="wrn.mhr_summ." localSheetId="3" hidden="1">{#N/A,#N/A,FALSE,"Mhr_Sum"}</definedName>
    <definedName name="wrn.mhr_summ." hidden="1">{#N/A,#N/A,FALSE,"Mhr_Sum"}</definedName>
    <definedName name="wrn.Mhr_Tot." localSheetId="5" hidden="1">{#N/A,#N/A,TRUE,"Mhr_Sum"}</definedName>
    <definedName name="wrn.Mhr_Tot." localSheetId="3" hidden="1">{#N/A,#N/A,TRUE,"Mhr_Sum"}</definedName>
    <definedName name="wrn.Mhr_Tot." hidden="1">{#N/A,#N/A,TRUE,"Mhr_Sum"}</definedName>
    <definedName name="wrn.PUEQ." localSheetId="5" hidden="1">{"EqList",#N/A,FALSE,"Process"}</definedName>
    <definedName name="wrn.PUEQ." localSheetId="3" hidden="1">{"EqList",#N/A,FALSE,"Process"}</definedName>
    <definedName name="wrn.PUEQ." hidden="1">{"EqList",#N/A,FALSE,"Process"}</definedName>
    <definedName name="WRN.PUEQ1" localSheetId="5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5" hidden="1">{"WtList",#N/A,FALSE,"Process"}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5" hidden="1">{#N/A,#N/A,FALSE,"Mhr_Sum"}</definedName>
    <definedName name="WWWW" localSheetId="3" hidden="1">{#N/A,#N/A,FALSE,"Mhr_Sum"}</definedName>
    <definedName name="WWWW" hidden="1">{#N/A,#N/A,FALSE,"Mhr_Sum"}</definedName>
    <definedName name="x" localSheetId="5" hidden="1">{"EqList",#N/A,FALSE,"Process"}</definedName>
    <definedName name="x" localSheetId="3" hidden="1">{"EqList",#N/A,FALSE,"Process"}</definedName>
    <definedName name="x" hidden="1">{"EqList",#N/A,FALSE,"Process"}</definedName>
    <definedName name="xxx" localSheetId="5" hidden="1">{#N/A,#N/A,TRUE,"Mhr_Sum"}</definedName>
    <definedName name="xxx" localSheetId="3" hidden="1">{#N/A,#N/A,TRUE,"Mhr_Sum"}</definedName>
    <definedName name="xxx" hidden="1">{#N/A,#N/A,TRUE,"Mhr_Sum"}</definedName>
    <definedName name="XXXXX" localSheetId="5" hidden="1">#REF!</definedName>
    <definedName name="XXXXX" localSheetId="3" hidden="1">#REF!</definedName>
    <definedName name="XXXXX" hidden="1">#REF!</definedName>
    <definedName name="yyy" localSheetId="5" hidden="1">{"EqList",#N/A,FALSE,"Process"}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5" hidden="1">{"EqList",#N/A,FALSE,"Process"}</definedName>
    <definedName name="zadco" localSheetId="3" hidden="1">{"EqList",#N/A,FALSE,"Process"}</definedName>
    <definedName name="zadco" hidden="1">{"EqList",#N/A,FALSE,"Process"}</definedName>
    <definedName name="ZX" localSheetId="5" hidden="1">{"WtList",#N/A,FALSE,"Process"}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" l="1"/>
  <c r="F188" i="1" l="1"/>
  <c r="X40" i="1"/>
  <c r="N40" i="1"/>
  <c r="Q40" i="1" s="1"/>
  <c r="L40" i="1"/>
  <c r="H40" i="1"/>
  <c r="X39" i="1"/>
  <c r="N39" i="1"/>
  <c r="Q39" i="1" s="1"/>
  <c r="L39" i="1"/>
  <c r="H39" i="1"/>
  <c r="N44" i="1"/>
  <c r="Q44" i="1" s="1"/>
  <c r="X44" i="1"/>
  <c r="L44" i="1"/>
  <c r="H44" i="1"/>
  <c r="X19" i="1"/>
  <c r="Q19" i="1"/>
  <c r="L19" i="1"/>
  <c r="H19" i="1"/>
  <c r="X17" i="1"/>
  <c r="N17" i="1"/>
  <c r="Q17" i="1" s="1"/>
  <c r="L17" i="1"/>
  <c r="H17" i="1"/>
  <c r="F39" i="1" l="1"/>
  <c r="T39" i="1"/>
  <c r="U39" i="1" s="1"/>
  <c r="AA39" i="1" s="1"/>
  <c r="R39" i="1"/>
  <c r="Z39" i="1" s="1"/>
  <c r="F40" i="1"/>
  <c r="I40" i="1" s="1"/>
  <c r="T40" i="1"/>
  <c r="U40" i="1" s="1"/>
  <c r="AA40" i="1" s="1"/>
  <c r="R40" i="1"/>
  <c r="Z40" i="1" s="1"/>
  <c r="I39" i="1"/>
  <c r="O39" i="1"/>
  <c r="O40" i="1"/>
  <c r="T44" i="1"/>
  <c r="U44" i="1" s="1"/>
  <c r="AA44" i="1" s="1"/>
  <c r="R44" i="1"/>
  <c r="Z44" i="1" s="1"/>
  <c r="O44" i="1"/>
  <c r="Y44" i="1" s="1"/>
  <c r="F19" i="1"/>
  <c r="I19" i="1" s="1"/>
  <c r="T19" i="1"/>
  <c r="U19" i="1" s="1"/>
  <c r="AA19" i="1" s="1"/>
  <c r="R19" i="1"/>
  <c r="Z19" i="1" s="1"/>
  <c r="O19" i="1"/>
  <c r="T17" i="1"/>
  <c r="U17" i="1" s="1"/>
  <c r="AA17" i="1" s="1"/>
  <c r="R17" i="1"/>
  <c r="Z17" i="1" s="1"/>
  <c r="F17" i="1"/>
  <c r="I17" i="1" s="1"/>
  <c r="O17" i="1"/>
  <c r="G40" i="1" l="1"/>
  <c r="Y40" i="1"/>
  <c r="G39" i="1"/>
  <c r="Y39" i="1"/>
  <c r="F44" i="1"/>
  <c r="I44" i="1" s="1"/>
  <c r="G44" i="1"/>
  <c r="G19" i="1"/>
  <c r="Y19" i="1"/>
  <c r="Y17" i="1"/>
  <c r="G17" i="1"/>
  <c r="AA241" i="1" l="1"/>
  <c r="Z241" i="1"/>
  <c r="Y241" i="1"/>
  <c r="X241" i="1"/>
  <c r="AA240" i="1"/>
  <c r="Z240" i="1"/>
  <c r="Y240" i="1"/>
  <c r="X240" i="1"/>
  <c r="AA239" i="1"/>
  <c r="Z239" i="1"/>
  <c r="Y239" i="1"/>
  <c r="X239" i="1"/>
  <c r="AA238" i="1"/>
  <c r="Z238" i="1"/>
  <c r="Y238" i="1"/>
  <c r="X238" i="1"/>
  <c r="X237" i="1"/>
  <c r="X236" i="1"/>
  <c r="X235" i="1"/>
  <c r="X234" i="1"/>
  <c r="X233" i="1"/>
  <c r="X232" i="1"/>
  <c r="X231" i="1"/>
  <c r="Y230" i="1"/>
  <c r="X230" i="1"/>
  <c r="X229" i="1"/>
  <c r="X226" i="1"/>
  <c r="X225" i="1"/>
  <c r="Y224" i="1"/>
  <c r="X224" i="1"/>
  <c r="Y223" i="1"/>
  <c r="X223" i="1"/>
  <c r="X222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Y192" i="1"/>
  <c r="X192" i="1"/>
  <c r="Y191" i="1"/>
  <c r="X191" i="1"/>
  <c r="X189" i="1"/>
  <c r="X188" i="1"/>
  <c r="X187" i="1"/>
  <c r="X186" i="1"/>
  <c r="X185" i="1"/>
  <c r="X184" i="1"/>
  <c r="X183" i="1"/>
  <c r="X182" i="1"/>
  <c r="X180" i="1"/>
  <c r="X179" i="1"/>
  <c r="X178" i="1"/>
  <c r="X177" i="1"/>
  <c r="X176" i="1"/>
  <c r="X175" i="1"/>
  <c r="X174" i="1"/>
  <c r="X173" i="1"/>
  <c r="X172" i="1"/>
  <c r="X171" i="1"/>
  <c r="X168" i="1"/>
  <c r="X167" i="1"/>
  <c r="Y166" i="1"/>
  <c r="X166" i="1"/>
  <c r="X165" i="1"/>
  <c r="X164" i="1"/>
  <c r="X163" i="1"/>
  <c r="X162" i="1"/>
  <c r="Y161" i="1"/>
  <c r="X161" i="1"/>
  <c r="X160" i="1"/>
  <c r="Y159" i="1"/>
  <c r="X159" i="1"/>
  <c r="X158" i="1"/>
  <c r="X157" i="1"/>
  <c r="X156" i="1"/>
  <c r="X153" i="1"/>
  <c r="X152" i="1"/>
  <c r="X151" i="1"/>
  <c r="X150" i="1"/>
  <c r="X149" i="1"/>
  <c r="X147" i="1"/>
  <c r="X146" i="1"/>
  <c r="X145" i="1"/>
  <c r="X144" i="1"/>
  <c r="X143" i="1"/>
  <c r="X142" i="1"/>
  <c r="X141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Y123" i="1"/>
  <c r="X123" i="1"/>
  <c r="Y122" i="1"/>
  <c r="X122" i="1"/>
  <c r="Y121" i="1"/>
  <c r="X121" i="1"/>
  <c r="Y120" i="1"/>
  <c r="X120" i="1"/>
  <c r="Y119" i="1"/>
  <c r="X119" i="1"/>
  <c r="Y118" i="1"/>
  <c r="X118" i="1"/>
  <c r="Y117" i="1"/>
  <c r="X117" i="1"/>
  <c r="Y116" i="1"/>
  <c r="X116" i="1"/>
  <c r="Y115" i="1"/>
  <c r="X115" i="1"/>
  <c r="Y114" i="1"/>
  <c r="X114" i="1"/>
  <c r="Y113" i="1"/>
  <c r="X113" i="1"/>
  <c r="Y112" i="1"/>
  <c r="X112" i="1"/>
  <c r="Y111" i="1"/>
  <c r="X111" i="1"/>
  <c r="Y110" i="1"/>
  <c r="X110" i="1"/>
  <c r="Y109" i="1"/>
  <c r="X109" i="1"/>
  <c r="Y108" i="1"/>
  <c r="X108" i="1"/>
  <c r="Y107" i="1"/>
  <c r="X107" i="1"/>
  <c r="Y106" i="1"/>
  <c r="X106" i="1"/>
  <c r="Y105" i="1"/>
  <c r="X105" i="1"/>
  <c r="Y104" i="1"/>
  <c r="X104" i="1"/>
  <c r="Y103" i="1"/>
  <c r="X103" i="1"/>
  <c r="Y102" i="1"/>
  <c r="X102" i="1"/>
  <c r="Y101" i="1"/>
  <c r="X101" i="1"/>
  <c r="Y100" i="1"/>
  <c r="X100" i="1"/>
  <c r="Y99" i="1"/>
  <c r="X99" i="1"/>
  <c r="Y98" i="1"/>
  <c r="X98" i="1"/>
  <c r="Y97" i="1"/>
  <c r="X97" i="1"/>
  <c r="Y96" i="1"/>
  <c r="X96" i="1"/>
  <c r="Y95" i="1"/>
  <c r="X95" i="1"/>
  <c r="Y94" i="1"/>
  <c r="X94" i="1"/>
  <c r="Y93" i="1"/>
  <c r="X93" i="1"/>
  <c r="AA89" i="1"/>
  <c r="Z89" i="1"/>
  <c r="Y89" i="1"/>
  <c r="X89" i="1"/>
  <c r="AA88" i="1"/>
  <c r="Z88" i="1"/>
  <c r="Y88" i="1"/>
  <c r="X88" i="1"/>
  <c r="AA87" i="1"/>
  <c r="Z87" i="1"/>
  <c r="Y87" i="1"/>
  <c r="X87" i="1"/>
  <c r="X86" i="1"/>
  <c r="X85" i="1"/>
  <c r="AA84" i="1"/>
  <c r="Z84" i="1"/>
  <c r="Y84" i="1"/>
  <c r="X84" i="1"/>
  <c r="AA83" i="1"/>
  <c r="Z83" i="1"/>
  <c r="Y83" i="1"/>
  <c r="X83" i="1"/>
  <c r="X82" i="1"/>
  <c r="Y81" i="1"/>
  <c r="X81" i="1"/>
  <c r="Y80" i="1"/>
  <c r="X80" i="1"/>
  <c r="AA79" i="1"/>
  <c r="Z79" i="1"/>
  <c r="Y79" i="1"/>
  <c r="X79" i="1"/>
  <c r="Y78" i="1"/>
  <c r="X78" i="1"/>
  <c r="AA77" i="1"/>
  <c r="Z77" i="1"/>
  <c r="Y77" i="1"/>
  <c r="X77" i="1"/>
  <c r="AA76" i="1"/>
  <c r="Z76" i="1"/>
  <c r="Y76" i="1"/>
  <c r="X76" i="1"/>
  <c r="Y75" i="1"/>
  <c r="X75" i="1"/>
  <c r="AA74" i="1"/>
  <c r="Z74" i="1"/>
  <c r="Y74" i="1"/>
  <c r="X74" i="1"/>
  <c r="Y73" i="1"/>
  <c r="X73" i="1"/>
  <c r="AA72" i="1"/>
  <c r="Z72" i="1"/>
  <c r="Y72" i="1"/>
  <c r="X72" i="1"/>
  <c r="AA71" i="1"/>
  <c r="Z71" i="1"/>
  <c r="Y71" i="1"/>
  <c r="X71" i="1"/>
  <c r="AA70" i="1"/>
  <c r="Z70" i="1"/>
  <c r="Y70" i="1"/>
  <c r="X70" i="1"/>
  <c r="AA69" i="1"/>
  <c r="Z69" i="1"/>
  <c r="Y69" i="1"/>
  <c r="X69" i="1"/>
  <c r="AA68" i="1"/>
  <c r="Z68" i="1"/>
  <c r="Y68" i="1"/>
  <c r="X68" i="1"/>
  <c r="AA67" i="1"/>
  <c r="Z67" i="1"/>
  <c r="Y67" i="1"/>
  <c r="X67" i="1"/>
  <c r="AA66" i="1"/>
  <c r="Z66" i="1"/>
  <c r="Y66" i="1"/>
  <c r="X66" i="1"/>
  <c r="AA65" i="1"/>
  <c r="Z65" i="1"/>
  <c r="Y65" i="1"/>
  <c r="X65" i="1"/>
  <c r="AA64" i="1"/>
  <c r="Z64" i="1"/>
  <c r="Y64" i="1"/>
  <c r="X64" i="1"/>
  <c r="AA63" i="1"/>
  <c r="Z63" i="1"/>
  <c r="Y63" i="1"/>
  <c r="X63" i="1"/>
  <c r="AA62" i="1"/>
  <c r="Z62" i="1"/>
  <c r="Y62" i="1"/>
  <c r="X62" i="1"/>
  <c r="AA61" i="1"/>
  <c r="Z61" i="1"/>
  <c r="Y61" i="1"/>
  <c r="X61" i="1"/>
  <c r="AA60" i="1"/>
  <c r="Z60" i="1"/>
  <c r="Y60" i="1"/>
  <c r="X60" i="1"/>
  <c r="AA59" i="1"/>
  <c r="Z59" i="1"/>
  <c r="Y59" i="1"/>
  <c r="X59" i="1"/>
  <c r="AA58" i="1"/>
  <c r="Z58" i="1"/>
  <c r="Y58" i="1"/>
  <c r="X58" i="1"/>
  <c r="AA57" i="1"/>
  <c r="Z57" i="1"/>
  <c r="Y57" i="1"/>
  <c r="X57" i="1"/>
  <c r="AA56" i="1"/>
  <c r="Z56" i="1"/>
  <c r="Y56" i="1"/>
  <c r="X56" i="1"/>
  <c r="AA55" i="1"/>
  <c r="Z55" i="1"/>
  <c r="Y55" i="1"/>
  <c r="X55" i="1"/>
  <c r="AA54" i="1"/>
  <c r="Z54" i="1"/>
  <c r="Y54" i="1"/>
  <c r="X54" i="1"/>
  <c r="AA53" i="1"/>
  <c r="Z53" i="1"/>
  <c r="Y53" i="1"/>
  <c r="X53" i="1"/>
  <c r="Y52" i="1"/>
  <c r="X52" i="1"/>
  <c r="Z51" i="1"/>
  <c r="Y51" i="1"/>
  <c r="X51" i="1"/>
  <c r="Z50" i="1"/>
  <c r="Y50" i="1"/>
  <c r="X50" i="1"/>
  <c r="Z49" i="1"/>
  <c r="Y49" i="1"/>
  <c r="X49" i="1"/>
  <c r="Z48" i="1"/>
  <c r="Y48" i="1"/>
  <c r="X48" i="1"/>
  <c r="Z47" i="1"/>
  <c r="Y47" i="1"/>
  <c r="X47" i="1"/>
  <c r="Y46" i="1"/>
  <c r="X46" i="1"/>
  <c r="Y45" i="1"/>
  <c r="X45" i="1"/>
  <c r="X43" i="1"/>
  <c r="Y42" i="1"/>
  <c r="X42" i="1"/>
  <c r="Y41" i="1"/>
  <c r="X41" i="1"/>
  <c r="X38" i="1"/>
  <c r="X37" i="1"/>
  <c r="Y36" i="1"/>
  <c r="X36" i="1"/>
  <c r="Y35" i="1"/>
  <c r="X35" i="1"/>
  <c r="X33" i="1"/>
  <c r="AA32" i="1"/>
  <c r="Z32" i="1"/>
  <c r="Y32" i="1"/>
  <c r="X32" i="1"/>
  <c r="AA31" i="1"/>
  <c r="Z31" i="1"/>
  <c r="Y31" i="1"/>
  <c r="X31" i="1"/>
  <c r="X30" i="1"/>
  <c r="AA29" i="1"/>
  <c r="Z29" i="1"/>
  <c r="Y29" i="1"/>
  <c r="X29" i="1"/>
  <c r="AA27" i="1"/>
  <c r="Z27" i="1"/>
  <c r="Y27" i="1"/>
  <c r="X27" i="1"/>
  <c r="Y26" i="1"/>
  <c r="X26" i="1"/>
  <c r="AA25" i="1"/>
  <c r="Z25" i="1"/>
  <c r="Y25" i="1"/>
  <c r="X25" i="1"/>
  <c r="AA23" i="1"/>
  <c r="Z23" i="1"/>
  <c r="Y23" i="1"/>
  <c r="X23" i="1"/>
  <c r="Y22" i="1"/>
  <c r="X22" i="1"/>
  <c r="X21" i="1"/>
  <c r="Y20" i="1"/>
  <c r="X20" i="1"/>
  <c r="X18" i="1"/>
  <c r="X16" i="1"/>
  <c r="Y15" i="1"/>
  <c r="X15" i="1"/>
  <c r="X14" i="1"/>
  <c r="Y13" i="1"/>
  <c r="X13" i="1"/>
  <c r="Y12" i="1"/>
  <c r="X12" i="1"/>
  <c r="AA11" i="1"/>
  <c r="Z11" i="1"/>
  <c r="Y11" i="1"/>
  <c r="X11" i="1"/>
  <c r="AA10" i="1"/>
  <c r="Z10" i="1"/>
  <c r="Y10" i="1"/>
  <c r="X10" i="1"/>
  <c r="AA9" i="1"/>
  <c r="Z9" i="1"/>
  <c r="Y9" i="1"/>
  <c r="X9" i="1"/>
  <c r="AA8" i="1"/>
  <c r="Z8" i="1"/>
  <c r="Y8" i="1"/>
  <c r="X8" i="1"/>
  <c r="AA7" i="1"/>
  <c r="Z7" i="1"/>
  <c r="Y7" i="1"/>
  <c r="X7" i="1"/>
  <c r="AA6" i="1"/>
  <c r="Z6" i="1"/>
  <c r="Y6" i="1"/>
  <c r="X6" i="1"/>
  <c r="X5" i="1"/>
  <c r="Y4" i="1"/>
  <c r="X4" i="1"/>
  <c r="N34" i="1" l="1"/>
  <c r="O34" i="1" s="1"/>
  <c r="Y34" i="1" s="1"/>
  <c r="L34" i="1"/>
  <c r="X34" i="1" s="1"/>
  <c r="H34" i="1"/>
  <c r="N33" i="1"/>
  <c r="Q33" i="1" s="1"/>
  <c r="L33" i="1"/>
  <c r="H33" i="1"/>
  <c r="T33" i="1" l="1"/>
  <c r="U33" i="1" s="1"/>
  <c r="AA33" i="1" s="1"/>
  <c r="R33" i="1"/>
  <c r="Z33" i="1" s="1"/>
  <c r="Q34" i="1"/>
  <c r="J242" i="1"/>
  <c r="F33" i="1" l="1"/>
  <c r="I33" i="1" s="1"/>
  <c r="G33" i="1"/>
  <c r="Y33" i="1"/>
  <c r="T34" i="1"/>
  <c r="U34" i="1" s="1"/>
  <c r="AA34" i="1" s="1"/>
  <c r="R34" i="1"/>
  <c r="L28" i="1"/>
  <c r="X28" i="1" s="1"/>
  <c r="N26" i="1"/>
  <c r="Q26" i="1" s="1"/>
  <c r="L26" i="1"/>
  <c r="H26" i="1"/>
  <c r="Q30" i="1"/>
  <c r="L30" i="1"/>
  <c r="H30" i="1"/>
  <c r="N28" i="1"/>
  <c r="Q28" i="1" s="1"/>
  <c r="H28" i="1"/>
  <c r="N24" i="1"/>
  <c r="Q24" i="1" s="1"/>
  <c r="L24" i="1"/>
  <c r="X24" i="1" s="1"/>
  <c r="H24" i="1"/>
  <c r="H237" i="1"/>
  <c r="N237" i="1"/>
  <c r="Q237" i="1" s="1"/>
  <c r="L237" i="1"/>
  <c r="N164" i="1"/>
  <c r="O164" i="1" s="1"/>
  <c r="Y164" i="1" s="1"/>
  <c r="L164" i="1"/>
  <c r="H164" i="1"/>
  <c r="H205" i="1"/>
  <c r="L205" i="1"/>
  <c r="N205" i="1"/>
  <c r="H206" i="1"/>
  <c r="L206" i="1"/>
  <c r="N206" i="1"/>
  <c r="L207" i="1"/>
  <c r="X207" i="1" s="1"/>
  <c r="N207" i="1"/>
  <c r="H208" i="1"/>
  <c r="L208" i="1"/>
  <c r="X208" i="1" s="1"/>
  <c r="N208" i="1"/>
  <c r="H209" i="1"/>
  <c r="L209" i="1"/>
  <c r="X209" i="1" s="1"/>
  <c r="N209" i="1"/>
  <c r="H210" i="1"/>
  <c r="L210" i="1"/>
  <c r="X210" i="1" s="1"/>
  <c r="N210" i="1"/>
  <c r="H211" i="1"/>
  <c r="L211" i="1"/>
  <c r="X211" i="1" s="1"/>
  <c r="N211" i="1"/>
  <c r="H212" i="1"/>
  <c r="L212" i="1"/>
  <c r="X212" i="1" s="1"/>
  <c r="N212" i="1"/>
  <c r="H213" i="1"/>
  <c r="L213" i="1"/>
  <c r="X213" i="1" s="1"/>
  <c r="N213" i="1"/>
  <c r="L214" i="1"/>
  <c r="X214" i="1" s="1"/>
  <c r="N214" i="1"/>
  <c r="H215" i="1"/>
  <c r="L215" i="1"/>
  <c r="X215" i="1" s="1"/>
  <c r="N215" i="1"/>
  <c r="H216" i="1"/>
  <c r="L216" i="1"/>
  <c r="X216" i="1" s="1"/>
  <c r="N216" i="1"/>
  <c r="H217" i="1"/>
  <c r="L217" i="1"/>
  <c r="X217" i="1" s="1"/>
  <c r="N217" i="1"/>
  <c r="H218" i="1"/>
  <c r="L218" i="1"/>
  <c r="X218" i="1" s="1"/>
  <c r="N218" i="1"/>
  <c r="H219" i="1"/>
  <c r="L219" i="1"/>
  <c r="X219" i="1" s="1"/>
  <c r="N219" i="1"/>
  <c r="H220" i="1"/>
  <c r="L220" i="1"/>
  <c r="X220" i="1" s="1"/>
  <c r="N220" i="1"/>
  <c r="H221" i="1"/>
  <c r="L221" i="1"/>
  <c r="X221" i="1" s="1"/>
  <c r="N221" i="1"/>
  <c r="H188" i="1"/>
  <c r="I188" i="1" s="1"/>
  <c r="L188" i="1"/>
  <c r="N188" i="1"/>
  <c r="O188" i="1" s="1"/>
  <c r="Y188" i="1" s="1"/>
  <c r="H166" i="1"/>
  <c r="I166" i="1" s="1"/>
  <c r="L166" i="1"/>
  <c r="N166" i="1"/>
  <c r="O166" i="1" s="1"/>
  <c r="H167" i="1"/>
  <c r="I167" i="1" s="1"/>
  <c r="L167" i="1"/>
  <c r="N167" i="1"/>
  <c r="O167" i="1" s="1"/>
  <c r="Y167" i="1" s="1"/>
  <c r="H168" i="1"/>
  <c r="I168" i="1" s="1"/>
  <c r="L168" i="1"/>
  <c r="N168" i="1"/>
  <c r="O168" i="1" s="1"/>
  <c r="Y168" i="1" s="1"/>
  <c r="Y169" i="1"/>
  <c r="H146" i="1"/>
  <c r="L146" i="1"/>
  <c r="N146" i="1"/>
  <c r="Q146" i="1" s="1"/>
  <c r="H147" i="1"/>
  <c r="L147" i="1"/>
  <c r="N147" i="1"/>
  <c r="O147" i="1" s="1"/>
  <c r="Y147" i="1" s="1"/>
  <c r="N140" i="1"/>
  <c r="Q140" i="1" s="1"/>
  <c r="L140" i="1"/>
  <c r="X140" i="1" s="1"/>
  <c r="N92" i="1"/>
  <c r="O92" i="1" s="1"/>
  <c r="Y92" i="1" s="1"/>
  <c r="O206" i="1" l="1"/>
  <c r="Y206" i="1" s="1"/>
  <c r="O221" i="1"/>
  <c r="Y221" i="1" s="1"/>
  <c r="O205" i="1"/>
  <c r="Y205" i="1" s="1"/>
  <c r="F34" i="1"/>
  <c r="I34" i="1" s="1"/>
  <c r="G34" i="1"/>
  <c r="Z34" i="1"/>
  <c r="O217" i="1"/>
  <c r="Y217" i="1" s="1"/>
  <c r="O210" i="1"/>
  <c r="Y210" i="1" s="1"/>
  <c r="O218" i="1"/>
  <c r="Y218" i="1" s="1"/>
  <c r="O213" i="1"/>
  <c r="Y213" i="1" s="1"/>
  <c r="O209" i="1"/>
  <c r="Y209" i="1" s="1"/>
  <c r="Q220" i="1"/>
  <c r="T220" i="1" s="1"/>
  <c r="U220" i="1" s="1"/>
  <c r="AA220" i="1" s="1"/>
  <c r="O216" i="1"/>
  <c r="Y216" i="1" s="1"/>
  <c r="O212" i="1"/>
  <c r="Y212" i="1" s="1"/>
  <c r="Q208" i="1"/>
  <c r="R208" i="1" s="1"/>
  <c r="Z208" i="1" s="1"/>
  <c r="O219" i="1"/>
  <c r="Y219" i="1" s="1"/>
  <c r="O215" i="1"/>
  <c r="Y215" i="1" s="1"/>
  <c r="O211" i="1"/>
  <c r="Y211" i="1" s="1"/>
  <c r="Q207" i="1"/>
  <c r="R207" i="1" s="1"/>
  <c r="Z207" i="1" s="1"/>
  <c r="Q214" i="1"/>
  <c r="T214" i="1" s="1"/>
  <c r="T26" i="1"/>
  <c r="U26" i="1" s="1"/>
  <c r="AA26" i="1" s="1"/>
  <c r="R26" i="1"/>
  <c r="Z26" i="1" s="1"/>
  <c r="O26" i="1"/>
  <c r="T30" i="1"/>
  <c r="U30" i="1" s="1"/>
  <c r="AA30" i="1" s="1"/>
  <c r="R30" i="1"/>
  <c r="Z30" i="1" s="1"/>
  <c r="O30" i="1"/>
  <c r="Y30" i="1" s="1"/>
  <c r="T28" i="1"/>
  <c r="U28" i="1" s="1"/>
  <c r="AA28" i="1" s="1"/>
  <c r="R28" i="1"/>
  <c r="Z28" i="1" s="1"/>
  <c r="O28" i="1"/>
  <c r="Y28" i="1" s="1"/>
  <c r="O24" i="1"/>
  <c r="Y24" i="1" s="1"/>
  <c r="T24" i="1"/>
  <c r="U24" i="1" s="1"/>
  <c r="AA24" i="1" s="1"/>
  <c r="R24" i="1"/>
  <c r="Z24" i="1" s="1"/>
  <c r="T237" i="1"/>
  <c r="R237" i="1"/>
  <c r="Z237" i="1" s="1"/>
  <c r="O237" i="1"/>
  <c r="Y237" i="1" s="1"/>
  <c r="Q210" i="1"/>
  <c r="T210" i="1" s="1"/>
  <c r="U210" i="1" s="1"/>
  <c r="AA210" i="1" s="1"/>
  <c r="Q213" i="1"/>
  <c r="R213" i="1" s="1"/>
  <c r="Z213" i="1" s="1"/>
  <c r="Q219" i="1"/>
  <c r="R219" i="1" s="1"/>
  <c r="Z219" i="1" s="1"/>
  <c r="Q92" i="1"/>
  <c r="T92" i="1" s="1"/>
  <c r="U92" i="1" s="1"/>
  <c r="AA92" i="1" s="1"/>
  <c r="O146" i="1"/>
  <c r="Y146" i="1" s="1"/>
  <c r="AA148" i="1"/>
  <c r="Z148" i="1"/>
  <c r="AA154" i="1"/>
  <c r="O208" i="1"/>
  <c r="Y208" i="1" s="1"/>
  <c r="O214" i="1"/>
  <c r="Y214" i="1" s="1"/>
  <c r="Q147" i="1"/>
  <c r="O207" i="1"/>
  <c r="Y207" i="1" s="1"/>
  <c r="Z169" i="1"/>
  <c r="Q217" i="1"/>
  <c r="Q205" i="1"/>
  <c r="R205" i="1" s="1"/>
  <c r="Z205" i="1" s="1"/>
  <c r="Q221" i="1"/>
  <c r="T221" i="1" s="1"/>
  <c r="U221" i="1" s="1"/>
  <c r="AA221" i="1" s="1"/>
  <c r="Q209" i="1"/>
  <c r="T209" i="1" s="1"/>
  <c r="U209" i="1" s="1"/>
  <c r="AA209" i="1" s="1"/>
  <c r="Q206" i="1"/>
  <c r="Q164" i="1"/>
  <c r="R146" i="1"/>
  <c r="Z146" i="1" s="1"/>
  <c r="T146" i="1"/>
  <c r="U146" i="1" s="1"/>
  <c r="AA146" i="1" s="1"/>
  <c r="Q215" i="1"/>
  <c r="Q216" i="1"/>
  <c r="Q166" i="1"/>
  <c r="Q188" i="1"/>
  <c r="O220" i="1"/>
  <c r="Y220" i="1" s="1"/>
  <c r="Q211" i="1"/>
  <c r="Q218" i="1"/>
  <c r="Q212" i="1"/>
  <c r="Q167" i="1"/>
  <c r="Q168" i="1"/>
  <c r="T140" i="1"/>
  <c r="U140" i="1" s="1"/>
  <c r="AA140" i="1" s="1"/>
  <c r="R140" i="1"/>
  <c r="Z140" i="1" s="1"/>
  <c r="O140" i="1"/>
  <c r="Y140" i="1" s="1"/>
  <c r="H92" i="1"/>
  <c r="L92" i="1"/>
  <c r="X92" i="1" s="1"/>
  <c r="H93" i="1"/>
  <c r="L93" i="1"/>
  <c r="N165" i="1"/>
  <c r="Q165" i="1" s="1"/>
  <c r="L165" i="1"/>
  <c r="H165" i="1"/>
  <c r="F24" i="1" l="1"/>
  <c r="I24" i="1" s="1"/>
  <c r="F26" i="1"/>
  <c r="I26" i="1" s="1"/>
  <c r="R214" i="1"/>
  <c r="Z214" i="1" s="1"/>
  <c r="T207" i="1"/>
  <c r="U207" i="1" s="1"/>
  <c r="AA207" i="1" s="1"/>
  <c r="F221" i="1"/>
  <c r="I221" i="1" s="1"/>
  <c r="G26" i="1"/>
  <c r="F209" i="1"/>
  <c r="I209" i="1" s="1"/>
  <c r="R220" i="1"/>
  <c r="Z220" i="1" s="1"/>
  <c r="G28" i="1"/>
  <c r="F28" i="1"/>
  <c r="I28" i="1" s="1"/>
  <c r="T208" i="1"/>
  <c r="F210" i="1"/>
  <c r="I210" i="1" s="1"/>
  <c r="U214" i="1"/>
  <c r="AA214" i="1" s="1"/>
  <c r="F220" i="1"/>
  <c r="I220" i="1" s="1"/>
  <c r="G24" i="1"/>
  <c r="G30" i="1"/>
  <c r="F30" i="1"/>
  <c r="I30" i="1" s="1"/>
  <c r="T213" i="1"/>
  <c r="T219" i="1"/>
  <c r="U219" i="1" s="1"/>
  <c r="R210" i="1"/>
  <c r="U237" i="1"/>
  <c r="F237" i="1"/>
  <c r="I237" i="1" s="1"/>
  <c r="F92" i="1"/>
  <c r="I92" i="1" s="1"/>
  <c r="G146" i="1"/>
  <c r="R92" i="1"/>
  <c r="F146" i="1"/>
  <c r="I146" i="1" s="1"/>
  <c r="T205" i="1"/>
  <c r="R221" i="1"/>
  <c r="G220" i="1"/>
  <c r="T147" i="1"/>
  <c r="U147" i="1" s="1"/>
  <c r="AA147" i="1" s="1"/>
  <c r="R147" i="1"/>
  <c r="Z147" i="1" s="1"/>
  <c r="R209" i="1"/>
  <c r="R206" i="1"/>
  <c r="Z206" i="1" s="1"/>
  <c r="T206" i="1"/>
  <c r="U206" i="1" s="1"/>
  <c r="AA206" i="1" s="1"/>
  <c r="T217" i="1"/>
  <c r="U217" i="1" s="1"/>
  <c r="AA217" i="1" s="1"/>
  <c r="R217" i="1"/>
  <c r="Z217" i="1" s="1"/>
  <c r="T164" i="1"/>
  <c r="U164" i="1" s="1"/>
  <c r="AA164" i="1" s="1"/>
  <c r="R164" i="1"/>
  <c r="Z164" i="1" s="1"/>
  <c r="R188" i="1"/>
  <c r="Z188" i="1" s="1"/>
  <c r="T188" i="1"/>
  <c r="U188" i="1" s="1"/>
  <c r="AA188" i="1" s="1"/>
  <c r="R211" i="1"/>
  <c r="Z211" i="1" s="1"/>
  <c r="T211" i="1"/>
  <c r="T215" i="1"/>
  <c r="R215" i="1"/>
  <c r="Z215" i="1" s="1"/>
  <c r="R216" i="1"/>
  <c r="Z216" i="1" s="1"/>
  <c r="T216" i="1"/>
  <c r="R166" i="1"/>
  <c r="Z166" i="1" s="1"/>
  <c r="T166" i="1"/>
  <c r="U166" i="1" s="1"/>
  <c r="AA166" i="1" s="1"/>
  <c r="T212" i="1"/>
  <c r="R212" i="1"/>
  <c r="Z212" i="1" s="1"/>
  <c r="T218" i="1"/>
  <c r="R218" i="1"/>
  <c r="Z218" i="1" s="1"/>
  <c r="R168" i="1"/>
  <c r="Z168" i="1" s="1"/>
  <c r="T168" i="1"/>
  <c r="U168" i="1" s="1"/>
  <c r="AA168" i="1" s="1"/>
  <c r="R167" i="1"/>
  <c r="Z167" i="1" s="1"/>
  <c r="T167" i="1"/>
  <c r="U167" i="1" s="1"/>
  <c r="AA167" i="1" s="1"/>
  <c r="R165" i="1"/>
  <c r="Z165" i="1" s="1"/>
  <c r="T165" i="1"/>
  <c r="U165" i="1" s="1"/>
  <c r="AA165" i="1" s="1"/>
  <c r="O165" i="1"/>
  <c r="Y165" i="1" s="1"/>
  <c r="U205" i="1" l="1"/>
  <c r="F205" i="1"/>
  <c r="I205" i="1" s="1"/>
  <c r="F206" i="1"/>
  <c r="I206" i="1" s="1"/>
  <c r="G221" i="1"/>
  <c r="Z221" i="1"/>
  <c r="G237" i="1"/>
  <c r="AA237" i="1"/>
  <c r="G209" i="1"/>
  <c r="Z209" i="1"/>
  <c r="AA155" i="1"/>
  <c r="AA169" i="1"/>
  <c r="G210" i="1"/>
  <c r="Z210" i="1"/>
  <c r="G205" i="1"/>
  <c r="AA205" i="1"/>
  <c r="G219" i="1"/>
  <c r="AA219" i="1"/>
  <c r="G92" i="1"/>
  <c r="Z92" i="1"/>
  <c r="U208" i="1"/>
  <c r="F208" i="1"/>
  <c r="I208" i="1" s="1"/>
  <c r="U213" i="1"/>
  <c r="F213" i="1"/>
  <c r="I213" i="1" s="1"/>
  <c r="F219" i="1"/>
  <c r="I219" i="1" s="1"/>
  <c r="U216" i="1"/>
  <c r="AA216" i="1" s="1"/>
  <c r="F216" i="1"/>
  <c r="I216" i="1" s="1"/>
  <c r="U215" i="1"/>
  <c r="AA215" i="1" s="1"/>
  <c r="F215" i="1"/>
  <c r="I215" i="1" s="1"/>
  <c r="F217" i="1"/>
  <c r="I217" i="1" s="1"/>
  <c r="U211" i="1"/>
  <c r="F211" i="1"/>
  <c r="I211" i="1" s="1"/>
  <c r="U218" i="1"/>
  <c r="AA218" i="1" s="1"/>
  <c r="F218" i="1"/>
  <c r="I218" i="1" s="1"/>
  <c r="U212" i="1"/>
  <c r="AA212" i="1" s="1"/>
  <c r="F212" i="1"/>
  <c r="I212" i="1" s="1"/>
  <c r="G217" i="1"/>
  <c r="G147" i="1"/>
  <c r="G188" i="1"/>
  <c r="G166" i="1"/>
  <c r="G206" i="1"/>
  <c r="G167" i="1"/>
  <c r="F165" i="1"/>
  <c r="I165" i="1" s="1"/>
  <c r="G164" i="1"/>
  <c r="F147" i="1"/>
  <c r="I147" i="1" s="1"/>
  <c r="F164" i="1"/>
  <c r="I164" i="1" s="1"/>
  <c r="G215" i="1"/>
  <c r="G165" i="1"/>
  <c r="G168" i="1"/>
  <c r="G218" i="1" l="1"/>
  <c r="G212" i="1"/>
  <c r="G213" i="1"/>
  <c r="AA213" i="1"/>
  <c r="G208" i="1"/>
  <c r="AA208" i="1"/>
  <c r="G211" i="1"/>
  <c r="AA211" i="1"/>
  <c r="G216" i="1"/>
  <c r="L123" i="1"/>
  <c r="N123" i="1"/>
  <c r="Q123" i="1" s="1"/>
  <c r="H123" i="1"/>
  <c r="O123" i="1" l="1"/>
  <c r="T123" i="1"/>
  <c r="U123" i="1" s="1"/>
  <c r="AA123" i="1" s="1"/>
  <c r="R123" i="1"/>
  <c r="Z123" i="1" s="1"/>
  <c r="H11" i="1"/>
  <c r="L11" i="1"/>
  <c r="N11" i="1"/>
  <c r="Q11" i="1" l="1"/>
  <c r="O11" i="1"/>
  <c r="F9" i="3"/>
  <c r="G123" i="1" l="1"/>
  <c r="F123" i="1"/>
  <c r="I123" i="1" s="1"/>
  <c r="R11" i="1"/>
  <c r="T11" i="1"/>
  <c r="L45" i="1"/>
  <c r="L46" i="1"/>
  <c r="L47" i="1"/>
  <c r="L48" i="1"/>
  <c r="L49" i="1"/>
  <c r="L50" i="1"/>
  <c r="L51" i="1"/>
  <c r="L52" i="1"/>
  <c r="L43" i="1"/>
  <c r="N47" i="1"/>
  <c r="O47" i="1" s="1"/>
  <c r="N48" i="1"/>
  <c r="N49" i="1"/>
  <c r="O49" i="1" s="1"/>
  <c r="N50" i="1"/>
  <c r="O50" i="1" s="1"/>
  <c r="N51" i="1"/>
  <c r="O51" i="1" s="1"/>
  <c r="N52" i="1"/>
  <c r="O52" i="1" s="1"/>
  <c r="H47" i="1"/>
  <c r="H48" i="1"/>
  <c r="H49" i="1"/>
  <c r="H50" i="1"/>
  <c r="H51" i="1"/>
  <c r="H52" i="1"/>
  <c r="Q49" i="1" l="1"/>
  <c r="Q50" i="1"/>
  <c r="R50" i="1" s="1"/>
  <c r="Q52" i="1"/>
  <c r="U11" i="1"/>
  <c r="G11" i="1" s="1"/>
  <c r="F11" i="1"/>
  <c r="I11" i="1" s="1"/>
  <c r="Q47" i="1"/>
  <c r="T47" i="1" s="1"/>
  <c r="U47" i="1" s="1"/>
  <c r="AA47" i="1" s="1"/>
  <c r="T52" i="1"/>
  <c r="U52" i="1" s="1"/>
  <c r="AA52" i="1" s="1"/>
  <c r="R52" i="1"/>
  <c r="Q51" i="1"/>
  <c r="R51" i="1" s="1"/>
  <c r="Q48" i="1"/>
  <c r="O48" i="1"/>
  <c r="A12" i="7"/>
  <c r="G52" i="1" l="1"/>
  <c r="Z52" i="1"/>
  <c r="T50" i="1"/>
  <c r="R49" i="1"/>
  <c r="T49" i="1"/>
  <c r="T51" i="1"/>
  <c r="U51" i="1" s="1"/>
  <c r="R47" i="1"/>
  <c r="G47" i="1" s="1"/>
  <c r="F52" i="1"/>
  <c r="I52" i="1" s="1"/>
  <c r="R48" i="1"/>
  <c r="T48" i="1"/>
  <c r="F47" i="1"/>
  <c r="I47" i="1" s="1"/>
  <c r="N236" i="1"/>
  <c r="Q236" i="1" s="1"/>
  <c r="T236" i="1" s="1"/>
  <c r="N235" i="1"/>
  <c r="O235" i="1" s="1"/>
  <c r="Y235" i="1" s="1"/>
  <c r="N234" i="1"/>
  <c r="O234" i="1" s="1"/>
  <c r="Y234" i="1" s="1"/>
  <c r="N233" i="1"/>
  <c r="O233" i="1" s="1"/>
  <c r="Y233" i="1" s="1"/>
  <c r="N232" i="1"/>
  <c r="O232" i="1" s="1"/>
  <c r="Y232" i="1" s="1"/>
  <c r="N231" i="1"/>
  <c r="O231" i="1" s="1"/>
  <c r="Y231" i="1" s="1"/>
  <c r="N230" i="1"/>
  <c r="O230" i="1" s="1"/>
  <c r="N229" i="1"/>
  <c r="O229" i="1" s="1"/>
  <c r="Y229" i="1" s="1"/>
  <c r="N228" i="1"/>
  <c r="Q228" i="1" s="1"/>
  <c r="N227" i="1"/>
  <c r="Q227" i="1" s="1"/>
  <c r="T227" i="1" s="1"/>
  <c r="N226" i="1"/>
  <c r="O226" i="1" s="1"/>
  <c r="Y226" i="1" s="1"/>
  <c r="N225" i="1"/>
  <c r="O225" i="1" s="1"/>
  <c r="Y225" i="1" s="1"/>
  <c r="N224" i="1"/>
  <c r="O224" i="1" s="1"/>
  <c r="N223" i="1"/>
  <c r="O223" i="1" s="1"/>
  <c r="N222" i="1"/>
  <c r="O222" i="1" s="1"/>
  <c r="Y222" i="1" s="1"/>
  <c r="N204" i="1"/>
  <c r="O204" i="1" s="1"/>
  <c r="Y204" i="1" s="1"/>
  <c r="N203" i="1"/>
  <c r="O203" i="1" s="1"/>
  <c r="Y203" i="1" s="1"/>
  <c r="N202" i="1"/>
  <c r="O202" i="1" s="1"/>
  <c r="Y202" i="1" s="1"/>
  <c r="N201" i="1"/>
  <c r="O201" i="1" s="1"/>
  <c r="Y201" i="1" s="1"/>
  <c r="N200" i="1"/>
  <c r="O200" i="1" s="1"/>
  <c r="Y200" i="1" s="1"/>
  <c r="N199" i="1"/>
  <c r="Q199" i="1" s="1"/>
  <c r="T199" i="1" s="1"/>
  <c r="N198" i="1"/>
  <c r="Q198" i="1" s="1"/>
  <c r="T198" i="1" s="1"/>
  <c r="N197" i="1"/>
  <c r="O197" i="1" s="1"/>
  <c r="Y197" i="1" s="1"/>
  <c r="N196" i="1"/>
  <c r="O196" i="1" s="1"/>
  <c r="Y196" i="1" s="1"/>
  <c r="N195" i="1"/>
  <c r="Q195" i="1" s="1"/>
  <c r="T195" i="1" s="1"/>
  <c r="N194" i="1"/>
  <c r="O194" i="1" s="1"/>
  <c r="Y194" i="1" s="1"/>
  <c r="N193" i="1"/>
  <c r="O193" i="1" s="1"/>
  <c r="Y193" i="1" s="1"/>
  <c r="N192" i="1"/>
  <c r="O192" i="1" s="1"/>
  <c r="N191" i="1"/>
  <c r="O191" i="1" s="1"/>
  <c r="N190" i="1"/>
  <c r="O190" i="1" s="1"/>
  <c r="Y190" i="1" s="1"/>
  <c r="N189" i="1"/>
  <c r="O189" i="1" s="1"/>
  <c r="Y189" i="1" s="1"/>
  <c r="N187" i="1"/>
  <c r="O187" i="1" s="1"/>
  <c r="Y187" i="1" s="1"/>
  <c r="N186" i="1"/>
  <c r="Q186" i="1" s="1"/>
  <c r="T186" i="1" s="1"/>
  <c r="N185" i="1"/>
  <c r="Q185" i="1" s="1"/>
  <c r="T185" i="1" s="1"/>
  <c r="N184" i="1"/>
  <c r="Q184" i="1" s="1"/>
  <c r="T184" i="1" s="1"/>
  <c r="N183" i="1"/>
  <c r="Q183" i="1" s="1"/>
  <c r="N182" i="1"/>
  <c r="O182" i="1" s="1"/>
  <c r="Y182" i="1" s="1"/>
  <c r="N180" i="1"/>
  <c r="Q180" i="1" s="1"/>
  <c r="N179" i="1"/>
  <c r="O179" i="1" s="1"/>
  <c r="Y179" i="1" s="1"/>
  <c r="N178" i="1"/>
  <c r="O178" i="1" s="1"/>
  <c r="Y178" i="1" s="1"/>
  <c r="N177" i="1"/>
  <c r="O177" i="1" s="1"/>
  <c r="Y177" i="1" s="1"/>
  <c r="N176" i="1"/>
  <c r="O176" i="1" s="1"/>
  <c r="Y176" i="1" s="1"/>
  <c r="N175" i="1"/>
  <c r="O175" i="1" s="1"/>
  <c r="Y175" i="1" s="1"/>
  <c r="N174" i="1"/>
  <c r="O174" i="1" s="1"/>
  <c r="Y174" i="1" s="1"/>
  <c r="N173" i="1"/>
  <c r="O173" i="1" s="1"/>
  <c r="Y173" i="1" s="1"/>
  <c r="N172" i="1"/>
  <c r="Q172" i="1" s="1"/>
  <c r="T172" i="1" s="1"/>
  <c r="N171" i="1"/>
  <c r="O171" i="1" s="1"/>
  <c r="Y171" i="1" s="1"/>
  <c r="Y170" i="1"/>
  <c r="N163" i="1"/>
  <c r="O163" i="1" s="1"/>
  <c r="Y163" i="1" s="1"/>
  <c r="N162" i="1"/>
  <c r="O162" i="1" s="1"/>
  <c r="Y162" i="1" s="1"/>
  <c r="N161" i="1"/>
  <c r="O161" i="1" s="1"/>
  <c r="N160" i="1"/>
  <c r="O160" i="1" s="1"/>
  <c r="Y160" i="1" s="1"/>
  <c r="N159" i="1"/>
  <c r="O159" i="1" s="1"/>
  <c r="N158" i="1"/>
  <c r="O158" i="1" s="1"/>
  <c r="Y158" i="1" s="1"/>
  <c r="N157" i="1"/>
  <c r="O157" i="1" s="1"/>
  <c r="Y157" i="1" s="1"/>
  <c r="N156" i="1"/>
  <c r="Q156" i="1" s="1"/>
  <c r="T156" i="1" s="1"/>
  <c r="N153" i="1"/>
  <c r="O153" i="1" s="1"/>
  <c r="Y153" i="1" s="1"/>
  <c r="N152" i="1"/>
  <c r="O152" i="1" s="1"/>
  <c r="Y152" i="1" s="1"/>
  <c r="N151" i="1"/>
  <c r="O151" i="1" s="1"/>
  <c r="Y151" i="1" s="1"/>
  <c r="N150" i="1"/>
  <c r="Q150" i="1" s="1"/>
  <c r="T150" i="1" s="1"/>
  <c r="N149" i="1"/>
  <c r="Q149" i="1" s="1"/>
  <c r="T149" i="1" s="1"/>
  <c r="N145" i="1"/>
  <c r="O145" i="1" s="1"/>
  <c r="Y145" i="1" s="1"/>
  <c r="N144" i="1"/>
  <c r="O144" i="1" s="1"/>
  <c r="Y144" i="1" s="1"/>
  <c r="N143" i="1"/>
  <c r="O143" i="1" s="1"/>
  <c r="Y143" i="1" s="1"/>
  <c r="N142" i="1"/>
  <c r="O142" i="1" s="1"/>
  <c r="Y142" i="1" s="1"/>
  <c r="N141" i="1"/>
  <c r="O141" i="1" s="1"/>
  <c r="Y141" i="1" s="1"/>
  <c r="N139" i="1"/>
  <c r="O139" i="1" s="1"/>
  <c r="Y139" i="1" s="1"/>
  <c r="N138" i="1"/>
  <c r="O138" i="1" s="1"/>
  <c r="Y138" i="1" s="1"/>
  <c r="N137" i="1"/>
  <c r="O137" i="1" s="1"/>
  <c r="Y137" i="1" s="1"/>
  <c r="N136" i="1"/>
  <c r="Q136" i="1" s="1"/>
  <c r="T136" i="1" s="1"/>
  <c r="N135" i="1"/>
  <c r="Q135" i="1" s="1"/>
  <c r="T135" i="1" s="1"/>
  <c r="N134" i="1"/>
  <c r="Q134" i="1" s="1"/>
  <c r="T134" i="1" s="1"/>
  <c r="N133" i="1"/>
  <c r="Q133" i="1" s="1"/>
  <c r="N132" i="1"/>
  <c r="O132" i="1" s="1"/>
  <c r="Y132" i="1" s="1"/>
  <c r="N131" i="1"/>
  <c r="O131" i="1" s="1"/>
  <c r="Y131" i="1" s="1"/>
  <c r="N130" i="1"/>
  <c r="O130" i="1" s="1"/>
  <c r="Y130" i="1" s="1"/>
  <c r="N129" i="1"/>
  <c r="O129" i="1" s="1"/>
  <c r="Y129" i="1" s="1"/>
  <c r="N128" i="1"/>
  <c r="O128" i="1" s="1"/>
  <c r="Y128" i="1" s="1"/>
  <c r="N127" i="1"/>
  <c r="O127" i="1" s="1"/>
  <c r="Y127" i="1" s="1"/>
  <c r="N126" i="1"/>
  <c r="O126" i="1" s="1"/>
  <c r="Y126" i="1" s="1"/>
  <c r="N125" i="1"/>
  <c r="Q125" i="1" s="1"/>
  <c r="T125" i="1" s="1"/>
  <c r="N124" i="1"/>
  <c r="Q124" i="1" s="1"/>
  <c r="T124" i="1" s="1"/>
  <c r="N122" i="1"/>
  <c r="O122" i="1" s="1"/>
  <c r="N121" i="1"/>
  <c r="Q121" i="1" s="1"/>
  <c r="T121" i="1" s="1"/>
  <c r="N120" i="1"/>
  <c r="Q120" i="1" s="1"/>
  <c r="T120" i="1" s="1"/>
  <c r="N119" i="1"/>
  <c r="O119" i="1" s="1"/>
  <c r="N118" i="1"/>
  <c r="O118" i="1" s="1"/>
  <c r="N117" i="1"/>
  <c r="O117" i="1" s="1"/>
  <c r="N116" i="1"/>
  <c r="O116" i="1" s="1"/>
  <c r="N115" i="1"/>
  <c r="O115" i="1" s="1"/>
  <c r="N114" i="1"/>
  <c r="O114" i="1" s="1"/>
  <c r="N113" i="1"/>
  <c r="Q113" i="1" s="1"/>
  <c r="N112" i="1"/>
  <c r="O112" i="1" s="1"/>
  <c r="N111" i="1"/>
  <c r="Q111" i="1" s="1"/>
  <c r="N110" i="1"/>
  <c r="O110" i="1" s="1"/>
  <c r="N109" i="1"/>
  <c r="Q109" i="1" s="1"/>
  <c r="T109" i="1" s="1"/>
  <c r="N108" i="1"/>
  <c r="Q108" i="1" s="1"/>
  <c r="T108" i="1" s="1"/>
  <c r="N107" i="1"/>
  <c r="O107" i="1" s="1"/>
  <c r="N106" i="1"/>
  <c r="O106" i="1" s="1"/>
  <c r="N105" i="1"/>
  <c r="O105" i="1" s="1"/>
  <c r="N104" i="1"/>
  <c r="O104" i="1" s="1"/>
  <c r="N103" i="1"/>
  <c r="O103" i="1" s="1"/>
  <c r="N102" i="1"/>
  <c r="O102" i="1" s="1"/>
  <c r="N101" i="1"/>
  <c r="Q101" i="1" s="1"/>
  <c r="N100" i="1"/>
  <c r="O100" i="1" s="1"/>
  <c r="N99" i="1"/>
  <c r="O99" i="1" s="1"/>
  <c r="N98" i="1"/>
  <c r="Q98" i="1" s="1"/>
  <c r="N97" i="1"/>
  <c r="Q97" i="1" s="1"/>
  <c r="N96" i="1"/>
  <c r="O96" i="1" s="1"/>
  <c r="N95" i="1"/>
  <c r="O95" i="1" s="1"/>
  <c r="N94" i="1"/>
  <c r="O94" i="1" s="1"/>
  <c r="N93" i="1"/>
  <c r="N91" i="1"/>
  <c r="O91" i="1" s="1"/>
  <c r="Y91" i="1" s="1"/>
  <c r="N90" i="1"/>
  <c r="O90" i="1" s="1"/>
  <c r="Y90" i="1" s="1"/>
  <c r="N89" i="1"/>
  <c r="O89" i="1" s="1"/>
  <c r="N88" i="1"/>
  <c r="Q88" i="1" s="1"/>
  <c r="N87" i="1"/>
  <c r="O87" i="1" s="1"/>
  <c r="N86" i="1"/>
  <c r="Q86" i="1" s="1"/>
  <c r="T86" i="1" s="1"/>
  <c r="N85" i="1"/>
  <c r="Q85" i="1" s="1"/>
  <c r="T85" i="1" s="1"/>
  <c r="N84" i="1"/>
  <c r="Q84" i="1" s="1"/>
  <c r="T84" i="1" s="1"/>
  <c r="N83" i="1"/>
  <c r="Q83" i="1" s="1"/>
  <c r="T83" i="1" s="1"/>
  <c r="N82" i="1"/>
  <c r="O82" i="1" s="1"/>
  <c r="Y82" i="1" s="1"/>
  <c r="N81" i="1"/>
  <c r="O81" i="1" s="1"/>
  <c r="N80" i="1"/>
  <c r="O80" i="1" s="1"/>
  <c r="N79" i="1"/>
  <c r="O79" i="1" s="1"/>
  <c r="N78" i="1"/>
  <c r="O78" i="1" s="1"/>
  <c r="N77" i="1"/>
  <c r="O77" i="1" s="1"/>
  <c r="N76" i="1"/>
  <c r="O76" i="1" s="1"/>
  <c r="N75" i="1"/>
  <c r="O75" i="1" s="1"/>
  <c r="N74" i="1"/>
  <c r="Q74" i="1" s="1"/>
  <c r="T74" i="1" s="1"/>
  <c r="N73" i="1"/>
  <c r="Q73" i="1" s="1"/>
  <c r="T73" i="1" s="1"/>
  <c r="N72" i="1"/>
  <c r="Q72" i="1" s="1"/>
  <c r="T72" i="1" s="1"/>
  <c r="N71" i="1"/>
  <c r="O71" i="1" s="1"/>
  <c r="N70" i="1"/>
  <c r="O70" i="1" s="1"/>
  <c r="N46" i="1"/>
  <c r="Q46" i="1" s="1"/>
  <c r="N45" i="1"/>
  <c r="Q45" i="1" s="1"/>
  <c r="T45" i="1" s="1"/>
  <c r="N43" i="1"/>
  <c r="Q43" i="1" s="1"/>
  <c r="T43" i="1" s="1"/>
  <c r="N42" i="1"/>
  <c r="O42" i="1" s="1"/>
  <c r="N41" i="1"/>
  <c r="Q41" i="1" s="1"/>
  <c r="T41" i="1" s="1"/>
  <c r="N38" i="1"/>
  <c r="Q38" i="1" s="1"/>
  <c r="T38" i="1" s="1"/>
  <c r="N37" i="1"/>
  <c r="O37" i="1" s="1"/>
  <c r="Y37" i="1" s="1"/>
  <c r="N36" i="1"/>
  <c r="O36" i="1" s="1"/>
  <c r="N35" i="1"/>
  <c r="O35" i="1" s="1"/>
  <c r="N32" i="1"/>
  <c r="O32" i="1" s="1"/>
  <c r="N31" i="1"/>
  <c r="O31" i="1" s="1"/>
  <c r="N29" i="1"/>
  <c r="O29" i="1" s="1"/>
  <c r="N27" i="1"/>
  <c r="O27" i="1" s="1"/>
  <c r="N25" i="1"/>
  <c r="Q25" i="1" s="1"/>
  <c r="N23" i="1"/>
  <c r="O23" i="1" s="1"/>
  <c r="N22" i="1"/>
  <c r="Q22" i="1" s="1"/>
  <c r="T22" i="1" s="1"/>
  <c r="N21" i="1"/>
  <c r="O21" i="1" s="1"/>
  <c r="Y21" i="1" s="1"/>
  <c r="N20" i="1"/>
  <c r="Q20" i="1" s="1"/>
  <c r="N18" i="1"/>
  <c r="O18" i="1" s="1"/>
  <c r="Y18" i="1" s="1"/>
  <c r="N16" i="1"/>
  <c r="Q16" i="1" s="1"/>
  <c r="T16" i="1" s="1"/>
  <c r="N15" i="1"/>
  <c r="O15" i="1" s="1"/>
  <c r="N14" i="1"/>
  <c r="O14" i="1" s="1"/>
  <c r="Y14" i="1" s="1"/>
  <c r="N13" i="1"/>
  <c r="O13" i="1" s="1"/>
  <c r="N12" i="1"/>
  <c r="O12" i="1" s="1"/>
  <c r="N6" i="1"/>
  <c r="O6" i="1" s="1"/>
  <c r="N5" i="1"/>
  <c r="O5" i="1" s="1"/>
  <c r="Y5" i="1" s="1"/>
  <c r="N4" i="1"/>
  <c r="O4" i="1" s="1"/>
  <c r="L236" i="1"/>
  <c r="L235" i="1"/>
  <c r="L234" i="1"/>
  <c r="L233" i="1"/>
  <c r="L232" i="1"/>
  <c r="L231" i="1"/>
  <c r="L230" i="1"/>
  <c r="L229" i="1"/>
  <c r="L228" i="1"/>
  <c r="X228" i="1" s="1"/>
  <c r="L227" i="1"/>
  <c r="X227" i="1" s="1"/>
  <c r="L226" i="1"/>
  <c r="L225" i="1"/>
  <c r="L224" i="1"/>
  <c r="L223" i="1"/>
  <c r="L222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X190" i="1" s="1"/>
  <c r="L189" i="1"/>
  <c r="L187" i="1"/>
  <c r="L186" i="1"/>
  <c r="L185" i="1"/>
  <c r="L184" i="1"/>
  <c r="L183" i="1"/>
  <c r="L182" i="1"/>
  <c r="L180" i="1"/>
  <c r="L179" i="1"/>
  <c r="L178" i="1"/>
  <c r="L177" i="1"/>
  <c r="L176" i="1"/>
  <c r="L175" i="1"/>
  <c r="L174" i="1"/>
  <c r="L173" i="1"/>
  <c r="L172" i="1"/>
  <c r="L171" i="1"/>
  <c r="L163" i="1"/>
  <c r="L162" i="1"/>
  <c r="L161" i="1"/>
  <c r="L160" i="1"/>
  <c r="L159" i="1"/>
  <c r="L158" i="1"/>
  <c r="L157" i="1"/>
  <c r="L156" i="1"/>
  <c r="L153" i="1"/>
  <c r="L152" i="1"/>
  <c r="L151" i="1"/>
  <c r="L150" i="1"/>
  <c r="L149" i="1"/>
  <c r="L145" i="1"/>
  <c r="L144" i="1"/>
  <c r="L143" i="1"/>
  <c r="L142" i="1"/>
  <c r="L141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1" i="1"/>
  <c r="X91" i="1" s="1"/>
  <c r="L90" i="1"/>
  <c r="X90" i="1" s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42" i="1"/>
  <c r="L41" i="1"/>
  <c r="L38" i="1"/>
  <c r="L37" i="1"/>
  <c r="L36" i="1"/>
  <c r="L35" i="1"/>
  <c r="L32" i="1"/>
  <c r="L31" i="1"/>
  <c r="L29" i="1"/>
  <c r="L27" i="1"/>
  <c r="L25" i="1"/>
  <c r="L23" i="1"/>
  <c r="L22" i="1"/>
  <c r="L21" i="1"/>
  <c r="L20" i="1"/>
  <c r="L18" i="1"/>
  <c r="L16" i="1"/>
  <c r="L15" i="1"/>
  <c r="L14" i="1"/>
  <c r="L13" i="1"/>
  <c r="L12" i="1"/>
  <c r="L6" i="1"/>
  <c r="L5" i="1"/>
  <c r="L4" i="1"/>
  <c r="G51" i="1" l="1"/>
  <c r="AA51" i="1"/>
  <c r="U50" i="1"/>
  <c r="F50" i="1"/>
  <c r="I50" i="1" s="1"/>
  <c r="U49" i="1"/>
  <c r="F49" i="1"/>
  <c r="I49" i="1" s="1"/>
  <c r="O93" i="1"/>
  <c r="F51" i="1"/>
  <c r="I51" i="1" s="1"/>
  <c r="O72" i="1"/>
  <c r="O183" i="1"/>
  <c r="Y183" i="1" s="1"/>
  <c r="O134" i="1"/>
  <c r="Y134" i="1" s="1"/>
  <c r="O236" i="1"/>
  <c r="Y236" i="1" s="1"/>
  <c r="U48" i="1"/>
  <c r="F48" i="1"/>
  <c r="I48" i="1" s="1"/>
  <c r="O180" i="1"/>
  <c r="Y180" i="1" s="1"/>
  <c r="O111" i="1"/>
  <c r="O113" i="1"/>
  <c r="O124" i="1"/>
  <c r="Y124" i="1" s="1"/>
  <c r="O228" i="1"/>
  <c r="Y228" i="1" s="1"/>
  <c r="Q114" i="1"/>
  <c r="R114" i="1" s="1"/>
  <c r="Z114" i="1" s="1"/>
  <c r="O43" i="1"/>
  <c r="Y43" i="1" s="1"/>
  <c r="Q96" i="1"/>
  <c r="R96" i="1" s="1"/>
  <c r="Z96" i="1" s="1"/>
  <c r="Q122" i="1"/>
  <c r="R122" i="1" s="1"/>
  <c r="Z122" i="1" s="1"/>
  <c r="O83" i="1"/>
  <c r="O84" i="1"/>
  <c r="Q141" i="1"/>
  <c r="R141" i="1" s="1"/>
  <c r="Z141" i="1" s="1"/>
  <c r="O86" i="1"/>
  <c r="Y86" i="1" s="1"/>
  <c r="Q152" i="1"/>
  <c r="R152" i="1" s="1"/>
  <c r="Z152" i="1" s="1"/>
  <c r="O46" i="1"/>
  <c r="O109" i="1"/>
  <c r="Q158" i="1"/>
  <c r="R158" i="1" s="1"/>
  <c r="Z158" i="1" s="1"/>
  <c r="O133" i="1"/>
  <c r="Y133" i="1" s="1"/>
  <c r="Q31" i="1"/>
  <c r="R31" i="1" s="1"/>
  <c r="O97" i="1"/>
  <c r="Q32" i="1"/>
  <c r="R32" i="1" s="1"/>
  <c r="Q159" i="1"/>
  <c r="R159" i="1" s="1"/>
  <c r="Z159" i="1" s="1"/>
  <c r="O108" i="1"/>
  <c r="Q36" i="1"/>
  <c r="R36" i="1" s="1"/>
  <c r="Z36" i="1" s="1"/>
  <c r="Q90" i="1"/>
  <c r="R90" i="1" s="1"/>
  <c r="Z90" i="1" s="1"/>
  <c r="Q182" i="1"/>
  <c r="R182" i="1" s="1"/>
  <c r="Z182" i="1" s="1"/>
  <c r="O25" i="1"/>
  <c r="Q93" i="1"/>
  <c r="R93" i="1" s="1"/>
  <c r="Z93" i="1" s="1"/>
  <c r="O38" i="1"/>
  <c r="Y38" i="1" s="1"/>
  <c r="Q94" i="1"/>
  <c r="T94" i="1" s="1"/>
  <c r="U94" i="1" s="1"/>
  <c r="AA94" i="1" s="1"/>
  <c r="Q200" i="1"/>
  <c r="T200" i="1" s="1"/>
  <c r="U200" i="1" s="1"/>
  <c r="AA200" i="1" s="1"/>
  <c r="Q95" i="1"/>
  <c r="T95" i="1" s="1"/>
  <c r="U95" i="1" s="1"/>
  <c r="AA95" i="1" s="1"/>
  <c r="Q202" i="1"/>
  <c r="R202" i="1" s="1"/>
  <c r="Z202" i="1" s="1"/>
  <c r="R97" i="1"/>
  <c r="Z97" i="1" s="1"/>
  <c r="T97" i="1"/>
  <c r="U97" i="1" s="1"/>
  <c r="AA97" i="1" s="1"/>
  <c r="T111" i="1"/>
  <c r="U111" i="1" s="1"/>
  <c r="AA111" i="1" s="1"/>
  <c r="R111" i="1"/>
  <c r="Z111" i="1" s="1"/>
  <c r="R20" i="1"/>
  <c r="Z20" i="1" s="1"/>
  <c r="T20" i="1"/>
  <c r="U20" i="1" s="1"/>
  <c r="AA20" i="1" s="1"/>
  <c r="T101" i="1"/>
  <c r="U101" i="1" s="1"/>
  <c r="AA101" i="1" s="1"/>
  <c r="T25" i="1"/>
  <c r="U25" i="1" s="1"/>
  <c r="T133" i="1"/>
  <c r="U133" i="1" s="1"/>
  <c r="AA133" i="1" s="1"/>
  <c r="R133" i="1"/>
  <c r="Z133" i="1" s="1"/>
  <c r="T88" i="1"/>
  <c r="U88" i="1" s="1"/>
  <c r="R88" i="1"/>
  <c r="T113" i="1"/>
  <c r="U113" i="1" s="1"/>
  <c r="AA113" i="1" s="1"/>
  <c r="R113" i="1"/>
  <c r="Z113" i="1" s="1"/>
  <c r="T46" i="1"/>
  <c r="U46" i="1" s="1"/>
  <c r="AA46" i="1" s="1"/>
  <c r="R98" i="1"/>
  <c r="Z98" i="1" s="1"/>
  <c r="T98" i="1"/>
  <c r="U98" i="1" s="1"/>
  <c r="AA98" i="1" s="1"/>
  <c r="T228" i="1"/>
  <c r="U228" i="1" s="1"/>
  <c r="AA228" i="1" s="1"/>
  <c r="O20" i="1"/>
  <c r="Q112" i="1"/>
  <c r="R180" i="1"/>
  <c r="Z180" i="1" s="1"/>
  <c r="T180" i="1"/>
  <c r="U180" i="1" s="1"/>
  <c r="AA180" i="1" s="1"/>
  <c r="O22" i="1"/>
  <c r="O85" i="1"/>
  <c r="Y85" i="1" s="1"/>
  <c r="O227" i="1"/>
  <c r="Y227" i="1" s="1"/>
  <c r="Q91" i="1"/>
  <c r="Q151" i="1"/>
  <c r="R183" i="1"/>
  <c r="Z183" i="1" s="1"/>
  <c r="T183" i="1"/>
  <c r="U183" i="1" s="1"/>
  <c r="AA183" i="1" s="1"/>
  <c r="Q153" i="1"/>
  <c r="Q4" i="1"/>
  <c r="Q37" i="1"/>
  <c r="Q127" i="1"/>
  <c r="Q126" i="1"/>
  <c r="R126" i="1" s="1"/>
  <c r="Z126" i="1" s="1"/>
  <c r="Q5" i="1"/>
  <c r="Q42" i="1"/>
  <c r="Q128" i="1"/>
  <c r="Q160" i="1"/>
  <c r="Q229" i="1"/>
  <c r="O73" i="1"/>
  <c r="O98" i="1"/>
  <c r="O135" i="1"/>
  <c r="Y135" i="1" s="1"/>
  <c r="Q6" i="1"/>
  <c r="Q129" i="1"/>
  <c r="Q161" i="1"/>
  <c r="Q230" i="1"/>
  <c r="O74" i="1"/>
  <c r="O101" i="1"/>
  <c r="O136" i="1"/>
  <c r="Y136" i="1" s="1"/>
  <c r="Q75" i="1"/>
  <c r="Q130" i="1"/>
  <c r="Q162" i="1"/>
  <c r="Q231" i="1"/>
  <c r="O156" i="1"/>
  <c r="Y156" i="1" s="1"/>
  <c r="Q12" i="1"/>
  <c r="Q76" i="1"/>
  <c r="Q102" i="1"/>
  <c r="Q131" i="1"/>
  <c r="R131" i="1" s="1"/>
  <c r="Z131" i="1" s="1"/>
  <c r="Q177" i="1"/>
  <c r="O172" i="1"/>
  <c r="Y172" i="1" s="1"/>
  <c r="Q13" i="1"/>
  <c r="Q87" i="1"/>
  <c r="R87" i="1" s="1"/>
  <c r="Q110" i="1"/>
  <c r="Q132" i="1"/>
  <c r="Q178" i="1"/>
  <c r="O88" i="1"/>
  <c r="O16" i="1"/>
  <c r="Y16" i="1" s="1"/>
  <c r="Q18" i="1"/>
  <c r="Q179" i="1"/>
  <c r="R236" i="1"/>
  <c r="Z236" i="1" s="1"/>
  <c r="U236" i="1"/>
  <c r="AA236" i="1" s="1"/>
  <c r="Q235" i="1"/>
  <c r="T235" i="1" s="1"/>
  <c r="U227" i="1"/>
  <c r="AA227" i="1" s="1"/>
  <c r="R227" i="1"/>
  <c r="Z227" i="1" s="1"/>
  <c r="R228" i="1"/>
  <c r="Z228" i="1" s="1"/>
  <c r="Q223" i="1"/>
  <c r="T223" i="1" s="1"/>
  <c r="Q222" i="1"/>
  <c r="T222" i="1" s="1"/>
  <c r="Q224" i="1"/>
  <c r="T224" i="1" s="1"/>
  <c r="Q232" i="1"/>
  <c r="T232" i="1" s="1"/>
  <c r="Q225" i="1"/>
  <c r="T225" i="1" s="1"/>
  <c r="Q234" i="1"/>
  <c r="T234" i="1" s="1"/>
  <c r="Q226" i="1"/>
  <c r="T226" i="1" s="1"/>
  <c r="Q233" i="1"/>
  <c r="T233" i="1" s="1"/>
  <c r="R195" i="1"/>
  <c r="Z195" i="1" s="1"/>
  <c r="U195" i="1"/>
  <c r="AA195" i="1" s="1"/>
  <c r="R198" i="1"/>
  <c r="Z198" i="1" s="1"/>
  <c r="U198" i="1"/>
  <c r="AA198" i="1" s="1"/>
  <c r="U199" i="1"/>
  <c r="AA199" i="1" s="1"/>
  <c r="R199" i="1"/>
  <c r="Z199" i="1" s="1"/>
  <c r="Q197" i="1"/>
  <c r="T197" i="1" s="1"/>
  <c r="Q196" i="1"/>
  <c r="T196" i="1" s="1"/>
  <c r="Q201" i="1"/>
  <c r="T201" i="1" s="1"/>
  <c r="Q203" i="1"/>
  <c r="T203" i="1" s="1"/>
  <c r="O195" i="1"/>
  <c r="Y195" i="1" s="1"/>
  <c r="O199" i="1"/>
  <c r="Y199" i="1" s="1"/>
  <c r="Q204" i="1"/>
  <c r="T204" i="1" s="1"/>
  <c r="O198" i="1"/>
  <c r="Y198" i="1" s="1"/>
  <c r="Q194" i="1"/>
  <c r="T194" i="1" s="1"/>
  <c r="Q193" i="1"/>
  <c r="T193" i="1" s="1"/>
  <c r="U185" i="1"/>
  <c r="AA185" i="1" s="1"/>
  <c r="R185" i="1"/>
  <c r="Z185" i="1" s="1"/>
  <c r="U184" i="1"/>
  <c r="AA184" i="1" s="1"/>
  <c r="R184" i="1"/>
  <c r="Z184" i="1" s="1"/>
  <c r="U186" i="1"/>
  <c r="AA186" i="1" s="1"/>
  <c r="R186" i="1"/>
  <c r="Z186" i="1" s="1"/>
  <c r="O184" i="1"/>
  <c r="Y184" i="1" s="1"/>
  <c r="O185" i="1"/>
  <c r="Y185" i="1" s="1"/>
  <c r="O186" i="1"/>
  <c r="Y186" i="1" s="1"/>
  <c r="Q187" i="1"/>
  <c r="T187" i="1" s="1"/>
  <c r="Q189" i="1"/>
  <c r="T189" i="1" s="1"/>
  <c r="Q190" i="1"/>
  <c r="T190" i="1" s="1"/>
  <c r="Q191" i="1"/>
  <c r="T191" i="1" s="1"/>
  <c r="Q192" i="1"/>
  <c r="T192" i="1" s="1"/>
  <c r="Q173" i="1"/>
  <c r="T173" i="1" s="1"/>
  <c r="Q174" i="1"/>
  <c r="T174" i="1" s="1"/>
  <c r="Q175" i="1"/>
  <c r="T175" i="1" s="1"/>
  <c r="Q176" i="1"/>
  <c r="T176" i="1" s="1"/>
  <c r="U172" i="1"/>
  <c r="AA172" i="1" s="1"/>
  <c r="R172" i="1"/>
  <c r="Z172" i="1" s="1"/>
  <c r="Q163" i="1"/>
  <c r="T163" i="1" s="1"/>
  <c r="Q171" i="1"/>
  <c r="T171" i="1" s="1"/>
  <c r="Q157" i="1"/>
  <c r="T157" i="1" s="1"/>
  <c r="U156" i="1"/>
  <c r="AA156" i="1" s="1"/>
  <c r="R156" i="1"/>
  <c r="Z156" i="1" s="1"/>
  <c r="R149" i="1"/>
  <c r="Z149" i="1" s="1"/>
  <c r="U149" i="1"/>
  <c r="AA149" i="1" s="1"/>
  <c r="U150" i="1"/>
  <c r="AA150" i="1" s="1"/>
  <c r="R150" i="1"/>
  <c r="Z150" i="1" s="1"/>
  <c r="O149" i="1"/>
  <c r="Y149" i="1" s="1"/>
  <c r="O150" i="1"/>
  <c r="Y150" i="1" s="1"/>
  <c r="Q145" i="1"/>
  <c r="T145" i="1" s="1"/>
  <c r="Q143" i="1"/>
  <c r="T143" i="1" s="1"/>
  <c r="Q144" i="1"/>
  <c r="T144" i="1" s="1"/>
  <c r="Q142" i="1"/>
  <c r="T142" i="1" s="1"/>
  <c r="Q137" i="1"/>
  <c r="T137" i="1" s="1"/>
  <c r="Q138" i="1"/>
  <c r="T138" i="1" s="1"/>
  <c r="Q139" i="1"/>
  <c r="T139" i="1" s="1"/>
  <c r="R135" i="1"/>
  <c r="Z135" i="1" s="1"/>
  <c r="U135" i="1"/>
  <c r="AA135" i="1" s="1"/>
  <c r="U136" i="1"/>
  <c r="AA136" i="1" s="1"/>
  <c r="R136" i="1"/>
  <c r="Z136" i="1" s="1"/>
  <c r="R134" i="1"/>
  <c r="Z134" i="1" s="1"/>
  <c r="U134" i="1"/>
  <c r="AA134" i="1" s="1"/>
  <c r="U125" i="1"/>
  <c r="AA125" i="1" s="1"/>
  <c r="R125" i="1"/>
  <c r="Z125" i="1" s="1"/>
  <c r="O125" i="1"/>
  <c r="Y125" i="1" s="1"/>
  <c r="U124" i="1"/>
  <c r="AA124" i="1" s="1"/>
  <c r="R124" i="1"/>
  <c r="Z124" i="1" s="1"/>
  <c r="R108" i="1"/>
  <c r="Z108" i="1" s="1"/>
  <c r="U108" i="1"/>
  <c r="AA108" i="1" s="1"/>
  <c r="R109" i="1"/>
  <c r="Z109" i="1" s="1"/>
  <c r="U109" i="1"/>
  <c r="AA109" i="1" s="1"/>
  <c r="R120" i="1"/>
  <c r="Z120" i="1" s="1"/>
  <c r="U120" i="1"/>
  <c r="AA120" i="1" s="1"/>
  <c r="R121" i="1"/>
  <c r="Z121" i="1" s="1"/>
  <c r="U121" i="1"/>
  <c r="AA121" i="1" s="1"/>
  <c r="Q103" i="1"/>
  <c r="T103" i="1" s="1"/>
  <c r="Q115" i="1"/>
  <c r="T115" i="1" s="1"/>
  <c r="Q116" i="1"/>
  <c r="T116" i="1" s="1"/>
  <c r="Q105" i="1"/>
  <c r="T105" i="1" s="1"/>
  <c r="Q117" i="1"/>
  <c r="T117" i="1" s="1"/>
  <c r="Q106" i="1"/>
  <c r="T106" i="1" s="1"/>
  <c r="Q118" i="1"/>
  <c r="T118" i="1" s="1"/>
  <c r="Q107" i="1"/>
  <c r="T107" i="1" s="1"/>
  <c r="Q119" i="1"/>
  <c r="T119" i="1" s="1"/>
  <c r="Q104" i="1"/>
  <c r="T104" i="1" s="1"/>
  <c r="O120" i="1"/>
  <c r="O121" i="1"/>
  <c r="R101" i="1"/>
  <c r="Z101" i="1" s="1"/>
  <c r="Q99" i="1"/>
  <c r="T99" i="1" s="1"/>
  <c r="Q100" i="1"/>
  <c r="T100" i="1" s="1"/>
  <c r="U83" i="1"/>
  <c r="R83" i="1"/>
  <c r="R84" i="1"/>
  <c r="U84" i="1"/>
  <c r="U72" i="1"/>
  <c r="R72" i="1"/>
  <c r="R85" i="1"/>
  <c r="Z85" i="1" s="1"/>
  <c r="U85" i="1"/>
  <c r="AA85" i="1" s="1"/>
  <c r="U86" i="1"/>
  <c r="AA86" i="1" s="1"/>
  <c r="R86" i="1"/>
  <c r="Z86" i="1" s="1"/>
  <c r="U73" i="1"/>
  <c r="AA73" i="1" s="1"/>
  <c r="R73" i="1"/>
  <c r="Z73" i="1" s="1"/>
  <c r="U74" i="1"/>
  <c r="R74" i="1"/>
  <c r="Q78" i="1"/>
  <c r="T78" i="1" s="1"/>
  <c r="Q89" i="1"/>
  <c r="T89" i="1" s="1"/>
  <c r="Q79" i="1"/>
  <c r="T79" i="1" s="1"/>
  <c r="Q80" i="1"/>
  <c r="T80" i="1" s="1"/>
  <c r="Q81" i="1"/>
  <c r="T81" i="1" s="1"/>
  <c r="Q82" i="1"/>
  <c r="T82" i="1" s="1"/>
  <c r="Q77" i="1"/>
  <c r="T77" i="1" s="1"/>
  <c r="Q71" i="1"/>
  <c r="T71" i="1" s="1"/>
  <c r="Q70" i="1"/>
  <c r="T70" i="1" s="1"/>
  <c r="R46" i="1"/>
  <c r="Z46" i="1" s="1"/>
  <c r="U45" i="1"/>
  <c r="AA45" i="1" s="1"/>
  <c r="R45" i="1"/>
  <c r="Z45" i="1" s="1"/>
  <c r="O45" i="1"/>
  <c r="U38" i="1"/>
  <c r="AA38" i="1" s="1"/>
  <c r="R38" i="1"/>
  <c r="Z38" i="1" s="1"/>
  <c r="O41" i="1"/>
  <c r="Q35" i="1"/>
  <c r="T35" i="1" s="1"/>
  <c r="Q23" i="1"/>
  <c r="T23" i="1" s="1"/>
  <c r="Q27" i="1"/>
  <c r="T27" i="1" s="1"/>
  <c r="Q29" i="1"/>
  <c r="T29" i="1" s="1"/>
  <c r="U41" i="1"/>
  <c r="AA41" i="1" s="1"/>
  <c r="R41" i="1"/>
  <c r="Z41" i="1" s="1"/>
  <c r="R25" i="1"/>
  <c r="R43" i="1"/>
  <c r="Z43" i="1" s="1"/>
  <c r="U43" i="1"/>
  <c r="AA43" i="1" s="1"/>
  <c r="U22" i="1"/>
  <c r="AA22" i="1" s="1"/>
  <c r="R22" i="1"/>
  <c r="Z22" i="1" s="1"/>
  <c r="Q21" i="1"/>
  <c r="T21" i="1" s="1"/>
  <c r="Q14" i="1"/>
  <c r="T14" i="1" s="1"/>
  <c r="R16" i="1"/>
  <c r="Z16" i="1" s="1"/>
  <c r="U16" i="1"/>
  <c r="AA16" i="1" s="1"/>
  <c r="Q15" i="1"/>
  <c r="T15" i="1" s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G49" i="1" l="1"/>
  <c r="AA49" i="1"/>
  <c r="G50" i="1"/>
  <c r="AA50" i="1"/>
  <c r="G48" i="1"/>
  <c r="AA48" i="1"/>
  <c r="T152" i="1"/>
  <c r="U152" i="1" s="1"/>
  <c r="AA152" i="1" s="1"/>
  <c r="R94" i="1"/>
  <c r="Z94" i="1" s="1"/>
  <c r="T96" i="1"/>
  <c r="U96" i="1" s="1"/>
  <c r="AA96" i="1" s="1"/>
  <c r="T159" i="1"/>
  <c r="U159" i="1" s="1"/>
  <c r="AA159" i="1" s="1"/>
  <c r="R95" i="1"/>
  <c r="Z95" i="1" s="1"/>
  <c r="R200" i="1"/>
  <c r="Z200" i="1" s="1"/>
  <c r="T32" i="1"/>
  <c r="U32" i="1" s="1"/>
  <c r="T31" i="1"/>
  <c r="U31" i="1" s="1"/>
  <c r="T122" i="1"/>
  <c r="U122" i="1" s="1"/>
  <c r="AA122" i="1" s="1"/>
  <c r="T114" i="1"/>
  <c r="U114" i="1" s="1"/>
  <c r="AA114" i="1" s="1"/>
  <c r="T36" i="1"/>
  <c r="U36" i="1" s="1"/>
  <c r="AA36" i="1" s="1"/>
  <c r="T158" i="1"/>
  <c r="U158" i="1" s="1"/>
  <c r="AA158" i="1" s="1"/>
  <c r="T141" i="1"/>
  <c r="U141" i="1" s="1"/>
  <c r="AA141" i="1" s="1"/>
  <c r="T202" i="1"/>
  <c r="U202" i="1" s="1"/>
  <c r="AA202" i="1" s="1"/>
  <c r="T93" i="1"/>
  <c r="U93" i="1" s="1"/>
  <c r="T182" i="1"/>
  <c r="U182" i="1" s="1"/>
  <c r="AA182" i="1" s="1"/>
  <c r="T90" i="1"/>
  <c r="U90" i="1" s="1"/>
  <c r="AA90" i="1" s="1"/>
  <c r="R102" i="1"/>
  <c r="Z102" i="1" s="1"/>
  <c r="T102" i="1"/>
  <c r="U102" i="1" s="1"/>
  <c r="AA102" i="1" s="1"/>
  <c r="T76" i="1"/>
  <c r="U76" i="1" s="1"/>
  <c r="R76" i="1"/>
  <c r="R12" i="1"/>
  <c r="Z12" i="1" s="1"/>
  <c r="T12" i="1"/>
  <c r="U12" i="1" s="1"/>
  <c r="AA12" i="1" s="1"/>
  <c r="T153" i="1"/>
  <c r="U153" i="1" s="1"/>
  <c r="AA153" i="1" s="1"/>
  <c r="R178" i="1"/>
  <c r="Z178" i="1" s="1"/>
  <c r="T178" i="1"/>
  <c r="U178" i="1" s="1"/>
  <c r="AA178" i="1" s="1"/>
  <c r="R231" i="1"/>
  <c r="Z231" i="1" s="1"/>
  <c r="T231" i="1"/>
  <c r="U231" i="1" s="1"/>
  <c r="AA231" i="1" s="1"/>
  <c r="R230" i="1"/>
  <c r="Z230" i="1" s="1"/>
  <c r="T230" i="1"/>
  <c r="U230" i="1" s="1"/>
  <c r="AA230" i="1" s="1"/>
  <c r="T112" i="1"/>
  <c r="U112" i="1" s="1"/>
  <c r="AA112" i="1" s="1"/>
  <c r="R112" i="1"/>
  <c r="Z112" i="1" s="1"/>
  <c r="T132" i="1"/>
  <c r="U132" i="1" s="1"/>
  <c r="AA132" i="1" s="1"/>
  <c r="R132" i="1"/>
  <c r="Z132" i="1" s="1"/>
  <c r="R162" i="1"/>
  <c r="Z162" i="1" s="1"/>
  <c r="T162" i="1"/>
  <c r="U162" i="1" s="1"/>
  <c r="AA162" i="1" s="1"/>
  <c r="R161" i="1"/>
  <c r="Z161" i="1" s="1"/>
  <c r="T161" i="1"/>
  <c r="U161" i="1" s="1"/>
  <c r="AA161" i="1" s="1"/>
  <c r="R229" i="1"/>
  <c r="Z229" i="1" s="1"/>
  <c r="T229" i="1"/>
  <c r="U229" i="1" s="1"/>
  <c r="AA229" i="1" s="1"/>
  <c r="R110" i="1"/>
  <c r="Z110" i="1" s="1"/>
  <c r="T110" i="1"/>
  <c r="U110" i="1" s="1"/>
  <c r="AA110" i="1" s="1"/>
  <c r="T130" i="1"/>
  <c r="U130" i="1" s="1"/>
  <c r="AA130" i="1" s="1"/>
  <c r="R130" i="1"/>
  <c r="Z130" i="1" s="1"/>
  <c r="T129" i="1"/>
  <c r="U129" i="1" s="1"/>
  <c r="AA129" i="1" s="1"/>
  <c r="R129" i="1"/>
  <c r="Z129" i="1" s="1"/>
  <c r="R160" i="1"/>
  <c r="Z160" i="1" s="1"/>
  <c r="T160" i="1"/>
  <c r="U160" i="1" s="1"/>
  <c r="AA160" i="1" s="1"/>
  <c r="T87" i="1"/>
  <c r="U87" i="1" s="1"/>
  <c r="T75" i="1"/>
  <c r="U75" i="1" s="1"/>
  <c r="AA75" i="1" s="1"/>
  <c r="T6" i="1"/>
  <c r="U6" i="1" s="1"/>
  <c r="R6" i="1"/>
  <c r="R128" i="1"/>
  <c r="Z128" i="1" s="1"/>
  <c r="T128" i="1"/>
  <c r="U128" i="1" s="1"/>
  <c r="AA128" i="1" s="1"/>
  <c r="R127" i="1"/>
  <c r="Z127" i="1" s="1"/>
  <c r="T127" i="1"/>
  <c r="U127" i="1" s="1"/>
  <c r="AA127" i="1" s="1"/>
  <c r="T151" i="1"/>
  <c r="U151" i="1" s="1"/>
  <c r="AA151" i="1" s="1"/>
  <c r="R179" i="1"/>
  <c r="Z179" i="1" s="1"/>
  <c r="T179" i="1"/>
  <c r="U179" i="1" s="1"/>
  <c r="AA179" i="1" s="1"/>
  <c r="R13" i="1"/>
  <c r="Z13" i="1" s="1"/>
  <c r="T13" i="1"/>
  <c r="U13" i="1" s="1"/>
  <c r="AA13" i="1" s="1"/>
  <c r="T42" i="1"/>
  <c r="U42" i="1" s="1"/>
  <c r="AA42" i="1" s="1"/>
  <c r="R42" i="1"/>
  <c r="Z42" i="1" s="1"/>
  <c r="R91" i="1"/>
  <c r="Z91" i="1" s="1"/>
  <c r="T91" i="1"/>
  <c r="U91" i="1" s="1"/>
  <c r="AA91" i="1" s="1"/>
  <c r="R151" i="1"/>
  <c r="Z151" i="1" s="1"/>
  <c r="R18" i="1"/>
  <c r="Z18" i="1" s="1"/>
  <c r="T18" i="1"/>
  <c r="U18" i="1" s="1"/>
  <c r="AA18" i="1" s="1"/>
  <c r="R5" i="1"/>
  <c r="Z5" i="1" s="1"/>
  <c r="T5" i="1"/>
  <c r="U5" i="1" s="1"/>
  <c r="AA5" i="1" s="1"/>
  <c r="R75" i="1"/>
  <c r="Z75" i="1" s="1"/>
  <c r="R153" i="1"/>
  <c r="Z153" i="1" s="1"/>
  <c r="R177" i="1"/>
  <c r="Z177" i="1" s="1"/>
  <c r="T177" i="1"/>
  <c r="U177" i="1" s="1"/>
  <c r="AA177" i="1" s="1"/>
  <c r="T126" i="1"/>
  <c r="U126" i="1" s="1"/>
  <c r="AA126" i="1" s="1"/>
  <c r="T37" i="1"/>
  <c r="U37" i="1" s="1"/>
  <c r="AA37" i="1" s="1"/>
  <c r="R37" i="1"/>
  <c r="Z37" i="1" s="1"/>
  <c r="T131" i="1"/>
  <c r="U131" i="1" s="1"/>
  <c r="AA131" i="1" s="1"/>
  <c r="R4" i="1"/>
  <c r="Z4" i="1" s="1"/>
  <c r="T4" i="1"/>
  <c r="U4" i="1" s="1"/>
  <c r="AA4" i="1" s="1"/>
  <c r="R235" i="1"/>
  <c r="Z235" i="1" s="1"/>
  <c r="U235" i="1"/>
  <c r="AA235" i="1" s="1"/>
  <c r="U226" i="1"/>
  <c r="AA226" i="1" s="1"/>
  <c r="R226" i="1"/>
  <c r="Z226" i="1" s="1"/>
  <c r="U225" i="1"/>
  <c r="AA225" i="1" s="1"/>
  <c r="R225" i="1"/>
  <c r="Z225" i="1" s="1"/>
  <c r="R224" i="1"/>
  <c r="Z224" i="1" s="1"/>
  <c r="U224" i="1"/>
  <c r="AA224" i="1" s="1"/>
  <c r="R222" i="1"/>
  <c r="Z222" i="1" s="1"/>
  <c r="U222" i="1"/>
  <c r="AA222" i="1" s="1"/>
  <c r="R233" i="1"/>
  <c r="Z233" i="1" s="1"/>
  <c r="U233" i="1"/>
  <c r="AA233" i="1" s="1"/>
  <c r="R234" i="1"/>
  <c r="Z234" i="1" s="1"/>
  <c r="U234" i="1"/>
  <c r="AA234" i="1" s="1"/>
  <c r="R232" i="1"/>
  <c r="Z232" i="1" s="1"/>
  <c r="U232" i="1"/>
  <c r="AA232" i="1" s="1"/>
  <c r="R223" i="1"/>
  <c r="Z223" i="1" s="1"/>
  <c r="U223" i="1"/>
  <c r="AA223" i="1" s="1"/>
  <c r="R203" i="1"/>
  <c r="Z203" i="1" s="1"/>
  <c r="U203" i="1"/>
  <c r="AA203" i="1" s="1"/>
  <c r="R201" i="1"/>
  <c r="Z201" i="1" s="1"/>
  <c r="U201" i="1"/>
  <c r="AA201" i="1" s="1"/>
  <c r="U197" i="1"/>
  <c r="AA197" i="1" s="1"/>
  <c r="R197" i="1"/>
  <c r="Z197" i="1" s="1"/>
  <c r="R196" i="1"/>
  <c r="Z196" i="1" s="1"/>
  <c r="U196" i="1"/>
  <c r="AA196" i="1" s="1"/>
  <c r="R204" i="1"/>
  <c r="Z204" i="1" s="1"/>
  <c r="U204" i="1"/>
  <c r="AA204" i="1" s="1"/>
  <c r="U194" i="1"/>
  <c r="AA194" i="1" s="1"/>
  <c r="R194" i="1"/>
  <c r="Z194" i="1" s="1"/>
  <c r="U193" i="1"/>
  <c r="AA193" i="1" s="1"/>
  <c r="R193" i="1"/>
  <c r="Z193" i="1" s="1"/>
  <c r="R187" i="1"/>
  <c r="Z187" i="1" s="1"/>
  <c r="U187" i="1"/>
  <c r="AA187" i="1" s="1"/>
  <c r="R189" i="1"/>
  <c r="Z189" i="1" s="1"/>
  <c r="U189" i="1"/>
  <c r="AA189" i="1" s="1"/>
  <c r="R190" i="1"/>
  <c r="Z190" i="1" s="1"/>
  <c r="U190" i="1"/>
  <c r="AA190" i="1" s="1"/>
  <c r="R192" i="1"/>
  <c r="Z192" i="1" s="1"/>
  <c r="U192" i="1"/>
  <c r="AA192" i="1" s="1"/>
  <c r="R191" i="1"/>
  <c r="Z191" i="1" s="1"/>
  <c r="U191" i="1"/>
  <c r="AA191" i="1" s="1"/>
  <c r="R176" i="1"/>
  <c r="Z176" i="1" s="1"/>
  <c r="U176" i="1"/>
  <c r="AA176" i="1" s="1"/>
  <c r="R175" i="1"/>
  <c r="Z175" i="1" s="1"/>
  <c r="U175" i="1"/>
  <c r="AA175" i="1" s="1"/>
  <c r="R174" i="1"/>
  <c r="Z174" i="1" s="1"/>
  <c r="U174" i="1"/>
  <c r="AA174" i="1" s="1"/>
  <c r="U173" i="1"/>
  <c r="AA173" i="1" s="1"/>
  <c r="R173" i="1"/>
  <c r="Z173" i="1" s="1"/>
  <c r="U171" i="1"/>
  <c r="AA171" i="1" s="1"/>
  <c r="R171" i="1"/>
  <c r="Z171" i="1" s="1"/>
  <c r="Z170" i="1"/>
  <c r="AA170" i="1"/>
  <c r="R163" i="1"/>
  <c r="Z163" i="1" s="1"/>
  <c r="U163" i="1"/>
  <c r="AA163" i="1" s="1"/>
  <c r="R157" i="1"/>
  <c r="Z157" i="1" s="1"/>
  <c r="U157" i="1"/>
  <c r="AA157" i="1" s="1"/>
  <c r="R143" i="1"/>
  <c r="Z143" i="1" s="1"/>
  <c r="U143" i="1"/>
  <c r="AA143" i="1" s="1"/>
  <c r="R144" i="1"/>
  <c r="Z144" i="1" s="1"/>
  <c r="U144" i="1"/>
  <c r="AA144" i="1" s="1"/>
  <c r="R145" i="1"/>
  <c r="Z145" i="1" s="1"/>
  <c r="U145" i="1"/>
  <c r="AA145" i="1" s="1"/>
  <c r="R142" i="1"/>
  <c r="Z142" i="1" s="1"/>
  <c r="U142" i="1"/>
  <c r="AA142" i="1" s="1"/>
  <c r="U138" i="1"/>
  <c r="AA138" i="1" s="1"/>
  <c r="R138" i="1"/>
  <c r="Z138" i="1" s="1"/>
  <c r="R139" i="1"/>
  <c r="Z139" i="1" s="1"/>
  <c r="U139" i="1"/>
  <c r="AA139" i="1" s="1"/>
  <c r="U137" i="1"/>
  <c r="AA137" i="1" s="1"/>
  <c r="R137" i="1"/>
  <c r="Z137" i="1" s="1"/>
  <c r="R105" i="1"/>
  <c r="Z105" i="1" s="1"/>
  <c r="U105" i="1"/>
  <c r="AA105" i="1" s="1"/>
  <c r="R103" i="1"/>
  <c r="Z103" i="1" s="1"/>
  <c r="U103" i="1"/>
  <c r="AA103" i="1" s="1"/>
  <c r="R104" i="1"/>
  <c r="Z104" i="1" s="1"/>
  <c r="U104" i="1"/>
  <c r="AA104" i="1" s="1"/>
  <c r="R107" i="1"/>
  <c r="Z107" i="1" s="1"/>
  <c r="U107" i="1"/>
  <c r="AA107" i="1" s="1"/>
  <c r="R116" i="1"/>
  <c r="Z116" i="1" s="1"/>
  <c r="U116" i="1"/>
  <c r="AA116" i="1" s="1"/>
  <c r="R115" i="1"/>
  <c r="Z115" i="1" s="1"/>
  <c r="U115" i="1"/>
  <c r="AA115" i="1" s="1"/>
  <c r="R118" i="1"/>
  <c r="Z118" i="1" s="1"/>
  <c r="U118" i="1"/>
  <c r="AA118" i="1" s="1"/>
  <c r="R106" i="1"/>
  <c r="Z106" i="1" s="1"/>
  <c r="U106" i="1"/>
  <c r="AA106" i="1" s="1"/>
  <c r="R119" i="1"/>
  <c r="Z119" i="1" s="1"/>
  <c r="U119" i="1"/>
  <c r="AA119" i="1" s="1"/>
  <c r="R117" i="1"/>
  <c r="Z117" i="1" s="1"/>
  <c r="U117" i="1"/>
  <c r="AA117" i="1" s="1"/>
  <c r="R100" i="1"/>
  <c r="Z100" i="1" s="1"/>
  <c r="U100" i="1"/>
  <c r="AA100" i="1" s="1"/>
  <c r="R99" i="1"/>
  <c r="Z99" i="1" s="1"/>
  <c r="U99" i="1"/>
  <c r="AA99" i="1" s="1"/>
  <c r="U82" i="1"/>
  <c r="AA82" i="1" s="1"/>
  <c r="R82" i="1"/>
  <c r="Z82" i="1" s="1"/>
  <c r="R80" i="1"/>
  <c r="Z80" i="1" s="1"/>
  <c r="U80" i="1"/>
  <c r="AA80" i="1" s="1"/>
  <c r="R79" i="1"/>
  <c r="U79" i="1"/>
  <c r="R77" i="1"/>
  <c r="U77" i="1"/>
  <c r="R81" i="1"/>
  <c r="Z81" i="1" s="1"/>
  <c r="U81" i="1"/>
  <c r="AA81" i="1" s="1"/>
  <c r="R89" i="1"/>
  <c r="U89" i="1"/>
  <c r="R78" i="1"/>
  <c r="Z78" i="1" s="1"/>
  <c r="U78" i="1"/>
  <c r="AA78" i="1" s="1"/>
  <c r="R71" i="1"/>
  <c r="U71" i="1"/>
  <c r="R70" i="1"/>
  <c r="U70" i="1"/>
  <c r="R35" i="1"/>
  <c r="Z35" i="1" s="1"/>
  <c r="U35" i="1"/>
  <c r="AA35" i="1" s="1"/>
  <c r="R23" i="1"/>
  <c r="U23" i="1"/>
  <c r="U27" i="1"/>
  <c r="R27" i="1"/>
  <c r="R29" i="1"/>
  <c r="U29" i="1"/>
  <c r="R21" i="1"/>
  <c r="Z21" i="1" s="1"/>
  <c r="U21" i="1"/>
  <c r="AA21" i="1" s="1"/>
  <c r="R14" i="1"/>
  <c r="Z14" i="1" s="1"/>
  <c r="U14" i="1"/>
  <c r="AA14" i="1" s="1"/>
  <c r="R15" i="1"/>
  <c r="Z15" i="1" s="1"/>
  <c r="U15" i="1"/>
  <c r="AA15" i="1" s="1"/>
  <c r="I53" i="1"/>
  <c r="I67" i="1"/>
  <c r="I63" i="1"/>
  <c r="I64" i="1"/>
  <c r="I68" i="1"/>
  <c r="I65" i="1"/>
  <c r="I61" i="1"/>
  <c r="I57" i="1"/>
  <c r="I60" i="1"/>
  <c r="I59" i="1"/>
  <c r="I55" i="1"/>
  <c r="I56" i="1"/>
  <c r="I66" i="1"/>
  <c r="I62" i="1"/>
  <c r="I58" i="1"/>
  <c r="I54" i="1"/>
  <c r="G93" i="1" l="1"/>
  <c r="AA93" i="1"/>
  <c r="F93" i="1"/>
  <c r="I93" i="1" s="1"/>
  <c r="F7" i="3"/>
  <c r="F2" i="5"/>
  <c r="G241" i="1" l="1"/>
  <c r="F241" i="1"/>
  <c r="H241" i="1"/>
  <c r="I241" i="1" l="1"/>
  <c r="F73" i="1" l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13" i="1"/>
  <c r="G13" i="1"/>
  <c r="H13" i="1"/>
  <c r="I75" i="1" l="1"/>
  <c r="I74" i="1"/>
  <c r="I81" i="1"/>
  <c r="I76" i="1"/>
  <c r="I84" i="1"/>
  <c r="I78" i="1"/>
  <c r="I77" i="1"/>
  <c r="I73" i="1"/>
  <c r="I83" i="1"/>
  <c r="I85" i="1"/>
  <c r="I82" i="1"/>
  <c r="I79" i="1"/>
  <c r="I80" i="1"/>
  <c r="I13" i="1"/>
  <c r="H178" i="1"/>
  <c r="F178" i="1" l="1"/>
  <c r="I178" i="1" s="1"/>
  <c r="G178" i="1"/>
  <c r="H110" i="1"/>
  <c r="F110" i="1" l="1"/>
  <c r="I110" i="1" s="1"/>
  <c r="G110" i="1"/>
  <c r="E12" i="11" l="1"/>
  <c r="E11" i="11"/>
  <c r="A11" i="11"/>
  <c r="E10" i="11"/>
  <c r="A10" i="11"/>
  <c r="E9" i="11"/>
  <c r="A9" i="11"/>
  <c r="B9" i="11" s="1"/>
  <c r="E8" i="11"/>
  <c r="A8" i="11"/>
  <c r="C9" i="11" l="1"/>
  <c r="B11" i="11"/>
  <c r="B10" i="11"/>
  <c r="B8" i="11"/>
  <c r="C11" i="11" l="1"/>
  <c r="C8" i="11"/>
  <c r="C10" i="11"/>
  <c r="F20" i="1" l="1"/>
  <c r="H20" i="1"/>
  <c r="G20" i="1"/>
  <c r="I20" i="1" l="1"/>
  <c r="F143" i="1"/>
  <c r="G143" i="1"/>
  <c r="H143" i="1"/>
  <c r="I143" i="1" l="1"/>
  <c r="H236" i="1" l="1"/>
  <c r="F236" i="1"/>
  <c r="G236" i="1"/>
  <c r="F200" i="1"/>
  <c r="H198" i="1"/>
  <c r="F198" i="1"/>
  <c r="G198" i="1"/>
  <c r="H199" i="1"/>
  <c r="F199" i="1"/>
  <c r="G199" i="1"/>
  <c r="H200" i="1"/>
  <c r="G200" i="1"/>
  <c r="H201" i="1"/>
  <c r="F201" i="1"/>
  <c r="G201" i="1"/>
  <c r="I236" i="1" l="1"/>
  <c r="I199" i="1"/>
  <c r="I201" i="1"/>
  <c r="I198" i="1"/>
  <c r="I200" i="1"/>
  <c r="H240" i="1" l="1"/>
  <c r="G240" i="1"/>
  <c r="F240" i="1"/>
  <c r="H239" i="1"/>
  <c r="G239" i="1"/>
  <c r="F239" i="1"/>
  <c r="H238" i="1"/>
  <c r="G238" i="1"/>
  <c r="F238" i="1"/>
  <c r="F235" i="1"/>
  <c r="H235" i="1"/>
  <c r="F234" i="1"/>
  <c r="H234" i="1"/>
  <c r="F233" i="1"/>
  <c r="H233" i="1"/>
  <c r="F232" i="1"/>
  <c r="H232" i="1"/>
  <c r="F231" i="1"/>
  <c r="H231" i="1"/>
  <c r="F230" i="1"/>
  <c r="H230" i="1"/>
  <c r="G229" i="1"/>
  <c r="F229" i="1"/>
  <c r="H229" i="1"/>
  <c r="G228" i="1"/>
  <c r="F228" i="1"/>
  <c r="H228" i="1"/>
  <c r="G227" i="1"/>
  <c r="F227" i="1"/>
  <c r="H227" i="1"/>
  <c r="G226" i="1"/>
  <c r="F226" i="1"/>
  <c r="H226" i="1"/>
  <c r="G225" i="1"/>
  <c r="F225" i="1"/>
  <c r="H225" i="1"/>
  <c r="G224" i="1"/>
  <c r="F224" i="1"/>
  <c r="H224" i="1"/>
  <c r="G223" i="1"/>
  <c r="F223" i="1"/>
  <c r="H223" i="1"/>
  <c r="G222" i="1"/>
  <c r="F222" i="1"/>
  <c r="H222" i="1"/>
  <c r="G204" i="1"/>
  <c r="F204" i="1"/>
  <c r="H204" i="1"/>
  <c r="G203" i="1"/>
  <c r="F203" i="1"/>
  <c r="H203" i="1"/>
  <c r="G202" i="1"/>
  <c r="F202" i="1"/>
  <c r="H202" i="1"/>
  <c r="G197" i="1"/>
  <c r="F197" i="1"/>
  <c r="H197" i="1"/>
  <c r="G196" i="1"/>
  <c r="F196" i="1"/>
  <c r="H196" i="1"/>
  <c r="G195" i="1"/>
  <c r="F195" i="1"/>
  <c r="H195" i="1"/>
  <c r="G194" i="1"/>
  <c r="F194" i="1"/>
  <c r="H194" i="1"/>
  <c r="G193" i="1"/>
  <c r="F193" i="1"/>
  <c r="H193" i="1"/>
  <c r="G192" i="1"/>
  <c r="F192" i="1"/>
  <c r="H192" i="1"/>
  <c r="G191" i="1"/>
  <c r="F191" i="1"/>
  <c r="H191" i="1"/>
  <c r="G189" i="1"/>
  <c r="F189" i="1"/>
  <c r="H189" i="1"/>
  <c r="G187" i="1"/>
  <c r="F187" i="1"/>
  <c r="H187" i="1"/>
  <c r="G186" i="1"/>
  <c r="F186" i="1"/>
  <c r="H186" i="1"/>
  <c r="G185" i="1"/>
  <c r="F185" i="1"/>
  <c r="H185" i="1"/>
  <c r="G184" i="1"/>
  <c r="F184" i="1"/>
  <c r="H184" i="1"/>
  <c r="G183" i="1"/>
  <c r="F183" i="1"/>
  <c r="H183" i="1"/>
  <c r="G182" i="1"/>
  <c r="F182" i="1"/>
  <c r="H182" i="1"/>
  <c r="G180" i="1"/>
  <c r="F180" i="1"/>
  <c r="H180" i="1"/>
  <c r="G179" i="1"/>
  <c r="F179" i="1"/>
  <c r="H179" i="1"/>
  <c r="G177" i="1"/>
  <c r="F177" i="1"/>
  <c r="H177" i="1"/>
  <c r="G176" i="1"/>
  <c r="F176" i="1"/>
  <c r="H176" i="1"/>
  <c r="G175" i="1"/>
  <c r="F175" i="1"/>
  <c r="H175" i="1"/>
  <c r="G174" i="1"/>
  <c r="F174" i="1"/>
  <c r="H174" i="1"/>
  <c r="G173" i="1"/>
  <c r="F173" i="1"/>
  <c r="H173" i="1"/>
  <c r="G172" i="1"/>
  <c r="F172" i="1"/>
  <c r="H172" i="1"/>
  <c r="G171" i="1"/>
  <c r="F171" i="1"/>
  <c r="H171" i="1"/>
  <c r="H163" i="1"/>
  <c r="G163" i="1"/>
  <c r="F163" i="1"/>
  <c r="G162" i="1"/>
  <c r="F162" i="1"/>
  <c r="H162" i="1"/>
  <c r="G161" i="1"/>
  <c r="F161" i="1"/>
  <c r="H161" i="1"/>
  <c r="G160" i="1"/>
  <c r="F160" i="1"/>
  <c r="H160" i="1"/>
  <c r="G159" i="1"/>
  <c r="F159" i="1"/>
  <c r="H159" i="1"/>
  <c r="G158" i="1"/>
  <c r="F158" i="1"/>
  <c r="H158" i="1"/>
  <c r="G157" i="1"/>
  <c r="F157" i="1"/>
  <c r="H157" i="1"/>
  <c r="H156" i="1"/>
  <c r="G156" i="1"/>
  <c r="F156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5" i="1"/>
  <c r="G145" i="1"/>
  <c r="F145" i="1"/>
  <c r="G144" i="1"/>
  <c r="H144" i="1"/>
  <c r="F144" i="1"/>
  <c r="H142" i="1"/>
  <c r="G142" i="1"/>
  <c r="F142" i="1"/>
  <c r="H141" i="1"/>
  <c r="G141" i="1"/>
  <c r="F141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G118" i="1"/>
  <c r="H118" i="1"/>
  <c r="F118" i="1"/>
  <c r="G117" i="1"/>
  <c r="H117" i="1"/>
  <c r="F117" i="1"/>
  <c r="G116" i="1"/>
  <c r="H116" i="1"/>
  <c r="F116" i="1"/>
  <c r="G115" i="1"/>
  <c r="H115" i="1"/>
  <c r="F115" i="1"/>
  <c r="G114" i="1"/>
  <c r="H114" i="1"/>
  <c r="F114" i="1"/>
  <c r="G113" i="1"/>
  <c r="H113" i="1"/>
  <c r="F113" i="1"/>
  <c r="G112" i="1"/>
  <c r="H112" i="1"/>
  <c r="F112" i="1"/>
  <c r="G111" i="1"/>
  <c r="F111" i="1"/>
  <c r="H111" i="1"/>
  <c r="H109" i="1"/>
  <c r="H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F108" i="1" l="1"/>
  <c r="I108" i="1" s="1"/>
  <c r="F109" i="1"/>
  <c r="I109" i="1" s="1"/>
  <c r="G231" i="1"/>
  <c r="G235" i="1"/>
  <c r="G230" i="1"/>
  <c r="G232" i="1"/>
  <c r="G234" i="1"/>
  <c r="G233" i="1"/>
  <c r="I116" i="1"/>
  <c r="G108" i="1"/>
  <c r="I224" i="1"/>
  <c r="I226" i="1"/>
  <c r="I150" i="1"/>
  <c r="I156" i="1"/>
  <c r="G109" i="1"/>
  <c r="I115" i="1"/>
  <c r="I86" i="1"/>
  <c r="I159" i="1"/>
  <c r="I185" i="1"/>
  <c r="I153" i="1"/>
  <c r="I231" i="1"/>
  <c r="I183" i="1"/>
  <c r="I101" i="1"/>
  <c r="I105" i="1"/>
  <c r="I89" i="1"/>
  <c r="I177" i="1"/>
  <c r="I187" i="1"/>
  <c r="I196" i="1"/>
  <c r="I222" i="1"/>
  <c r="I104" i="1"/>
  <c r="I125" i="1"/>
  <c r="I129" i="1"/>
  <c r="I137" i="1"/>
  <c r="I228" i="1"/>
  <c r="I99" i="1"/>
  <c r="I144" i="1"/>
  <c r="I96" i="1"/>
  <c r="I114" i="1"/>
  <c r="I117" i="1"/>
  <c r="I171" i="1"/>
  <c r="I194" i="1"/>
  <c r="I233" i="1"/>
  <c r="I235" i="1"/>
  <c r="I118" i="1"/>
  <c r="I145" i="1"/>
  <c r="I98" i="1"/>
  <c r="I102" i="1"/>
  <c r="I176" i="1"/>
  <c r="I195" i="1"/>
  <c r="I204" i="1"/>
  <c r="I128" i="1"/>
  <c r="I141" i="1"/>
  <c r="I161" i="1"/>
  <c r="I180" i="1"/>
  <c r="I227" i="1"/>
  <c r="I193" i="1"/>
  <c r="I130" i="1"/>
  <c r="I139" i="1"/>
  <c r="I127" i="1"/>
  <c r="I95" i="1"/>
  <c r="I179" i="1"/>
  <c r="I232" i="1"/>
  <c r="I88" i="1"/>
  <c r="I107" i="1"/>
  <c r="I124" i="1"/>
  <c r="I134" i="1"/>
  <c r="I225" i="1"/>
  <c r="I131" i="1"/>
  <c r="I223" i="1"/>
  <c r="I113" i="1"/>
  <c r="I158" i="1"/>
  <c r="I174" i="1"/>
  <c r="I229" i="1"/>
  <c r="I184" i="1"/>
  <c r="I100" i="1"/>
  <c r="I152" i="1"/>
  <c r="I189" i="1"/>
  <c r="I197" i="1"/>
  <c r="I192" i="1"/>
  <c r="I91" i="1"/>
  <c r="I151" i="1"/>
  <c r="I191" i="1"/>
  <c r="I238" i="1"/>
  <c r="I121" i="1"/>
  <c r="I239" i="1"/>
  <c r="I182" i="1"/>
  <c r="I111" i="1"/>
  <c r="I202" i="1"/>
  <c r="I136" i="1"/>
  <c r="I133" i="1"/>
  <c r="I120" i="1"/>
  <c r="I119" i="1"/>
  <c r="I234" i="1"/>
  <c r="I240" i="1"/>
  <c r="I186" i="1"/>
  <c r="I203" i="1"/>
  <c r="I230" i="1"/>
  <c r="I138" i="1"/>
  <c r="I172" i="1"/>
  <c r="I87" i="1"/>
  <c r="I106" i="1"/>
  <c r="I135" i="1"/>
  <c r="I160" i="1"/>
  <c r="I97" i="1"/>
  <c r="I112" i="1"/>
  <c r="I149" i="1"/>
  <c r="I94" i="1"/>
  <c r="I122" i="1"/>
  <c r="I142" i="1"/>
  <c r="I163" i="1"/>
  <c r="I90" i="1"/>
  <c r="I103" i="1"/>
  <c r="I132" i="1"/>
  <c r="I157" i="1"/>
  <c r="I126" i="1"/>
  <c r="I162" i="1"/>
  <c r="I173" i="1"/>
  <c r="I175" i="1"/>
  <c r="H12" i="1" l="1"/>
  <c r="G12" i="1"/>
  <c r="F12" i="1"/>
  <c r="I12" i="1" l="1"/>
  <c r="D3" i="3" l="1"/>
  <c r="A12" i="10" l="1"/>
  <c r="A8" i="2"/>
  <c r="A13" i="10" l="1"/>
  <c r="A14" i="10"/>
  <c r="H41" i="1"/>
  <c r="H42" i="1"/>
  <c r="H43" i="1"/>
  <c r="H45" i="1"/>
  <c r="H22" i="1"/>
  <c r="H46" i="1"/>
  <c r="H16" i="1"/>
  <c r="H18" i="1"/>
  <c r="H21" i="1"/>
  <c r="H25" i="1"/>
  <c r="H70" i="1"/>
  <c r="H71" i="1"/>
  <c r="H72" i="1"/>
  <c r="H5" i="1"/>
  <c r="H6" i="1"/>
  <c r="H14" i="1"/>
  <c r="H23" i="1"/>
  <c r="H15" i="1"/>
  <c r="H27" i="1"/>
  <c r="H29" i="1"/>
  <c r="H31" i="1"/>
  <c r="H32" i="1"/>
  <c r="H35" i="1"/>
  <c r="H36" i="1"/>
  <c r="H37" i="1"/>
  <c r="H38" i="1"/>
  <c r="H4" i="1"/>
  <c r="F14" i="1"/>
  <c r="G14" i="1"/>
  <c r="G25" i="1"/>
  <c r="G21" i="1"/>
  <c r="G18" i="1"/>
  <c r="G16" i="1"/>
  <c r="G42" i="1"/>
  <c r="G41" i="1"/>
  <c r="G35" i="1"/>
  <c r="G27" i="1"/>
  <c r="G15" i="1"/>
  <c r="I14" i="1" l="1"/>
  <c r="G36" i="1"/>
  <c r="G45" i="1"/>
  <c r="G46" i="1"/>
  <c r="G32" i="1"/>
  <c r="G29" i="1"/>
  <c r="G72" i="1"/>
  <c r="G71" i="1"/>
  <c r="G6" i="1"/>
  <c r="G70" i="1"/>
  <c r="G43" i="1"/>
  <c r="G31" i="1"/>
  <c r="G23" i="1"/>
  <c r="G5" i="1"/>
  <c r="G38" i="1" l="1"/>
  <c r="G37" i="1"/>
  <c r="G22" i="1"/>
  <c r="G4" i="1" l="1"/>
  <c r="F8" i="3"/>
  <c r="F5" i="1" l="1"/>
  <c r="I5" i="1" s="1"/>
  <c r="F6" i="1"/>
  <c r="I6" i="1" s="1"/>
  <c r="F23" i="1"/>
  <c r="I23" i="1" s="1"/>
  <c r="F15" i="1"/>
  <c r="I15" i="1" s="1"/>
  <c r="F27" i="1"/>
  <c r="I27" i="1" s="1"/>
  <c r="F29" i="1"/>
  <c r="I29" i="1" s="1"/>
  <c r="F31" i="1"/>
  <c r="I31" i="1" s="1"/>
  <c r="F32" i="1"/>
  <c r="I32" i="1" s="1"/>
  <c r="F35" i="1"/>
  <c r="I35" i="1" s="1"/>
  <c r="F36" i="1"/>
  <c r="I36" i="1" s="1"/>
  <c r="F37" i="1"/>
  <c r="I37" i="1" s="1"/>
  <c r="F38" i="1"/>
  <c r="I38" i="1" s="1"/>
  <c r="F41" i="1"/>
  <c r="I41" i="1" s="1"/>
  <c r="F42" i="1"/>
  <c r="I42" i="1" s="1"/>
  <c r="F43" i="1"/>
  <c r="I43" i="1" s="1"/>
  <c r="F45" i="1"/>
  <c r="I45" i="1" s="1"/>
  <c r="F22" i="1"/>
  <c r="I22" i="1" s="1"/>
  <c r="F46" i="1"/>
  <c r="I46" i="1" s="1"/>
  <c r="F16" i="1"/>
  <c r="I16" i="1" s="1"/>
  <c r="F18" i="1"/>
  <c r="I18" i="1" s="1"/>
  <c r="F21" i="1"/>
  <c r="I21" i="1" s="1"/>
  <c r="F25" i="1"/>
  <c r="I25" i="1" s="1"/>
  <c r="F70" i="1"/>
  <c r="I70" i="1" s="1"/>
  <c r="F71" i="1"/>
  <c r="I71" i="1" s="1"/>
  <c r="F72" i="1"/>
  <c r="I72" i="1" s="1"/>
  <c r="B8" i="2"/>
  <c r="A14" i="7" l="1"/>
  <c r="A13" i="7"/>
  <c r="D13" i="7" s="1" a="1"/>
  <c r="D13" i="7" s="1"/>
  <c r="C8" i="2"/>
  <c r="F4" i="1"/>
  <c r="I4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D16" i="7" l="1"/>
  <c r="D13" i="10"/>
  <c r="D16" i="10" s="1"/>
  <c r="G6" i="3" l="1"/>
  <c r="G8" i="3" l="1"/>
  <c r="G7" i="3"/>
  <c r="H6" i="3"/>
  <c r="E13" i="7" l="1" a="1"/>
  <c r="E13" i="7" s="1"/>
  <c r="E13" i="10" s="1"/>
  <c r="E16" i="10" s="1"/>
  <c r="H8" i="3"/>
  <c r="H7" i="3"/>
  <c r="I6" i="3"/>
  <c r="F13" i="7" l="1" a="1"/>
  <c r="F13" i="7" s="1"/>
  <c r="F13" i="10" s="1"/>
  <c r="F16" i="10" s="1"/>
  <c r="E16" i="7"/>
  <c r="I8" i="3"/>
  <c r="I7" i="3"/>
  <c r="J6" i="3"/>
  <c r="F16" i="7" l="1"/>
  <c r="G13" i="7" a="1"/>
  <c r="G13" i="7" s="1"/>
  <c r="G16" i="7" s="1"/>
  <c r="J8" i="3"/>
  <c r="J7" i="3"/>
  <c r="K6" i="3"/>
  <c r="G13" i="10" l="1"/>
  <c r="G16" i="10" s="1"/>
  <c r="H13" i="7" a="1"/>
  <c r="H13" i="7" s="1"/>
  <c r="H13" i="10" s="1"/>
  <c r="K8" i="3"/>
  <c r="K7" i="3"/>
  <c r="L6" i="3"/>
  <c r="H16" i="10" l="1"/>
  <c r="H16" i="7"/>
  <c r="I13" i="7" a="1"/>
  <c r="I13" i="7" s="1"/>
  <c r="I13" i="10" s="1"/>
  <c r="I16" i="10" s="1"/>
  <c r="L8" i="3"/>
  <c r="L7" i="3"/>
  <c r="M6" i="3"/>
  <c r="J13" i="7" l="1" a="1"/>
  <c r="J13" i="7" s="1"/>
  <c r="J13" i="10" s="1"/>
  <c r="J16" i="10" s="1"/>
  <c r="I16" i="7"/>
  <c r="M8" i="3"/>
  <c r="M7" i="3"/>
  <c r="N6" i="3"/>
  <c r="J16" i="7" l="1"/>
  <c r="K13" i="7" a="1"/>
  <c r="K13" i="7" s="1"/>
  <c r="K13" i="10" s="1"/>
  <c r="K16" i="10" s="1"/>
  <c r="N8" i="3"/>
  <c r="N7" i="3"/>
  <c r="O6" i="3"/>
  <c r="K16" i="7" l="1"/>
  <c r="L13" i="7" a="1"/>
  <c r="L13" i="7" s="1"/>
  <c r="L13" i="10" s="1"/>
  <c r="L16" i="10" s="1"/>
  <c r="O8" i="3"/>
  <c r="O7" i="3"/>
  <c r="P6" i="3"/>
  <c r="L16" i="7" l="1"/>
  <c r="M13" i="7" a="1"/>
  <c r="M13" i="7" s="1"/>
  <c r="M13" i="10" s="1"/>
  <c r="M16" i="10" s="1"/>
  <c r="P8" i="3"/>
  <c r="P7" i="3"/>
  <c r="Q6" i="3"/>
  <c r="M16" i="7" l="1"/>
  <c r="N13" i="7" a="1"/>
  <c r="N13" i="7" s="1"/>
  <c r="N13" i="10" s="1"/>
  <c r="N16" i="10" s="1"/>
  <c r="Q8" i="3"/>
  <c r="Q7" i="3"/>
  <c r="R6" i="3"/>
  <c r="N16" i="7" l="1"/>
  <c r="O13" i="7" a="1"/>
  <c r="O13" i="7" s="1"/>
  <c r="O13" i="10" s="1"/>
  <c r="O16" i="10" s="1"/>
  <c r="R8" i="3"/>
  <c r="R7" i="3"/>
  <c r="S6" i="3"/>
  <c r="O16" i="7" l="1"/>
  <c r="P13" i="7" a="1"/>
  <c r="P13" i="7" s="1"/>
  <c r="P13" i="10" s="1"/>
  <c r="P16" i="10" s="1"/>
  <c r="S8" i="3"/>
  <c r="S7" i="3"/>
  <c r="T6" i="3"/>
  <c r="Q13" i="7" l="1" a="1"/>
  <c r="Q13" i="7" s="1"/>
  <c r="Q13" i="10" s="1"/>
  <c r="Q16" i="10" s="1"/>
  <c r="P16" i="7"/>
  <c r="T8" i="3"/>
  <c r="T7" i="3"/>
  <c r="U6" i="3"/>
  <c r="Q16" i="7" l="1"/>
  <c r="R13" i="7" a="1"/>
  <c r="R13" i="7" s="1"/>
  <c r="R13" i="10" s="1"/>
  <c r="R16" i="10" s="1"/>
  <c r="U8" i="3"/>
  <c r="U7" i="3"/>
  <c r="V6" i="3"/>
  <c r="S13" i="7" l="1" a="1"/>
  <c r="S13" i="7" s="1"/>
  <c r="S13" i="10" s="1"/>
  <c r="S16" i="10" s="1"/>
  <c r="R16" i="7"/>
  <c r="V8" i="3"/>
  <c r="V7" i="3"/>
  <c r="W6" i="3"/>
  <c r="S16" i="7" l="1"/>
  <c r="T13" i="7" a="1"/>
  <c r="T13" i="7" s="1"/>
  <c r="T13" i="10" s="1"/>
  <c r="T16" i="10" s="1"/>
  <c r="W8" i="3"/>
  <c r="W7" i="3"/>
  <c r="X6" i="3"/>
  <c r="T16" i="7" l="1"/>
  <c r="U13" i="7" a="1"/>
  <c r="U13" i="7" s="1"/>
  <c r="U13" i="10" s="1"/>
  <c r="U16" i="10" s="1"/>
  <c r="X8" i="3"/>
  <c r="X7" i="3"/>
  <c r="Y6" i="3"/>
  <c r="U16" i="7" l="1"/>
  <c r="V13" i="7" a="1"/>
  <c r="V13" i="7" s="1"/>
  <c r="V13" i="10" s="1"/>
  <c r="V16" i="10" s="1"/>
  <c r="Y8" i="3"/>
  <c r="Y7" i="3"/>
  <c r="Z6" i="3"/>
  <c r="V16" i="7" l="1"/>
  <c r="W13" i="7" a="1"/>
  <c r="W13" i="7" s="1"/>
  <c r="W13" i="10" s="1"/>
  <c r="W16" i="10" s="1"/>
  <c r="Z8" i="3"/>
  <c r="Z7" i="3"/>
  <c r="AA6" i="3"/>
  <c r="W16" i="7" l="1"/>
  <c r="X13" i="7" a="1"/>
  <c r="X13" i="7" s="1"/>
  <c r="X13" i="10" s="1"/>
  <c r="X16" i="10" s="1"/>
  <c r="AA8" i="3"/>
  <c r="AA7" i="3"/>
  <c r="AB6" i="3"/>
  <c r="Y13" i="7" l="1" a="1"/>
  <c r="Y13" i="7" s="1"/>
  <c r="Y13" i="10" s="1"/>
  <c r="Y16" i="10" s="1"/>
  <c r="X16" i="7"/>
  <c r="AB8" i="3"/>
  <c r="AB7" i="3"/>
  <c r="AC6" i="3"/>
  <c r="Y16" i="7" l="1"/>
  <c r="Z13" i="7" a="1"/>
  <c r="Z13" i="7" s="1"/>
  <c r="Z13" i="10" s="1"/>
  <c r="Z16" i="10" s="1"/>
  <c r="AC8" i="3"/>
  <c r="AC7" i="3"/>
  <c r="AD6" i="3"/>
  <c r="Z16" i="7" l="1"/>
  <c r="AA13" i="7" a="1"/>
  <c r="AA13" i="7" s="1"/>
  <c r="AA13" i="10" s="1"/>
  <c r="AA16" i="10" s="1"/>
  <c r="AD8" i="3"/>
  <c r="AD7" i="3"/>
  <c r="AE6" i="3"/>
  <c r="AA16" i="7" l="1"/>
  <c r="AB13" i="7" a="1"/>
  <c r="AB13" i="7" s="1"/>
  <c r="AB13" i="10" s="1"/>
  <c r="AB16" i="10" s="1"/>
  <c r="AE8" i="3"/>
  <c r="AE7" i="3"/>
  <c r="AF6" i="3"/>
  <c r="AB16" i="7" l="1"/>
  <c r="AC13" i="7" a="1"/>
  <c r="AC13" i="7" s="1"/>
  <c r="AC13" i="10" s="1"/>
  <c r="AC16" i="10" s="1"/>
  <c r="AF8" i="3"/>
  <c r="AF7" i="3"/>
  <c r="AG6" i="3"/>
  <c r="AC16" i="7" l="1"/>
  <c r="AD13" i="7" a="1"/>
  <c r="AD13" i="7" s="1"/>
  <c r="AD13" i="10" s="1"/>
  <c r="AD16" i="10" s="1"/>
  <c r="AG8" i="3"/>
  <c r="AG7" i="3"/>
  <c r="AH6" i="3"/>
  <c r="AE13" i="7" l="1" a="1"/>
  <c r="AE13" i="7" s="1"/>
  <c r="AE13" i="10" s="1"/>
  <c r="AE16" i="10" s="1"/>
  <c r="AD16" i="7"/>
  <c r="AH8" i="3"/>
  <c r="AH7" i="3"/>
  <c r="AI6" i="3"/>
  <c r="AE16" i="7" l="1"/>
  <c r="AF13" i="7" a="1"/>
  <c r="AF13" i="7" s="1"/>
  <c r="AF13" i="10" s="1"/>
  <c r="AF16" i="10" s="1"/>
  <c r="AI8" i="3"/>
  <c r="AI7" i="3"/>
  <c r="AJ6" i="3"/>
  <c r="AF16" i="7" l="1"/>
  <c r="AG13" i="7" a="1"/>
  <c r="AG13" i="7" s="1"/>
  <c r="AG13" i="10" s="1"/>
  <c r="AG16" i="10" s="1"/>
  <c r="AJ8" i="3"/>
  <c r="AJ7" i="3"/>
  <c r="AK6" i="3"/>
  <c r="AH13" i="7" l="1" a="1"/>
  <c r="AH13" i="7" s="1"/>
  <c r="AH13" i="10" s="1"/>
  <c r="AH16" i="10" s="1"/>
  <c r="AG16" i="7"/>
  <c r="AK8" i="3"/>
  <c r="AK7" i="3"/>
  <c r="AL6" i="3"/>
  <c r="AH16" i="7" l="1"/>
  <c r="AI13" i="7" a="1"/>
  <c r="AI13" i="7" s="1"/>
  <c r="AI13" i="10" s="1"/>
  <c r="AI16" i="10" s="1"/>
  <c r="AL8" i="3"/>
  <c r="AL7" i="3"/>
  <c r="AM6" i="3"/>
  <c r="AI16" i="7" l="1"/>
  <c r="AJ13" i="7" a="1"/>
  <c r="AJ13" i="7" s="1"/>
  <c r="AJ13" i="10" s="1"/>
  <c r="AJ16" i="10" s="1"/>
  <c r="AM8" i="3"/>
  <c r="AM7" i="3"/>
  <c r="AN6" i="3"/>
  <c r="AK13" i="7" l="1" a="1"/>
  <c r="AK13" i="7" s="1"/>
  <c r="AK16" i="7" s="1"/>
  <c r="AJ16" i="7"/>
  <c r="AN8" i="3"/>
  <c r="AN7" i="3"/>
  <c r="AO6" i="3"/>
  <c r="AK13" i="10" l="1"/>
  <c r="AK16" i="10" s="1"/>
  <c r="AL13" i="7" a="1"/>
  <c r="AL13" i="7" s="1"/>
  <c r="AL13" i="10" s="1"/>
  <c r="AO8" i="3"/>
  <c r="AO7" i="3"/>
  <c r="AP6" i="3"/>
  <c r="AL16" i="10" l="1"/>
  <c r="AL16" i="7"/>
  <c r="AM13" i="7" a="1"/>
  <c r="AM13" i="7" s="1"/>
  <c r="AM13" i="10" s="1"/>
  <c r="AM16" i="10" s="1"/>
  <c r="AP8" i="3"/>
  <c r="AP7" i="3"/>
  <c r="AQ6" i="3"/>
  <c r="AN13" i="7" l="1" a="1"/>
  <c r="AN13" i="7" s="1"/>
  <c r="AN13" i="10" s="1"/>
  <c r="AN16" i="10" s="1"/>
  <c r="AM16" i="7"/>
  <c r="AQ8" i="3"/>
  <c r="AQ7" i="3"/>
  <c r="AR6" i="3"/>
  <c r="AN16" i="7" l="1"/>
  <c r="AO13" i="7" a="1"/>
  <c r="AO13" i="7" s="1"/>
  <c r="AO13" i="10" s="1"/>
  <c r="AO16" i="10" s="1"/>
  <c r="AR8" i="3"/>
  <c r="AR7" i="3"/>
  <c r="AS6" i="3"/>
  <c r="AO16" i="7" l="1"/>
  <c r="AP13" i="7" a="1"/>
  <c r="AP13" i="7" s="1"/>
  <c r="AP13" i="10" s="1"/>
  <c r="AP16" i="10" s="1"/>
  <c r="AS8" i="3"/>
  <c r="AS7" i="3"/>
  <c r="AT6" i="3"/>
  <c r="AQ13" i="7" l="1" a="1"/>
  <c r="AQ13" i="7" s="1"/>
  <c r="AQ13" i="10" s="1"/>
  <c r="AQ16" i="10" s="1"/>
  <c r="AP16" i="7"/>
  <c r="AT8" i="3"/>
  <c r="AT7" i="3"/>
  <c r="AU6" i="3"/>
  <c r="AQ16" i="7" l="1"/>
  <c r="AR13" i="7" a="1"/>
  <c r="AR13" i="7" s="1"/>
  <c r="AR13" i="10" s="1"/>
  <c r="AR16" i="10" s="1"/>
  <c r="AU8" i="3"/>
  <c r="AU7" i="3"/>
  <c r="AV6" i="3"/>
  <c r="AS13" i="7" l="1" a="1"/>
  <c r="AS13" i="7" s="1"/>
  <c r="AS13" i="10" s="1"/>
  <c r="AS16" i="10" s="1"/>
  <c r="AR16" i="7"/>
  <c r="AV8" i="3"/>
  <c r="AV7" i="3"/>
  <c r="AW6" i="3"/>
  <c r="AT13" i="7" l="1" a="1"/>
  <c r="AT13" i="7" s="1"/>
  <c r="AT13" i="10" s="1"/>
  <c r="AT16" i="10" s="1"/>
  <c r="AS16" i="7"/>
  <c r="AW8" i="3"/>
  <c r="AW7" i="3"/>
  <c r="AX6" i="3"/>
  <c r="AT16" i="7" l="1"/>
  <c r="AU13" i="7" a="1"/>
  <c r="AU13" i="7" s="1"/>
  <c r="AU13" i="10" s="1"/>
  <c r="AU16" i="10" s="1"/>
  <c r="AX8" i="3"/>
  <c r="AX7" i="3"/>
  <c r="AY6" i="3"/>
  <c r="AU16" i="7" l="1"/>
  <c r="AV13" i="7" a="1"/>
  <c r="AV13" i="7" s="1"/>
  <c r="AV16" i="7" s="1"/>
  <c r="AY8" i="3"/>
  <c r="AY7" i="3"/>
  <c r="AZ6" i="3"/>
  <c r="AV13" i="10" l="1"/>
  <c r="AV16" i="10" s="1"/>
  <c r="AW13" i="7" a="1"/>
  <c r="AW13" i="7" s="1"/>
  <c r="AW13" i="10" s="1"/>
  <c r="AZ8" i="3"/>
  <c r="AZ7" i="3"/>
  <c r="BA6" i="3"/>
  <c r="AW16" i="10" l="1"/>
  <c r="AX13" i="7" a="1"/>
  <c r="AX13" i="7" s="1"/>
  <c r="AX13" i="10" s="1"/>
  <c r="AX16" i="10" s="1"/>
  <c r="AW16" i="7"/>
  <c r="BA8" i="3"/>
  <c r="BA7" i="3"/>
  <c r="BB6" i="3"/>
  <c r="AX16" i="7" l="1"/>
  <c r="AY13" i="7" a="1"/>
  <c r="AY13" i="7" s="1"/>
  <c r="AY13" i="10" s="1"/>
  <c r="AY16" i="10" s="1"/>
  <c r="BB8" i="3"/>
  <c r="BB7" i="3"/>
  <c r="BC6" i="3"/>
  <c r="AY16" i="7" l="1"/>
  <c r="AZ13" i="7" a="1"/>
  <c r="AZ13" i="7" s="1"/>
  <c r="AZ13" i="10" s="1"/>
  <c r="AZ16" i="10" s="1"/>
  <c r="BC8" i="3"/>
  <c r="BC7" i="3"/>
  <c r="BD6" i="3"/>
  <c r="BA13" i="7" l="1" a="1"/>
  <c r="BA13" i="7" s="1"/>
  <c r="BA13" i="10" s="1"/>
  <c r="BA16" i="10" s="1"/>
  <c r="AZ16" i="7"/>
  <c r="BD8" i="3"/>
  <c r="BD7" i="3"/>
  <c r="BE6" i="3"/>
  <c r="BA16" i="7" l="1"/>
  <c r="BB13" i="7" a="1"/>
  <c r="BB13" i="7" s="1"/>
  <c r="BB13" i="10" s="1"/>
  <c r="BB16" i="10" s="1"/>
  <c r="BE8" i="3"/>
  <c r="BE7" i="3"/>
  <c r="BF6" i="3"/>
  <c r="BB16" i="7" l="1"/>
  <c r="BC13" i="7" a="1"/>
  <c r="BC13" i="7" s="1"/>
  <c r="BC13" i="10" s="1"/>
  <c r="BC16" i="10" s="1"/>
  <c r="BF8" i="3"/>
  <c r="BF7" i="3"/>
  <c r="BG6" i="3"/>
  <c r="BD13" i="7" l="1" a="1"/>
  <c r="BD13" i="7" s="1"/>
  <c r="BD13" i="10" s="1"/>
  <c r="BD16" i="10" s="1"/>
  <c r="BC16" i="7"/>
  <c r="BG8" i="3"/>
  <c r="BG7" i="3"/>
  <c r="BH6" i="3"/>
  <c r="BD16" i="7" l="1"/>
  <c r="BE13" i="7" a="1"/>
  <c r="BE13" i="7" s="1"/>
  <c r="BE13" i="10" s="1"/>
  <c r="BE16" i="10" s="1"/>
  <c r="BH8" i="3"/>
  <c r="BH7" i="3"/>
  <c r="BI6" i="3"/>
  <c r="BF13" i="7" l="1" a="1"/>
  <c r="BF13" i="7" s="1"/>
  <c r="BF13" i="10" s="1"/>
  <c r="BF16" i="10" s="1"/>
  <c r="BE16" i="7"/>
  <c r="BI8" i="3"/>
  <c r="BI7" i="3"/>
  <c r="BJ6" i="3"/>
  <c r="BF16" i="7" l="1"/>
  <c r="BG13" i="7" a="1"/>
  <c r="BG13" i="7" s="1"/>
  <c r="BG13" i="10" s="1"/>
  <c r="BG16" i="10" s="1"/>
  <c r="BJ8" i="3"/>
  <c r="BJ7" i="3"/>
  <c r="BK6" i="3"/>
  <c r="BG16" i="7" l="1"/>
  <c r="BH13" i="7" a="1"/>
  <c r="BH13" i="7" s="1"/>
  <c r="BH13" i="10" s="1"/>
  <c r="BH16" i="10" s="1"/>
  <c r="BK8" i="3"/>
  <c r="BK7" i="3"/>
  <c r="BL6" i="3"/>
  <c r="BI13" i="7" l="1" a="1"/>
  <c r="BI13" i="7" s="1"/>
  <c r="BI13" i="10" s="1"/>
  <c r="BI16" i="10" s="1"/>
  <c r="BH16" i="7"/>
  <c r="BL8" i="3"/>
  <c r="BL7" i="3"/>
  <c r="BM6" i="3"/>
  <c r="BI16" i="7" l="1"/>
  <c r="BJ13" i="7" a="1"/>
  <c r="BJ13" i="7" s="1"/>
  <c r="BJ13" i="10" s="1"/>
  <c r="BJ16" i="10" s="1"/>
  <c r="BM8" i="3"/>
  <c r="BM7" i="3"/>
  <c r="BN6" i="3"/>
  <c r="BJ16" i="7" l="1"/>
  <c r="BK13" i="7" a="1"/>
  <c r="BK13" i="7" s="1"/>
  <c r="BK13" i="10" s="1"/>
  <c r="BK16" i="10" s="1"/>
  <c r="BN8" i="3"/>
  <c r="BN7" i="3"/>
  <c r="BO6" i="3"/>
  <c r="BK16" i="7" l="1"/>
  <c r="BL13" i="7" a="1"/>
  <c r="BL13" i="7" s="1"/>
  <c r="BL13" i="10" s="1"/>
  <c r="BL16" i="10" s="1"/>
  <c r="BO8" i="3"/>
  <c r="BO7" i="3"/>
  <c r="BP6" i="3"/>
  <c r="BL16" i="7" l="1"/>
  <c r="BM13" i="7" a="1"/>
  <c r="BM13" i="7" s="1"/>
  <c r="BM13" i="10" s="1"/>
  <c r="BM16" i="10" s="1"/>
  <c r="BP8" i="3"/>
  <c r="BP7" i="3"/>
  <c r="BQ6" i="3"/>
  <c r="BM16" i="7" l="1"/>
  <c r="BN13" i="7" a="1"/>
  <c r="BN13" i="7" s="1"/>
  <c r="BN13" i="10" s="1"/>
  <c r="BN16" i="10" s="1"/>
  <c r="BQ8" i="3"/>
  <c r="BQ7" i="3"/>
  <c r="BR6" i="3"/>
  <c r="BN16" i="7" l="1"/>
  <c r="BO13" i="7" a="1"/>
  <c r="BO13" i="7" s="1"/>
  <c r="BO13" i="10" s="1"/>
  <c r="BO16" i="10" s="1"/>
  <c r="BR8" i="3"/>
  <c r="BR7" i="3"/>
  <c r="BS6" i="3"/>
  <c r="BO16" i="7" l="1"/>
  <c r="BP13" i="7" a="1"/>
  <c r="BP13" i="7" s="1"/>
  <c r="BP13" i="10" s="1"/>
  <c r="BP16" i="10" s="1"/>
  <c r="BS8" i="3"/>
  <c r="BS7" i="3"/>
  <c r="BT6" i="3"/>
  <c r="BP16" i="7" l="1"/>
  <c r="BQ13" i="7" a="1"/>
  <c r="BQ13" i="7" s="1"/>
  <c r="BQ13" i="10" s="1"/>
  <c r="BQ16" i="10" s="1"/>
  <c r="BT8" i="3"/>
  <c r="BT7" i="3"/>
  <c r="BU6" i="3"/>
  <c r="BQ16" i="7" l="1"/>
  <c r="BR13" i="7" a="1"/>
  <c r="BR13" i="7" s="1"/>
  <c r="BR13" i="10" s="1"/>
  <c r="BR16" i="10" s="1"/>
  <c r="BU8" i="3"/>
  <c r="BU7" i="3"/>
  <c r="BV6" i="3"/>
  <c r="BS13" i="7" l="1" a="1"/>
  <c r="BS13" i="7" s="1"/>
  <c r="BS13" i="10" s="1"/>
  <c r="BS16" i="10" s="1"/>
  <c r="BR16" i="7"/>
  <c r="BV8" i="3"/>
  <c r="BV7" i="3"/>
  <c r="BW6" i="3"/>
  <c r="BS16" i="7" l="1"/>
  <c r="BT13" i="7" a="1"/>
  <c r="BT13" i="7" s="1"/>
  <c r="BT13" i="10" s="1"/>
  <c r="BT16" i="10" s="1"/>
  <c r="BW8" i="3"/>
  <c r="BW7" i="3"/>
  <c r="BX6" i="3"/>
  <c r="BT16" i="7" l="1"/>
  <c r="BU13" i="7" a="1"/>
  <c r="BU13" i="7" s="1"/>
  <c r="BU13" i="10" s="1"/>
  <c r="BU16" i="10" s="1"/>
  <c r="BX8" i="3"/>
  <c r="BX7" i="3"/>
  <c r="BY6" i="3"/>
  <c r="BU16" i="7" l="1"/>
  <c r="BV13" i="7" a="1"/>
  <c r="BV13" i="7" s="1"/>
  <c r="BV13" i="10" s="1"/>
  <c r="BV16" i="10" s="1"/>
  <c r="BY8" i="3"/>
  <c r="BY7" i="3"/>
  <c r="BZ6" i="3"/>
  <c r="BV16" i="7" l="1"/>
  <c r="BW13" i="7" a="1"/>
  <c r="BW13" i="7" s="1"/>
  <c r="BW13" i="10" s="1"/>
  <c r="BW16" i="10" s="1"/>
  <c r="BZ8" i="3"/>
  <c r="BZ7" i="3"/>
  <c r="CA6" i="3"/>
  <c r="BW16" i="7" l="1"/>
  <c r="BX13" i="7" a="1"/>
  <c r="BX13" i="7" s="1"/>
  <c r="BX13" i="10" s="1"/>
  <c r="BX16" i="10" s="1"/>
  <c r="CA8" i="3"/>
  <c r="CA7" i="3"/>
  <c r="CB6" i="3"/>
  <c r="BY13" i="7" l="1" a="1"/>
  <c r="BY13" i="7" s="1"/>
  <c r="BY13" i="10" s="1"/>
  <c r="BY16" i="10" s="1"/>
  <c r="BX16" i="7"/>
  <c r="CB8" i="3"/>
  <c r="CB7" i="3"/>
  <c r="CC6" i="3"/>
  <c r="BY16" i="7" l="1"/>
  <c r="BZ13" i="7" a="1"/>
  <c r="BZ13" i="7" s="1"/>
  <c r="BZ13" i="10" s="1"/>
  <c r="BZ16" i="10" s="1"/>
  <c r="CC8" i="3"/>
  <c r="CC7" i="3"/>
  <c r="CD6" i="3"/>
  <c r="BZ16" i="7" l="1"/>
  <c r="CA13" i="7" a="1"/>
  <c r="CA13" i="7" s="1"/>
  <c r="CA16" i="7" s="1"/>
  <c r="CD8" i="3"/>
  <c r="CD7" i="3"/>
  <c r="CE6" i="3"/>
  <c r="CA13" i="10" l="1"/>
  <c r="CA16" i="10" s="1"/>
  <c r="CB13" i="7" a="1"/>
  <c r="CB13" i="7" s="1"/>
  <c r="CB13" i="10" s="1"/>
  <c r="CE8" i="3"/>
  <c r="CE7" i="3"/>
  <c r="CF6" i="3"/>
  <c r="CB16" i="10" l="1"/>
  <c r="CB16" i="7"/>
  <c r="CC13" i="7" a="1"/>
  <c r="CC13" i="7" s="1"/>
  <c r="CC13" i="10" s="1"/>
  <c r="CC16" i="10" s="1"/>
  <c r="CF8" i="3"/>
  <c r="CF7" i="3"/>
  <c r="CG6" i="3"/>
  <c r="CD13" i="7" l="1" a="1"/>
  <c r="CD13" i="7" s="1"/>
  <c r="CD16" i="7" s="1"/>
  <c r="CC16" i="7"/>
  <c r="CG8" i="3"/>
  <c r="CG7" i="3"/>
  <c r="CH6" i="3"/>
  <c r="CD13" i="10" l="1"/>
  <c r="CD16" i="10" s="1"/>
  <c r="CE13" i="7" a="1"/>
  <c r="CE13" i="7" s="1"/>
  <c r="CE13" i="10" s="1"/>
  <c r="CH8" i="3"/>
  <c r="CH7" i="3"/>
  <c r="CI6" i="3"/>
  <c r="CE16" i="10" l="1"/>
  <c r="CE16" i="7"/>
  <c r="CF13" i="7" a="1"/>
  <c r="CF13" i="7" s="1"/>
  <c r="CF13" i="10" s="1"/>
  <c r="CF16" i="10" s="1"/>
  <c r="CI8" i="3"/>
  <c r="CI7" i="3"/>
  <c r="CJ6" i="3"/>
  <c r="CF16" i="7" l="1"/>
  <c r="CG13" i="7" a="1"/>
  <c r="CG13" i="7" s="1"/>
  <c r="CG13" i="10" s="1"/>
  <c r="CG16" i="10" s="1"/>
  <c r="CJ8" i="3"/>
  <c r="CJ7" i="3"/>
  <c r="CK6" i="3"/>
  <c r="CG16" i="7" l="1"/>
  <c r="CH13" i="7" a="1"/>
  <c r="CH13" i="7" s="1"/>
  <c r="CH13" i="10" s="1"/>
  <c r="CH16" i="10" s="1"/>
  <c r="CK8" i="3"/>
  <c r="CK7" i="3"/>
  <c r="CL6" i="3"/>
  <c r="CH16" i="7" l="1"/>
  <c r="CI13" i="7" a="1"/>
  <c r="CI13" i="7" s="1"/>
  <c r="CI13" i="10" s="1"/>
  <c r="CI16" i="10" s="1"/>
  <c r="CL8" i="3"/>
  <c r="CL7" i="3"/>
  <c r="CM6" i="3"/>
  <c r="CI16" i="7" l="1"/>
  <c r="CJ13" i="7" a="1"/>
  <c r="CJ13" i="7" s="1"/>
  <c r="CJ13" i="10" s="1"/>
  <c r="CJ16" i="10" s="1"/>
  <c r="CM8" i="3"/>
  <c r="CM7" i="3"/>
  <c r="CN6" i="3"/>
  <c r="CJ16" i="7" l="1"/>
  <c r="CK13" i="7" a="1"/>
  <c r="CK13" i="7" s="1"/>
  <c r="CK13" i="10" s="1"/>
  <c r="CK16" i="10" s="1"/>
  <c r="CN8" i="3"/>
  <c r="CN7" i="3"/>
  <c r="CO6" i="3"/>
  <c r="CK16" i="7" l="1"/>
  <c r="CL13" i="7" a="1"/>
  <c r="CL13" i="7" s="1"/>
  <c r="CL13" i="10" s="1"/>
  <c r="CL16" i="10" s="1"/>
  <c r="CO8" i="3"/>
  <c r="CO7" i="3"/>
  <c r="CP6" i="3"/>
  <c r="CL16" i="7" l="1"/>
  <c r="CM13" i="7" a="1"/>
  <c r="CM13" i="7" s="1"/>
  <c r="CM13" i="10" s="1"/>
  <c r="CM16" i="10" s="1"/>
  <c r="CP8" i="3"/>
  <c r="CP7" i="3"/>
  <c r="CQ6" i="3"/>
  <c r="CM16" i="7" l="1"/>
  <c r="CN13" i="7" a="1"/>
  <c r="CN13" i="7" s="1"/>
  <c r="CN13" i="10" s="1"/>
  <c r="CN16" i="10" s="1"/>
  <c r="CQ8" i="3"/>
  <c r="CQ7" i="3"/>
  <c r="CR6" i="3"/>
  <c r="CN16" i="7" l="1"/>
  <c r="CO13" i="7" a="1"/>
  <c r="CO13" i="7" s="1"/>
  <c r="CO13" i="10" s="1"/>
  <c r="CO16" i="10" s="1"/>
  <c r="CR8" i="3"/>
  <c r="CR7" i="3"/>
  <c r="CS6" i="3"/>
  <c r="CO16" i="7" l="1"/>
  <c r="CP13" i="7" a="1"/>
  <c r="CP13" i="7" s="1"/>
  <c r="CS8" i="3"/>
  <c r="CS7" i="3"/>
  <c r="CT6" i="3"/>
  <c r="CP13" i="10" l="1"/>
  <c r="CP16" i="10" s="1"/>
  <c r="CP16" i="7"/>
  <c r="CU6" i="3"/>
  <c r="CT8" i="3"/>
  <c r="CT7" i="3"/>
  <c r="N1" i="2"/>
  <c r="CQ13" i="10" l="1"/>
  <c r="CQ16" i="10" s="1"/>
  <c r="CQ13" i="7" a="1"/>
  <c r="CQ13" i="7" s="1"/>
  <c r="CQ16" i="7" s="1"/>
  <c r="CV6" i="3"/>
  <c r="CU7" i="3"/>
  <c r="CU9" i="3"/>
  <c r="CU8" i="3"/>
  <c r="F1" i="2"/>
  <c r="P1" i="2"/>
  <c r="CR13" i="10" l="1"/>
  <c r="CR16" i="10" s="1"/>
  <c r="CR13" i="7" a="1"/>
  <c r="CR13" i="7" s="1"/>
  <c r="CR16" i="7" s="1"/>
  <c r="CS12" i="7" a="1"/>
  <c r="CS12" i="7" s="1"/>
  <c r="CS13" i="7" a="1"/>
  <c r="CS13" i="7" s="1"/>
  <c r="CR12" i="10"/>
  <c r="CQ12" i="10"/>
  <c r="CW6" i="3"/>
  <c r="CV7" i="3"/>
  <c r="CV8" i="3"/>
  <c r="CV9" i="3"/>
  <c r="H1" i="2"/>
  <c r="Q1" i="2"/>
  <c r="I1" i="2" s="1"/>
  <c r="CS16" i="7" l="1"/>
  <c r="CT13" i="7" a="1"/>
  <c r="CT13" i="7" s="1"/>
  <c r="CT16" i="7" s="1"/>
  <c r="CR15" i="10"/>
  <c r="CT12" i="7" a="1"/>
  <c r="CT12" i="7" s="1"/>
  <c r="CT15" i="7" s="1"/>
  <c r="CX6" i="3"/>
  <c r="CW9" i="3"/>
  <c r="CW7" i="3"/>
  <c r="CW8" i="3"/>
  <c r="CU12" i="7" l="1" a="1"/>
  <c r="CU12" i="7" s="1"/>
  <c r="CU15" i="7" s="1"/>
  <c r="CU13" i="7" a="1"/>
  <c r="CU13" i="7" s="1"/>
  <c r="CU16" i="7" s="1"/>
  <c r="CY6" i="3"/>
  <c r="CX8" i="3"/>
  <c r="CX9" i="3"/>
  <c r="CX7" i="3"/>
  <c r="CV13" i="7" l="1" a="1"/>
  <c r="CV13" i="7" s="1"/>
  <c r="CV16" i="7" s="1"/>
  <c r="CV12" i="7" a="1"/>
  <c r="CV12" i="7" s="1"/>
  <c r="CV15" i="7" s="1"/>
  <c r="CZ6" i="3"/>
  <c r="CY8" i="3"/>
  <c r="CY7" i="3"/>
  <c r="CY9" i="3"/>
  <c r="CW12" i="7" l="1" a="1"/>
  <c r="CW12" i="7" s="1"/>
  <c r="CW15" i="7" s="1"/>
  <c r="CW13" i="7" a="1"/>
  <c r="CW13" i="7" s="1"/>
  <c r="CW16" i="7" s="1"/>
  <c r="DA6" i="3"/>
  <c r="CZ7" i="3"/>
  <c r="CZ8" i="3"/>
  <c r="CZ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B12" i="7" s="1" a="1"/>
  <c r="CB12" i="7" s="1"/>
  <c r="CC9" i="3"/>
  <c r="CB9" i="3"/>
  <c r="BZ12" i="7" s="1" a="1"/>
  <c r="BZ12" i="7" s="1"/>
  <c r="CA9" i="3"/>
  <c r="BZ9" i="3"/>
  <c r="BY9" i="3"/>
  <c r="BW12" i="7" s="1" a="1"/>
  <c r="BW12" i="7" s="1"/>
  <c r="BX9" i="3"/>
  <c r="BW9" i="3"/>
  <c r="BU12" i="7" s="1" a="1"/>
  <c r="BU12" i="7" s="1"/>
  <c r="BV9" i="3"/>
  <c r="BU9" i="3"/>
  <c r="BS12" i="7" s="1" a="1"/>
  <c r="BS12" i="7" s="1"/>
  <c r="BT9" i="3"/>
  <c r="BR12" i="7" s="1" a="1"/>
  <c r="BR12" i="7" s="1"/>
  <c r="BS9" i="3"/>
  <c r="BR9" i="3"/>
  <c r="BQ9" i="3"/>
  <c r="BP9" i="3"/>
  <c r="BN12" i="7" s="1" a="1"/>
  <c r="BN12" i="7" s="1"/>
  <c r="BO9" i="3"/>
  <c r="BN9" i="3"/>
  <c r="BL12" i="7" s="1" a="1"/>
  <c r="BL12" i="7" s="1"/>
  <c r="BM9" i="3"/>
  <c r="BL9" i="3"/>
  <c r="BJ12" i="7" s="1" a="1"/>
  <c r="BJ12" i="7" s="1"/>
  <c r="BK9" i="3"/>
  <c r="BJ9" i="3"/>
  <c r="BH12" i="7" s="1" a="1"/>
  <c r="BH12" i="7" s="1"/>
  <c r="BI9" i="3"/>
  <c r="BH9" i="3"/>
  <c r="BG9" i="3"/>
  <c r="BF9" i="3"/>
  <c r="BE9" i="3"/>
  <c r="BD9" i="3"/>
  <c r="BC9" i="3"/>
  <c r="BA12" i="7" s="1" a="1"/>
  <c r="BA12" i="7" s="1"/>
  <c r="BB9" i="3"/>
  <c r="BA9" i="3"/>
  <c r="AZ9" i="3"/>
  <c r="AY9" i="3"/>
  <c r="AX9" i="3"/>
  <c r="AV12" i="7" s="1" a="1"/>
  <c r="AV12" i="7" s="1"/>
  <c r="AW9" i="3"/>
  <c r="AV9" i="3"/>
  <c r="AT12" i="7" s="1" a="1"/>
  <c r="AT12" i="7" s="1"/>
  <c r="AU9" i="3"/>
  <c r="AT9" i="3"/>
  <c r="AS9" i="3"/>
  <c r="AR9" i="3"/>
  <c r="AP12" i="7" s="1" a="1"/>
  <c r="AP12" i="7" s="1"/>
  <c r="AQ9" i="3"/>
  <c r="AP9" i="3"/>
  <c r="AO9" i="3"/>
  <c r="AM12" i="7" s="1" a="1"/>
  <c r="AM12" i="7" s="1"/>
  <c r="AN9" i="3"/>
  <c r="AL12" i="7" s="1" a="1"/>
  <c r="AL12" i="7" s="1"/>
  <c r="AM9" i="3"/>
  <c r="AK12" i="7" s="1" a="1"/>
  <c r="AK12" i="7" s="1"/>
  <c r="AL9" i="3"/>
  <c r="AJ12" i="7" s="1" a="1"/>
  <c r="AJ12" i="7" s="1"/>
  <c r="AK9" i="3"/>
  <c r="AI12" i="7" s="1" a="1"/>
  <c r="AI12" i="7" s="1"/>
  <c r="AJ9" i="3"/>
  <c r="AH12" i="7" s="1" a="1"/>
  <c r="AH12" i="7" s="1"/>
  <c r="AI9" i="3"/>
  <c r="AG12" i="7" s="1" a="1"/>
  <c r="AG12" i="7" s="1"/>
  <c r="AH9" i="3"/>
  <c r="AF12" i="7" s="1" a="1"/>
  <c r="AF12" i="7" s="1"/>
  <c r="AG9" i="3"/>
  <c r="AE12" i="7" s="1" a="1"/>
  <c r="AE12" i="7" s="1"/>
  <c r="AF9" i="3"/>
  <c r="AD12" i="7" s="1" a="1"/>
  <c r="AD12" i="7" s="1"/>
  <c r="AE9" i="3"/>
  <c r="AC12" i="7" s="1" a="1"/>
  <c r="AC12" i="7" s="1"/>
  <c r="AD9" i="3"/>
  <c r="AB12" i="7" s="1" a="1"/>
  <c r="AB12" i="7" s="1"/>
  <c r="AC9" i="3"/>
  <c r="AA12" i="7" s="1" a="1"/>
  <c r="AA12" i="7" s="1"/>
  <c r="AB9" i="3"/>
  <c r="Z12" i="7" s="1" a="1"/>
  <c r="Z12" i="7" s="1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12" i="7" a="1"/>
  <c r="D12" i="7" s="1"/>
  <c r="Y12" i="7" l="1" a="1"/>
  <c r="Y12" i="7" s="1"/>
  <c r="Y12" i="10" s="1"/>
  <c r="Y14" i="7" a="1"/>
  <c r="Y14" i="7" s="1"/>
  <c r="X12" i="7" a="1"/>
  <c r="X12" i="7" s="1"/>
  <c r="X14" i="7" a="1"/>
  <c r="X14" i="7" s="1"/>
  <c r="X14" i="10" s="1"/>
  <c r="W12" i="7" a="1"/>
  <c r="W12" i="7" s="1"/>
  <c r="W14" i="7" a="1"/>
  <c r="W14" i="7" s="1"/>
  <c r="W14" i="10" s="1"/>
  <c r="V12" i="7" a="1"/>
  <c r="V12" i="7" s="1"/>
  <c r="V12" i="10" s="1"/>
  <c r="V14" i="7" a="1"/>
  <c r="V14" i="7" s="1"/>
  <c r="U12" i="7" a="1"/>
  <c r="U12" i="7" s="1"/>
  <c r="U12" i="10" s="1"/>
  <c r="U14" i="7" a="1"/>
  <c r="U14" i="7" s="1"/>
  <c r="T12" i="7" a="1"/>
  <c r="T12" i="7" s="1"/>
  <c r="T14" i="7" a="1"/>
  <c r="T14" i="7" s="1"/>
  <c r="T14" i="10" s="1"/>
  <c r="S12" i="7" a="1"/>
  <c r="S12" i="7" s="1"/>
  <c r="S12" i="10" s="1"/>
  <c r="S14" i="7" a="1"/>
  <c r="S14" i="7" s="1"/>
  <c r="S14" i="10" s="1"/>
  <c r="R12" i="7" a="1"/>
  <c r="R12" i="7" s="1"/>
  <c r="R12" i="10" s="1"/>
  <c r="R14" i="7" a="1"/>
  <c r="R14" i="7" s="1"/>
  <c r="Q12" i="7" a="1"/>
  <c r="Q12" i="7" s="1"/>
  <c r="Q12" i="10" s="1"/>
  <c r="Q14" i="7" a="1"/>
  <c r="Q14" i="7" s="1"/>
  <c r="P12" i="7" a="1"/>
  <c r="P12" i="7" s="1"/>
  <c r="P12" i="10" s="1"/>
  <c r="P14" i="7" a="1"/>
  <c r="P14" i="7" s="1"/>
  <c r="P14" i="10" s="1"/>
  <c r="O12" i="7" a="1"/>
  <c r="O12" i="7" s="1"/>
  <c r="O12" i="10" s="1"/>
  <c r="O14" i="7" a="1"/>
  <c r="O14" i="7" s="1"/>
  <c r="N12" i="7" a="1"/>
  <c r="N12" i="7" s="1"/>
  <c r="N12" i="10" s="1"/>
  <c r="N14" i="7" a="1"/>
  <c r="N14" i="7" s="1"/>
  <c r="M12" i="7" a="1"/>
  <c r="M12" i="7" s="1"/>
  <c r="M12" i="10" s="1"/>
  <c r="M14" i="7" a="1"/>
  <c r="M14" i="7" s="1"/>
  <c r="L12" i="7" a="1"/>
  <c r="L12" i="7" s="1"/>
  <c r="L12" i="10" s="1"/>
  <c r="L14" i="7" a="1"/>
  <c r="L14" i="7" s="1"/>
  <c r="L14" i="10" s="1"/>
  <c r="K12" i="7" a="1"/>
  <c r="K12" i="7" s="1"/>
  <c r="K12" i="10" s="1"/>
  <c r="K14" i="7" a="1"/>
  <c r="K14" i="7" s="1"/>
  <c r="K14" i="10" s="1"/>
  <c r="J12" i="7" a="1"/>
  <c r="J12" i="7" s="1"/>
  <c r="J12" i="10" s="1"/>
  <c r="J14" i="7" a="1"/>
  <c r="J14" i="7" s="1"/>
  <c r="G12" i="7" a="1"/>
  <c r="G12" i="7" s="1"/>
  <c r="G12" i="10" s="1"/>
  <c r="G14" i="7" a="1"/>
  <c r="G14" i="7" s="1"/>
  <c r="H12" i="7" a="1"/>
  <c r="H12" i="7" s="1"/>
  <c r="H12" i="10" s="1"/>
  <c r="H14" i="7" a="1"/>
  <c r="H14" i="7" s="1"/>
  <c r="I12" i="7" a="1"/>
  <c r="I12" i="7" s="1"/>
  <c r="I12" i="10" s="1"/>
  <c r="I14" i="7" a="1"/>
  <c r="I14" i="7" s="1"/>
  <c r="E12" i="7" a="1"/>
  <c r="E12" i="7" s="1"/>
  <c r="E12" i="10" s="1"/>
  <c r="E14" i="7" a="1"/>
  <c r="E14" i="7" s="1"/>
  <c r="F12" i="7" a="1"/>
  <c r="F12" i="7" s="1"/>
  <c r="F12" i="10" s="1"/>
  <c r="F14" i="7" a="1"/>
  <c r="F14" i="7" s="1"/>
  <c r="AG12" i="10"/>
  <c r="AG15" i="7"/>
  <c r="AH12" i="10"/>
  <c r="AH15" i="7"/>
  <c r="BR12" i="10"/>
  <c r="AI12" i="10"/>
  <c r="AI15" i="7"/>
  <c r="BH12" i="10"/>
  <c r="AL12" i="10"/>
  <c r="AL15" i="7"/>
  <c r="AF12" i="10"/>
  <c r="AF15" i="7"/>
  <c r="CB12" i="10"/>
  <c r="AT12" i="10"/>
  <c r="BS12" i="10"/>
  <c r="BS15" i="7"/>
  <c r="AJ12" i="10"/>
  <c r="AJ15" i="7"/>
  <c r="AV12" i="10"/>
  <c r="AK15" i="7"/>
  <c r="AK12" i="10"/>
  <c r="BU12" i="10"/>
  <c r="Z12" i="10"/>
  <c r="Z15" i="7"/>
  <c r="BJ12" i="10"/>
  <c r="AA12" i="10"/>
  <c r="AA15" i="7"/>
  <c r="AM12" i="10"/>
  <c r="AM15" i="7"/>
  <c r="BW12" i="10"/>
  <c r="AB12" i="10"/>
  <c r="AB15" i="7"/>
  <c r="BL12" i="10"/>
  <c r="AC12" i="10"/>
  <c r="AC15" i="7"/>
  <c r="BA12" i="10"/>
  <c r="AD12" i="10"/>
  <c r="AD15" i="7"/>
  <c r="AP12" i="10"/>
  <c r="BN12" i="10"/>
  <c r="BZ12" i="10"/>
  <c r="AE12" i="10"/>
  <c r="AE15" i="7"/>
  <c r="D14" i="7" a="1"/>
  <c r="D14" i="7" s="1"/>
  <c r="D17" i="7" s="1"/>
  <c r="AR12" i="7" a="1"/>
  <c r="AR12" i="7" s="1"/>
  <c r="BD12" i="7" a="1"/>
  <c r="BD12" i="7" s="1"/>
  <c r="BP14" i="10"/>
  <c r="BP12" i="7" a="1"/>
  <c r="BP12" i="7" s="1"/>
  <c r="CN12" i="7" a="1"/>
  <c r="CN12" i="7" s="1"/>
  <c r="AS12" i="7" a="1"/>
  <c r="AS12" i="7" s="1"/>
  <c r="BE12" i="7" a="1"/>
  <c r="BE12" i="7" s="1"/>
  <c r="BQ14" i="10"/>
  <c r="BQ12" i="7" a="1"/>
  <c r="BQ12" i="7" s="1"/>
  <c r="CC12" i="7" a="1"/>
  <c r="CC12" i="7" s="1"/>
  <c r="CO12" i="7" a="1"/>
  <c r="CO12" i="7" s="1"/>
  <c r="BF12" i="7" a="1"/>
  <c r="BF12" i="7" s="1"/>
  <c r="CD14" i="10"/>
  <c r="CD12" i="7" a="1"/>
  <c r="CD12" i="7" s="1"/>
  <c r="CP12" i="7" a="1"/>
  <c r="CP12" i="7" s="1"/>
  <c r="AU12" i="7" a="1"/>
  <c r="AU12" i="7" s="1"/>
  <c r="BG12" i="7" a="1"/>
  <c r="BG12" i="7" s="1"/>
  <c r="CE14" i="10"/>
  <c r="CE12" i="7" a="1"/>
  <c r="CE12" i="7" s="1"/>
  <c r="CQ12" i="7" a="1"/>
  <c r="CQ12" i="7" s="1"/>
  <c r="BT14" i="10"/>
  <c r="BT12" i="7" a="1"/>
  <c r="BT12" i="7" s="1"/>
  <c r="CF14" i="10"/>
  <c r="CF12" i="7" a="1"/>
  <c r="CF12" i="7" s="1"/>
  <c r="CR12" i="7" a="1"/>
  <c r="CR12" i="7" s="1"/>
  <c r="AW12" i="7" a="1"/>
  <c r="AW12" i="7" s="1"/>
  <c r="BI14" i="10"/>
  <c r="BI12" i="7" a="1"/>
  <c r="BI12" i="7" s="1"/>
  <c r="CG12" i="7" a="1"/>
  <c r="CG12" i="7" s="1"/>
  <c r="AX14" i="10"/>
  <c r="AX12" i="7" a="1"/>
  <c r="AX12" i="7" s="1"/>
  <c r="BV14" i="10"/>
  <c r="BV12" i="7" a="1"/>
  <c r="BV12" i="7" s="1"/>
  <c r="CH12" i="7" a="1"/>
  <c r="CH12" i="7" s="1"/>
  <c r="AY14" i="10"/>
  <c r="AY12" i="7" a="1"/>
  <c r="AY12" i="7" s="1"/>
  <c r="BK14" i="10"/>
  <c r="BK12" i="7" a="1"/>
  <c r="BK12" i="7" s="1"/>
  <c r="CI12" i="7" a="1"/>
  <c r="CI12" i="7" s="1"/>
  <c r="AN12" i="7" a="1"/>
  <c r="AN12" i="7" s="1"/>
  <c r="AZ12" i="7" a="1"/>
  <c r="AZ12" i="7" s="1"/>
  <c r="BX12" i="7" a="1"/>
  <c r="BX12" i="7" s="1"/>
  <c r="CJ12" i="7" a="1"/>
  <c r="CJ12" i="7" s="1"/>
  <c r="AO14" i="10"/>
  <c r="AO12" i="7" a="1"/>
  <c r="AO12" i="7" s="1"/>
  <c r="BM14" i="10"/>
  <c r="BM12" i="7" a="1"/>
  <c r="BM12" i="7" s="1"/>
  <c r="BY14" i="10"/>
  <c r="BY12" i="7" a="1"/>
  <c r="BY12" i="7" s="1"/>
  <c r="CK12" i="7" a="1"/>
  <c r="CK12" i="7" s="1"/>
  <c r="BB12" i="7" a="1"/>
  <c r="BB12" i="7" s="1"/>
  <c r="CL12" i="7" a="1"/>
  <c r="CL12" i="7" s="1"/>
  <c r="AQ14" i="10"/>
  <c r="AQ12" i="7" a="1"/>
  <c r="AQ12" i="7" s="1"/>
  <c r="BC14" i="10"/>
  <c r="BC12" i="7" a="1"/>
  <c r="BC12" i="7" s="1"/>
  <c r="BO14" i="10"/>
  <c r="BO12" i="7" a="1"/>
  <c r="BO12" i="7" s="1"/>
  <c r="CA14" i="10"/>
  <c r="CA12" i="7" a="1"/>
  <c r="CA12" i="7" s="1"/>
  <c r="CM12" i="7" a="1"/>
  <c r="CM12" i="7" s="1"/>
  <c r="CX12" i="7" a="1"/>
  <c r="CX12" i="7" s="1"/>
  <c r="CX15" i="7" s="1"/>
  <c r="AI14" i="10"/>
  <c r="AJ14" i="10"/>
  <c r="AK14" i="10"/>
  <c r="BU14" i="10"/>
  <c r="Z14" i="10"/>
  <c r="BJ14" i="10"/>
  <c r="BW14" i="10"/>
  <c r="AV14" i="10"/>
  <c r="AC14" i="10"/>
  <c r="BA14" i="10"/>
  <c r="AD14" i="10"/>
  <c r="AP14" i="10"/>
  <c r="BZ14" i="10"/>
  <c r="AE14" i="10"/>
  <c r="AF14" i="10"/>
  <c r="CB14" i="10"/>
  <c r="BS14" i="10"/>
  <c r="AG14" i="10"/>
  <c r="BH14" i="10"/>
  <c r="BR14" i="10"/>
  <c r="CX13" i="7" a="1"/>
  <c r="CX13" i="7" s="1"/>
  <c r="CX16" i="7" s="1"/>
  <c r="DB6" i="3"/>
  <c r="DA9" i="3"/>
  <c r="DA7" i="3"/>
  <c r="DA8" i="3"/>
  <c r="CG14" i="10"/>
  <c r="CC14" i="10"/>
  <c r="BX14" i="10"/>
  <c r="BG14" i="10"/>
  <c r="BF14" i="10"/>
  <c r="BD14" i="10"/>
  <c r="BB14" i="10"/>
  <c r="AW14" i="10"/>
  <c r="AU14" i="10"/>
  <c r="AR14" i="10"/>
  <c r="Y15" i="7" l="1"/>
  <c r="X12" i="10"/>
  <c r="Y17" i="7"/>
  <c r="X17" i="7"/>
  <c r="X15" i="7"/>
  <c r="W12" i="10"/>
  <c r="X15" i="10" s="1"/>
  <c r="U17" i="7"/>
  <c r="V14" i="10"/>
  <c r="W17" i="10" s="1"/>
  <c r="V17" i="7"/>
  <c r="W17" i="7"/>
  <c r="U15" i="7"/>
  <c r="W15" i="7"/>
  <c r="V15" i="7"/>
  <c r="T12" i="10"/>
  <c r="U15" i="10" s="1"/>
  <c r="T15" i="7"/>
  <c r="S15" i="7"/>
  <c r="T17" i="7"/>
  <c r="R17" i="7"/>
  <c r="S17" i="7"/>
  <c r="R15" i="7"/>
  <c r="Q15" i="7"/>
  <c r="N15" i="7"/>
  <c r="Q17" i="7"/>
  <c r="P15" i="7"/>
  <c r="O15" i="7"/>
  <c r="P17" i="7"/>
  <c r="F17" i="7"/>
  <c r="M14" i="10"/>
  <c r="M17" i="10" s="1"/>
  <c r="M17" i="7"/>
  <c r="N17" i="7"/>
  <c r="G17" i="7"/>
  <c r="O17" i="7"/>
  <c r="M15" i="7"/>
  <c r="L15" i="7"/>
  <c r="K17" i="7"/>
  <c r="K15" i="7"/>
  <c r="I14" i="10"/>
  <c r="I17" i="7"/>
  <c r="J17" i="7"/>
  <c r="H14" i="10"/>
  <c r="H17" i="7"/>
  <c r="E17" i="7"/>
  <c r="L17" i="7"/>
  <c r="G14" i="10"/>
  <c r="J15" i="7"/>
  <c r="E14" i="10"/>
  <c r="H15" i="7"/>
  <c r="I15" i="10"/>
  <c r="G15" i="7"/>
  <c r="M15" i="10"/>
  <c r="I15" i="7"/>
  <c r="F14" i="10"/>
  <c r="AC15" i="10"/>
  <c r="D14" i="10"/>
  <c r="D17" i="10" s="1"/>
  <c r="F15" i="7"/>
  <c r="BS15" i="10"/>
  <c r="AE15" i="10"/>
  <c r="R15" i="10"/>
  <c r="F15" i="10"/>
  <c r="J15" i="10"/>
  <c r="AJ15" i="10"/>
  <c r="AM15" i="10"/>
  <c r="V15" i="10"/>
  <c r="P15" i="10"/>
  <c r="AZ14" i="10"/>
  <c r="BA17" i="10" s="1"/>
  <c r="BE14" i="10"/>
  <c r="BF17" i="10" s="1"/>
  <c r="AH15" i="10"/>
  <c r="Y15" i="10"/>
  <c r="AD15" i="10"/>
  <c r="AN14" i="10"/>
  <c r="AO17" i="10" s="1"/>
  <c r="G15" i="10"/>
  <c r="AS14" i="10"/>
  <c r="AS17" i="10" s="1"/>
  <c r="O15" i="10"/>
  <c r="K15" i="10"/>
  <c r="AB15" i="10"/>
  <c r="Z15" i="10"/>
  <c r="L15" i="10"/>
  <c r="BT12" i="10"/>
  <c r="BT15" i="10" s="1"/>
  <c r="BT15" i="7"/>
  <c r="BU15" i="7"/>
  <c r="BM12" i="10"/>
  <c r="BM15" i="10" s="1"/>
  <c r="BM15" i="7"/>
  <c r="BN15" i="7"/>
  <c r="CO12" i="10"/>
  <c r="CO15" i="7"/>
  <c r="BC12" i="10"/>
  <c r="BC15" i="7"/>
  <c r="BF12" i="10"/>
  <c r="BF15" i="7"/>
  <c r="AQ15" i="7"/>
  <c r="AQ12" i="10"/>
  <c r="AQ15" i="10" s="1"/>
  <c r="AO12" i="10"/>
  <c r="AP15" i="10" s="1"/>
  <c r="AO15" i="7"/>
  <c r="AP15" i="7"/>
  <c r="BK12" i="10"/>
  <c r="BK15" i="10" s="1"/>
  <c r="BK15" i="7"/>
  <c r="BL15" i="7"/>
  <c r="BI12" i="10"/>
  <c r="BI15" i="10" s="1"/>
  <c r="BI15" i="7"/>
  <c r="BJ15" i="7"/>
  <c r="CE15" i="7"/>
  <c r="CE12" i="10"/>
  <c r="CM12" i="10"/>
  <c r="CM15" i="7"/>
  <c r="BO12" i="10"/>
  <c r="BO15" i="10" s="1"/>
  <c r="BO15" i="7"/>
  <c r="AN12" i="10"/>
  <c r="AN15" i="10" s="1"/>
  <c r="AN15" i="7"/>
  <c r="CD12" i="10"/>
  <c r="CD15" i="7"/>
  <c r="AS12" i="10"/>
  <c r="AT15" i="10" s="1"/>
  <c r="AS15" i="7"/>
  <c r="AT15" i="7"/>
  <c r="CG15" i="7"/>
  <c r="CG12" i="10"/>
  <c r="CN12" i="10"/>
  <c r="CN15" i="7"/>
  <c r="BP12" i="10"/>
  <c r="BP15" i="7"/>
  <c r="BG12" i="10"/>
  <c r="BG15" i="7"/>
  <c r="BH15" i="7"/>
  <c r="AX12" i="10"/>
  <c r="AX15" i="7"/>
  <c r="CI12" i="10"/>
  <c r="CI15" i="7"/>
  <c r="CL15" i="7"/>
  <c r="CL12" i="10"/>
  <c r="CJ12" i="10"/>
  <c r="CJ15" i="7"/>
  <c r="AY12" i="10"/>
  <c r="AY15" i="7"/>
  <c r="AW12" i="10"/>
  <c r="AW15" i="10" s="1"/>
  <c r="AW15" i="7"/>
  <c r="CC15" i="7"/>
  <c r="CC12" i="10"/>
  <c r="CC15" i="10" s="1"/>
  <c r="BD15" i="7"/>
  <c r="BD12" i="10"/>
  <c r="BX12" i="10"/>
  <c r="BX15" i="10" s="1"/>
  <c r="BX15" i="7"/>
  <c r="CR15" i="7"/>
  <c r="CS15" i="7"/>
  <c r="AZ12" i="10"/>
  <c r="AZ15" i="7"/>
  <c r="BA15" i="7"/>
  <c r="CF12" i="10"/>
  <c r="CF15" i="7"/>
  <c r="BE15" i="7"/>
  <c r="BE12" i="10"/>
  <c r="D12" i="10"/>
  <c r="D15" i="10" s="1"/>
  <c r="D15" i="7"/>
  <c r="E15" i="7"/>
  <c r="BY12" i="10"/>
  <c r="BZ15" i="10" s="1"/>
  <c r="BY15" i="7"/>
  <c r="BZ15" i="7"/>
  <c r="BB12" i="10"/>
  <c r="BB15" i="10" s="1"/>
  <c r="BB15" i="7"/>
  <c r="CH12" i="10"/>
  <c r="CH15" i="7"/>
  <c r="AU12" i="10"/>
  <c r="AU15" i="10" s="1"/>
  <c r="AU15" i="7"/>
  <c r="AV15" i="7"/>
  <c r="BQ12" i="10"/>
  <c r="BR15" i="10" s="1"/>
  <c r="BQ15" i="7"/>
  <c r="BR15" i="7"/>
  <c r="AR12" i="10"/>
  <c r="AR15" i="7"/>
  <c r="CA12" i="10"/>
  <c r="CA15" i="10" s="1"/>
  <c r="CA15" i="7"/>
  <c r="CB15" i="7"/>
  <c r="CK12" i="10"/>
  <c r="CK15" i="7"/>
  <c r="BV12" i="10"/>
  <c r="BV15" i="10" s="1"/>
  <c r="BV15" i="7"/>
  <c r="BW15" i="7"/>
  <c r="CQ15" i="7"/>
  <c r="CP12" i="10"/>
  <c r="CP15" i="7"/>
  <c r="AG15" i="10"/>
  <c r="Q15" i="10"/>
  <c r="N15" i="10"/>
  <c r="AI15" i="10"/>
  <c r="AF15" i="10"/>
  <c r="AK15" i="10"/>
  <c r="S15" i="10"/>
  <c r="AA15" i="10"/>
  <c r="W15" i="10"/>
  <c r="AL15" i="10"/>
  <c r="H15" i="10"/>
  <c r="AK17" i="10"/>
  <c r="CG17" i="10"/>
  <c r="X17" i="10"/>
  <c r="T17" i="10"/>
  <c r="AH14" i="10"/>
  <c r="AI17" i="10" s="1"/>
  <c r="L17" i="10"/>
  <c r="BN14" i="10"/>
  <c r="BO17" i="10" s="1"/>
  <c r="J14" i="10"/>
  <c r="Q14" i="10"/>
  <c r="Q17" i="10" s="1"/>
  <c r="AB14" i="10"/>
  <c r="AC17" i="10" s="1"/>
  <c r="BB17" i="10"/>
  <c r="BV17" i="10"/>
  <c r="AW17" i="10"/>
  <c r="CC17" i="10"/>
  <c r="AF17" i="10"/>
  <c r="AG17" i="10"/>
  <c r="BS17" i="10"/>
  <c r="AE17" i="10"/>
  <c r="AD17" i="10"/>
  <c r="AJ17" i="10"/>
  <c r="AT14" i="10"/>
  <c r="AU17" i="10" s="1"/>
  <c r="BR17" i="10"/>
  <c r="AA14" i="10"/>
  <c r="Y14" i="10"/>
  <c r="AP17" i="10"/>
  <c r="BL14" i="10"/>
  <c r="BM17" i="10" s="1"/>
  <c r="BK17" i="10"/>
  <c r="BX17" i="10"/>
  <c r="BT17" i="10"/>
  <c r="R14" i="10"/>
  <c r="O14" i="10"/>
  <c r="P17" i="10" s="1"/>
  <c r="AQ17" i="10"/>
  <c r="U14" i="10"/>
  <c r="U17" i="10" s="1"/>
  <c r="AL14" i="10"/>
  <c r="AL17" i="10" s="1"/>
  <c r="BH17" i="10"/>
  <c r="CY12" i="7" a="1"/>
  <c r="CY12" i="7" s="1"/>
  <c r="CY15" i="7" s="1"/>
  <c r="DC6" i="3"/>
  <c r="DB7" i="3"/>
  <c r="DB8" i="3"/>
  <c r="DB9" i="3"/>
  <c r="CY13" i="7" a="1"/>
  <c r="CY13" i="7" s="1"/>
  <c r="CY16" i="7" s="1"/>
  <c r="CD17" i="10"/>
  <c r="CE17" i="10"/>
  <c r="CF17" i="10"/>
  <c r="CA17" i="10"/>
  <c r="CB17" i="10"/>
  <c r="BY17" i="10"/>
  <c r="BZ17" i="10"/>
  <c r="BW17" i="10"/>
  <c r="BG17" i="10"/>
  <c r="BU17" i="10"/>
  <c r="BP17" i="10"/>
  <c r="BQ17" i="10"/>
  <c r="BI17" i="10"/>
  <c r="BJ17" i="10"/>
  <c r="BD17" i="10"/>
  <c r="BC17" i="10"/>
  <c r="AR17" i="10"/>
  <c r="AY17" i="10"/>
  <c r="AX17" i="10"/>
  <c r="AV17" i="10"/>
  <c r="AM14" i="10"/>
  <c r="N14" i="10"/>
  <c r="T15" i="10" l="1"/>
  <c r="N17" i="10"/>
  <c r="I17" i="10"/>
  <c r="J17" i="10"/>
  <c r="H17" i="10"/>
  <c r="G17" i="10"/>
  <c r="F17" i="10"/>
  <c r="E17" i="10"/>
  <c r="BL15" i="10"/>
  <c r="BE17" i="10"/>
  <c r="AZ15" i="10"/>
  <c r="BJ15" i="10"/>
  <c r="AZ17" i="10"/>
  <c r="BD15" i="10"/>
  <c r="BU15" i="10"/>
  <c r="AR15" i="10"/>
  <c r="BQ15" i="10"/>
  <c r="BE15" i="10"/>
  <c r="BN15" i="10"/>
  <c r="CH15" i="10"/>
  <c r="CF15" i="10"/>
  <c r="E15" i="10"/>
  <c r="BG15" i="10"/>
  <c r="AV15" i="10"/>
  <c r="CN15" i="10"/>
  <c r="BA15" i="10"/>
  <c r="AX15" i="10"/>
  <c r="AY15" i="10"/>
  <c r="BP15" i="10"/>
  <c r="CB15" i="10"/>
  <c r="BH15" i="10"/>
  <c r="CK15" i="10"/>
  <c r="BY15" i="10"/>
  <c r="CI15" i="10"/>
  <c r="BF15" i="10"/>
  <c r="AS15" i="10"/>
  <c r="BC15" i="10"/>
  <c r="CD15" i="10"/>
  <c r="CO15" i="10"/>
  <c r="BW15" i="10"/>
  <c r="CQ15" i="10"/>
  <c r="CP15" i="10"/>
  <c r="CJ15" i="10"/>
  <c r="CL15" i="10"/>
  <c r="AO15" i="10"/>
  <c r="CG15" i="10"/>
  <c r="CM15" i="10"/>
  <c r="CE15" i="10"/>
  <c r="CZ13" i="7" a="1"/>
  <c r="CZ13" i="7" s="1"/>
  <c r="CZ16" i="7" s="1"/>
  <c r="BN17" i="10"/>
  <c r="AH17" i="10"/>
  <c r="K17" i="10"/>
  <c r="R17" i="10"/>
  <c r="AM17" i="10"/>
  <c r="BL17" i="10"/>
  <c r="AT17" i="10"/>
  <c r="V17" i="10"/>
  <c r="CZ12" i="7" a="1"/>
  <c r="CZ12" i="7" s="1"/>
  <c r="CZ15" i="7" s="1"/>
  <c r="AA17" i="10"/>
  <c r="AB17" i="10"/>
  <c r="S17" i="10"/>
  <c r="Y17" i="10"/>
  <c r="Z17" i="10"/>
  <c r="DD6" i="3"/>
  <c r="DC9" i="3"/>
  <c r="DC7" i="3"/>
  <c r="DC8" i="3"/>
  <c r="AN17" i="10"/>
  <c r="O17" i="10"/>
  <c r="DA12" i="7" l="1" a="1"/>
  <c r="DA12" i="7" s="1"/>
  <c r="DA15" i="7" s="1"/>
  <c r="DA13" i="7" a="1"/>
  <c r="DA13" i="7" s="1"/>
  <c r="DA16" i="7" s="1"/>
  <c r="H11" i="11"/>
  <c r="DD9" i="3"/>
  <c r="H8" i="2" s="1" a="1"/>
  <c r="H8" i="2" s="1"/>
  <c r="H10" i="11" s="1"/>
  <c r="F11" i="11"/>
  <c r="F9" i="11"/>
  <c r="DD8" i="3"/>
  <c r="H9" i="11"/>
  <c r="F8" i="11"/>
  <c r="DD7" i="3"/>
  <c r="F8" i="2" s="1" a="1"/>
  <c r="F8" i="2" s="1"/>
  <c r="F10" i="11" s="1"/>
  <c r="DE6" i="3"/>
  <c r="F12" i="11" l="1"/>
  <c r="I11" i="11"/>
  <c r="I8" i="11"/>
  <c r="H8" i="11"/>
  <c r="I9" i="11"/>
  <c r="I8" i="2"/>
  <c r="I10" i="11" s="1"/>
  <c r="I12" i="11" s="1"/>
  <c r="H12" i="11"/>
  <c r="DB12" i="7" a="1"/>
  <c r="DB12" i="7" s="1"/>
  <c r="DB15" i="7" s="1"/>
  <c r="DB13" i="7" a="1"/>
  <c r="DB13" i="7" s="1"/>
  <c r="DB16" i="7" s="1"/>
  <c r="DE7" i="3"/>
  <c r="N8" i="2" s="1" a="1"/>
  <c r="N8" i="2" s="1"/>
  <c r="DE9" i="3"/>
  <c r="P8" i="2" s="1" a="1"/>
  <c r="P8" i="2" s="1"/>
  <c r="DF6" i="3"/>
  <c r="DE8" i="3"/>
  <c r="DC13" i="7" l="1" a="1"/>
  <c r="DC13" i="7" s="1"/>
  <c r="DC16" i="7" s="1"/>
  <c r="DG6" i="3"/>
  <c r="DH6" i="3" s="1"/>
  <c r="DF7" i="3"/>
  <c r="DF8" i="3"/>
  <c r="DF9" i="3"/>
  <c r="DC12" i="7" a="1"/>
  <c r="DC12" i="7" s="1"/>
  <c r="DC15" i="7" s="1"/>
  <c r="DI6" i="3" l="1"/>
  <c r="DH7" i="3"/>
  <c r="DH8" i="3"/>
  <c r="DH9" i="3"/>
  <c r="DD13" i="7" a="1"/>
  <c r="DD13" i="7" s="1"/>
  <c r="DD16" i="7" s="1"/>
  <c r="DD12" i="7" a="1"/>
  <c r="DD12" i="7" s="1"/>
  <c r="DD15" i="7" s="1"/>
  <c r="DG7" i="3"/>
  <c r="DG8" i="3"/>
  <c r="DG9" i="3"/>
  <c r="O1" i="2"/>
  <c r="DJ6" i="3" l="1"/>
  <c r="DI7" i="3"/>
  <c r="DI8" i="3"/>
  <c r="DI9" i="3"/>
  <c r="O8" i="2" a="1"/>
  <c r="O8" i="2" s="1"/>
  <c r="DE13" i="7" a="1"/>
  <c r="DE13" i="7" s="1"/>
  <c r="DE16" i="7" s="1"/>
  <c r="DE12" i="7" a="1"/>
  <c r="DE12" i="7" s="1"/>
  <c r="DE15" i="7" s="1"/>
  <c r="P11" i="11"/>
  <c r="L11" i="11"/>
  <c r="P8" i="11"/>
  <c r="P9" i="11"/>
  <c r="L9" i="11"/>
  <c r="G1" i="2"/>
  <c r="DJ7" i="3" l="1"/>
  <c r="DJ8" i="3"/>
  <c r="DJ9" i="3"/>
  <c r="DK6" i="3"/>
  <c r="N11" i="11"/>
  <c r="J11" i="11"/>
  <c r="N8" i="11"/>
  <c r="N9" i="11"/>
  <c r="J9" i="11"/>
  <c r="N10" i="11"/>
  <c r="J8" i="2"/>
  <c r="J10" i="11" s="1"/>
  <c r="P10" i="11"/>
  <c r="P12" i="11" s="1"/>
  <c r="L8" i="2"/>
  <c r="L10" i="11" s="1"/>
  <c r="Q8" i="2"/>
  <c r="L8" i="11"/>
  <c r="G9" i="11"/>
  <c r="G8" i="2" a="1"/>
  <c r="G8" i="2" s="1"/>
  <c r="G10" i="11" s="1"/>
  <c r="G11" i="11"/>
  <c r="O9" i="11"/>
  <c r="O8" i="11"/>
  <c r="O11" i="11"/>
  <c r="O10" i="11"/>
  <c r="DK9" i="3" l="1"/>
  <c r="DK8" i="3"/>
  <c r="DL6" i="3"/>
  <c r="DK7" i="3"/>
  <c r="N12" i="11"/>
  <c r="O12" i="11"/>
  <c r="L12" i="11"/>
  <c r="Q9" i="11"/>
  <c r="M9" i="11"/>
  <c r="Q8" i="11"/>
  <c r="J8" i="11"/>
  <c r="J12" i="11" s="1"/>
  <c r="Q10" i="11"/>
  <c r="M8" i="2"/>
  <c r="M10" i="11" s="1"/>
  <c r="Q11" i="11"/>
  <c r="M11" i="11"/>
  <c r="G8" i="11"/>
  <c r="G12" i="11" s="1"/>
  <c r="K8" i="2"/>
  <c r="K10" i="11" s="1"/>
  <c r="K11" i="11"/>
  <c r="K9" i="11"/>
  <c r="DL8" i="3" l="1"/>
  <c r="DM6" i="3"/>
  <c r="DL7" i="3"/>
  <c r="DL9" i="3"/>
  <c r="O1" i="11"/>
  <c r="G1" i="11" s="1"/>
  <c r="N1" i="11"/>
  <c r="Q12" i="11"/>
  <c r="M8" i="11"/>
  <c r="M12" i="11" s="1"/>
  <c r="K8" i="11"/>
  <c r="K12" i="11" s="1"/>
  <c r="DM8" i="3" l="1"/>
  <c r="DM7" i="3"/>
  <c r="DM9" i="3"/>
  <c r="P1" i="11"/>
  <c r="F1" i="11"/>
  <c r="H1" i="11" l="1"/>
  <c r="Q1" i="11"/>
  <c r="I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<sst xmlns="http://schemas.openxmlformats.org/spreadsheetml/2006/main" count="1308" uniqueCount="525">
  <si>
    <t>Deliverable Title</t>
  </si>
  <si>
    <t>Weight %</t>
  </si>
  <si>
    <t>Plan</t>
  </si>
  <si>
    <t>Actual</t>
  </si>
  <si>
    <t>Facility</t>
  </si>
  <si>
    <t>STRUCTURAL DESIGN BASIS</t>
  </si>
  <si>
    <t>NAVAL ARCHITECTURE DESIGN BASIS</t>
  </si>
  <si>
    <t>WEIGHT CONTROL PROCEDURE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</si>
  <si>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</si>
  <si>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</si>
  <si>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</si>
  <si>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</si>
  <si>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</si>
  <si>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</si>
  <si>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</si>
  <si>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</si>
  <si>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</si>
  <si>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</si>
  <si>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</si>
  <si>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</si>
  <si>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</si>
  <si>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</si>
  <si>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</si>
  <si>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</si>
  <si>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</si>
  <si>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Descriptions</t>
  </si>
  <si>
    <t>% WT</t>
  </si>
  <si>
    <t>This Week Period (%)</t>
  </si>
  <si>
    <t>Cumulative up to this week (%)</t>
  </si>
  <si>
    <t xml:space="preserve"> </t>
  </si>
  <si>
    <t>Last Week Cumulative (%)</t>
  </si>
  <si>
    <t>Cut_Off Date</t>
  </si>
  <si>
    <t>Cumulative Actual</t>
  </si>
  <si>
    <t>Period Plan (Early)</t>
  </si>
  <si>
    <t>Remaining Units</t>
  </si>
  <si>
    <t>Period Actual</t>
  </si>
  <si>
    <t>Zawtika 1E</t>
  </si>
  <si>
    <t>Total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</si>
  <si>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</si>
  <si>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</si>
  <si>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</si>
  <si>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</si>
  <si>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</si>
  <si>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</si>
  <si>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</si>
  <si>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</si>
  <si>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</si>
  <si>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</si>
  <si>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</si>
  <si>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</si>
  <si>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</si>
  <si>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>EDSR -TOPSIDES</t>
  </si>
  <si>
    <t>Overall DDE Topsides</t>
  </si>
  <si>
    <t>Overall Topsides DDE Progress</t>
  </si>
  <si>
    <t>Topsides DDE Progress by Platform</t>
  </si>
  <si>
    <t xml:space="preserve"> ZWP-18 Topsides</t>
  </si>
  <si>
    <t>Topsides Detailed Design</t>
  </si>
  <si>
    <t>Cumulative Plan (Revised)</t>
  </si>
  <si>
    <t>AS-BUILT</t>
  </si>
  <si>
    <t>TBA</t>
  </si>
  <si>
    <t>Overall Topsides</t>
  </si>
  <si>
    <t>ZAWTIKA Z1F TS</t>
  </si>
  <si>
    <t>GENERIC</t>
  </si>
  <si>
    <t>RPT</t>
  </si>
  <si>
    <t>ZWP-20</t>
  </si>
  <si>
    <t>MM-ZTK-1F-ZWP21-STR-CAL-0001</t>
  </si>
  <si>
    <t>ZWP20- BASIC STRUCTURAL ENGINEERING VERIFICATION REPORT</t>
  </si>
  <si>
    <t>ZWP-21</t>
  </si>
  <si>
    <t>MM-ZTK-1F-ZWP22-STR-CAL-0001</t>
  </si>
  <si>
    <t>ZWP21- BASIC STRUCTURAL ENGINEERING VERIFICATION REPORT</t>
  </si>
  <si>
    <t>ZWP-22</t>
  </si>
  <si>
    <t>MM-ZTK-1F-ZWP23-STR-CAL-0001</t>
  </si>
  <si>
    <t>ZWP22- BASIC STRUCTURAL ENGINEERING VERIFICATION REPORT</t>
  </si>
  <si>
    <t>ZWP-23</t>
  </si>
  <si>
    <t>ZWP23- BASIC STRUCTURAL ENGINEERING VERIFICATION REPORT</t>
  </si>
  <si>
    <t xml:space="preserve">TOPSIDES WEIGHT CONTROL REPORT (UPDATE MONHLY) </t>
  </si>
  <si>
    <t>TOPSIDES COMPUTER MODELLING WITH VENT BOOM &amp; LOAD FORMULATION</t>
  </si>
  <si>
    <t>TOPSIDES IN-PLACE ANALYSIS REPORT</t>
  </si>
  <si>
    <t>TOPSIDES LOADOUT ANALYSIS REPORT</t>
  </si>
  <si>
    <t>TOPSIDES LIFTING ANALYSIS REPORT</t>
  </si>
  <si>
    <t>TOPSIDES MISCELLANEOUSD DESIGN REPORT</t>
  </si>
  <si>
    <t>TOPSIDE FINITE ELEMENT ANALYSIS FOR CASING SLOTS AND UNIHEAD SPACER REPORT</t>
  </si>
  <si>
    <t>MM-ZTK-1F-ZWP23-STR-CAL-2013</t>
  </si>
  <si>
    <t>MM-ZTK-1F-ZWP21-STR-CAL-2013</t>
  </si>
  <si>
    <t>MM-ZTK-1F-ZWP20-STR-CAL-2013</t>
  </si>
  <si>
    <t>MM-ZTK-1F-ZWP22-STR-CAL-2013</t>
  </si>
  <si>
    <t>ZWP21 COMBINED TOPSIDES AND JACKET SEISMIC ANALYSIS REPORT (EXTREME LEVEL EARTHQUAKE-ELE)</t>
  </si>
  <si>
    <t>ZWP21 COMBINED TOPSIDES AND JACKET SEISMIC ANALYSIS REPORT (ABNORMAL LEVEL EARTHQUAKE-ALE)</t>
  </si>
  <si>
    <t>ZWP22 COMBINED TOPSIDES AND JACKET SEISMIC ANALYSIS REPORT (EXTREME LEVEL EARTHQUAKE-ELE)</t>
  </si>
  <si>
    <t>ZWP22 COMBINED TOPSIDES AND JACKET SEISMIC ANALYSIS REPORT (ABNORMAL LEVEL EARTHQUAKE-ALE)</t>
  </si>
  <si>
    <t>ZWP23 COMBINED TOPSIDES AND JACKET SEISMIC ANALYSIS REPORT (EXTREME LEVEL EARTHQUAKE-ELE)</t>
  </si>
  <si>
    <t>ZWP23 COMBINED TOPSIDES AND JACKET SEISMIC ANALYSIS REPORT (ABNORMAL LEVEL EARTHQUAKE-ALE)</t>
  </si>
  <si>
    <t>TOPSIDES PRIMARY STEEL MTO REPORT</t>
  </si>
  <si>
    <t>TOPSIDES SECONDARY AND TERTIARY STEEL MTO REPORT</t>
  </si>
  <si>
    <t>DWG</t>
  </si>
  <si>
    <t>TOPSIDE - GENERAL NOTES SHEET 1</t>
  </si>
  <si>
    <t>TOPSIDE - GENERAL NOTES SHEET 2</t>
  </si>
  <si>
    <t>TOPSIDE - STANDARD DETAILS - DECK JOINTS - SHEET 1</t>
  </si>
  <si>
    <t>TOPSIDE - STANDARD DETAILS - DECK JOINTS - SHEET 2</t>
  </si>
  <si>
    <t>TOPSIDE - STANDARD DETAILS - DECK JOINTS - SHEET 3</t>
  </si>
  <si>
    <t>TOPSIDE - STANDARD DETAILS - DECK JOINTS - SHEET 4</t>
  </si>
  <si>
    <t>TOPSIDE - STANDARD DETAILS - HANDRAILS - SHEET 1</t>
  </si>
  <si>
    <t>TOPSIDE - STANDARD DETAILS - HANDRAILS - SHEET 2</t>
  </si>
  <si>
    <t>TOPSIDE - STANDARD DETAILS - STAIRS - SHEET 1</t>
  </si>
  <si>
    <t>TOPSIDE - STANDARD DETAILS - STAIRS - SHEET 2</t>
  </si>
  <si>
    <t>TOPSIDE - STANDARD DETAILS - LADDERS - SHEET 1</t>
  </si>
  <si>
    <t>TOPSIDE - STANDARD DETAILS - LADDERS - SHEET 2</t>
  </si>
  <si>
    <t>TOPSIDE - STANDARD DETAILS - LADDERS - SHEET 3</t>
  </si>
  <si>
    <t>TOPSIDE - STANDARD DETAILS - PLATING AND GRATING - SHEET 1</t>
  </si>
  <si>
    <t>TOPSIDE - STANDARD DETAILS - PLATING AND GRATING - SHEET 2</t>
  </si>
  <si>
    <t>TOPSIDE - STANDARD DETAILS - DECK DRAINS - SHEET 1</t>
  </si>
  <si>
    <t>TOPSIDE - STANDARD DETAILS - DECK DRAINS - SHEET 2</t>
  </si>
  <si>
    <t>TOPSIDE - STANDARD DETAILS - WELD PROFILE - SHEET 1</t>
  </si>
  <si>
    <t>TOPSIDE - STANDARD DETAILS - WELD PROFILE - SHEET 2</t>
  </si>
  <si>
    <t>TOPSIDE - DRAWING INDEX - SHEET 1</t>
  </si>
  <si>
    <t>TOPSIDE - DRAWING INDEX - SHEET 2</t>
  </si>
  <si>
    <t>TOPSIDE - DECK DESIGN LOADING DIAGRAMS</t>
  </si>
  <si>
    <t xml:space="preserve">TOPSIDE - UPPER DECK PRIMARY STEEL - FRAMING PLAN </t>
  </si>
  <si>
    <t xml:space="preserve">TOPSIDE - LOWER DECK PRIMARY STEEL - FRAMING PLAN </t>
  </si>
  <si>
    <t xml:space="preserve">TOPSIDE - ELEVATION TRUSS ROW 'A' </t>
  </si>
  <si>
    <t xml:space="preserve">TOPSIDE - ELEVATION TRUSS ROW 'B' </t>
  </si>
  <si>
    <t xml:space="preserve">TOPSIDE - ELEVATION TRUSS ROW '1' </t>
  </si>
  <si>
    <t xml:space="preserve">TOPSIDE - ELEVATION TRUSS ROW '2' </t>
  </si>
  <si>
    <t xml:space="preserve">TOPSIDE - SECTIONS </t>
  </si>
  <si>
    <t xml:space="preserve">TOPSIDE - UPPER DECK JOINT DETAIL MARKING PLAN </t>
  </si>
  <si>
    <t xml:space="preserve">TOPSIDE - LOWER DECK JOINT DETAIL MARKING PLAN </t>
  </si>
  <si>
    <t xml:space="preserve">TOPSIDE - MAIN JOINT DETAILS - SHEET 1 </t>
  </si>
  <si>
    <t xml:space="preserve">TOPSIDE - MAIN JOINT DETAILS - SHEET 2 </t>
  </si>
  <si>
    <t xml:space="preserve">TOPSIDE - MAIN JOINT DETAILS - SHEET 3 </t>
  </si>
  <si>
    <t xml:space="preserve">TOPSIDE - MAIN JOINT DETAILS - SHEET 4 </t>
  </si>
  <si>
    <t xml:space="preserve">TOPSIDE - MAIN JOINT DETAILS - SHEET 5 </t>
  </si>
  <si>
    <t xml:space="preserve">TOPSIDE - MAIN JOINT DETAILS - SHEET 6 </t>
  </si>
  <si>
    <t xml:space="preserve">TOPSIDE - MAIN JOINT DETAILS - SHEET 7 </t>
  </si>
  <si>
    <t xml:space="preserve">TOPSIDE - MAIN JOINT DETAILS - SHEET 8 </t>
  </si>
  <si>
    <t xml:space="preserve">TOPSIDE - MAIN JOINT DETAILS - SHEET 9 </t>
  </si>
  <si>
    <t xml:space="preserve">TOPSIDE - MAIN JOINT DETAILS - SHEET 10 </t>
  </si>
  <si>
    <t xml:space="preserve">TOPSIDE - MAIN JOINT DETAILS - SHEET 11 </t>
  </si>
  <si>
    <t xml:space="preserve">TOPSIDE - MAIN JOINT DETAILS - SHEET 12 </t>
  </si>
  <si>
    <t xml:space="preserve">TOPSIDE - MAIN JOINT DETAILS - SHEET 13 </t>
  </si>
  <si>
    <t xml:space="preserve">TOPSIDE - MAIN JOINT DETAILS - SHEET 14 </t>
  </si>
  <si>
    <t xml:space="preserve">TOPSIDE - MAIN JOINT DETAILS - SHEET 15 </t>
  </si>
  <si>
    <t xml:space="preserve">TOPSIDE - MAIN JOINT DETAILS - SHEET 16 </t>
  </si>
  <si>
    <t xml:space="preserve">TOPSIDE - MAIN JOINT DETAILS - SHEET 17 </t>
  </si>
  <si>
    <t xml:space="preserve">TOPSIDE - MAIN JOINT DETAILS - SHEET 18 </t>
  </si>
  <si>
    <t xml:space="preserve">TOPSIDE - MAIN JOINT DETAILS - SHEET 19 </t>
  </si>
  <si>
    <t xml:space="preserve">TOPSIDE - MAIN JOINT DETAILS - SHEET 20 </t>
  </si>
  <si>
    <t xml:space="preserve">TOPSIDE - UPPER DECK SECONDARY STEEL - FRAMING PLAN </t>
  </si>
  <si>
    <t xml:space="preserve">TOPSIDE - LOWER DECK SECONDARY STEEL - FRAMING PLAN </t>
  </si>
  <si>
    <t>TOPSIDE - MEZZANINE DECK FRAMING PLAN</t>
  </si>
  <si>
    <t>TOPSIDE - MEZZANINE DECK FRAMING SECTIONS - SHEET 1</t>
  </si>
  <si>
    <t>TOPSIDE - MEZZANINE DECK FRAMING SECTIONS - SHEET 2</t>
  </si>
  <si>
    <t>TOPSIDE - MEZZANINE DECK JOINT DETAILS - SHEET 1</t>
  </si>
  <si>
    <t>TOPSIDE - MEZZANINE DECK JOINT DETAILS - SHEET 2</t>
  </si>
  <si>
    <t>TOPSIDE - MEZZANINE DECK JOINT DETAILS - SHEET 3</t>
  </si>
  <si>
    <t xml:space="preserve">TOPSIDE - SUMP DECK - FRAMING PLAN </t>
  </si>
  <si>
    <t>TOPSIDE - SUMP DECK SECTIONS</t>
  </si>
  <si>
    <t>TOPSIDE - SUMP DECK JOINT DETAILS SHEET 1</t>
  </si>
  <si>
    <t>TOPSIDE - SUMP DECK JOINT DETAILS SHEET 2</t>
  </si>
  <si>
    <t>TOPSIDE - SUMP DECK JOINT DETAILS SHEET 3</t>
  </si>
  <si>
    <t>TOPSIDE - ACCESS PLATFORM FOR INSTRUMENT TUBING</t>
  </si>
  <si>
    <t>TOPSIDE - CASING SLOT ARRANGEMENT</t>
  </si>
  <si>
    <t>TOPSIDE - VENT BOOM PLAND AND ELEVATION</t>
  </si>
  <si>
    <t>TOPSIDE - VENT BOOM SECTIONS</t>
  </si>
  <si>
    <t>TOPSIDE - VENT BOOM WALKWAY PLAN AND SECTIONS</t>
  </si>
  <si>
    <t>TOPSIDE - VENT BOOM WALKWAY SECTIONS AND DETAILS - SHEET 1</t>
  </si>
  <si>
    <t>TOPSIDE - VENT BOOM WALKWAY SECTIONS AND DETAILS - SHEET 2</t>
  </si>
  <si>
    <t xml:space="preserve">TOPSIDE - UPPER DECK FLOORING AND HANDRAIL - LAYOUT PLAN </t>
  </si>
  <si>
    <t xml:space="preserve">TOPSIDE - LOWER DECK FLOORING AND HANDRAIL - LAYOUT PLAN </t>
  </si>
  <si>
    <t xml:space="preserve">TOPSIDE - MEZZANINE DECK FLOORING AND HANDRAIL - LAYOUT PLAN </t>
  </si>
  <si>
    <t xml:space="preserve">TOPSIDE - SUMP DECK FLOORING AND HANDRAIL - LAYOUT PLAN </t>
  </si>
  <si>
    <t>TOPSIDE - STAIR LAYOUT &amp; DETAILS - SHEET 1</t>
  </si>
  <si>
    <t>TOPSIDE - STAIR LAYOUT &amp; DETAILS - SHEET 2</t>
  </si>
  <si>
    <t>TOPSIDE - STAIR LAYOUT &amp; DETAILS - SHEET 3</t>
  </si>
  <si>
    <t>TOPSIDE - STAIR LAYOUT &amp; DETAILS - SHEET 4</t>
  </si>
  <si>
    <t>TOPSIDE - STAIR LAYOUT &amp; DETAILS - SHEET 5</t>
  </si>
  <si>
    <t>TOPSIDE - STAIR LAYOUT &amp; DETAILS - SHEET 6</t>
  </si>
  <si>
    <t>TOPSIDE - STAIR LAYOUT &amp; DETAILS - SHEET 7</t>
  </si>
  <si>
    <t>TOPSIDE - STAIR LAYOUT &amp; DETAILS - SHEET 8</t>
  </si>
  <si>
    <t xml:space="preserve">TOPSIDE - UPPER DECK DRAIN LAYOUT PLAN </t>
  </si>
  <si>
    <t xml:space="preserve">TOPSIDE - LOWER DECK DRAIN LAYOUT PLAN </t>
  </si>
  <si>
    <t>TOPSIDE - DECK HATCH ARRANGEMENT AND DETAILS - SHEET 1</t>
  </si>
  <si>
    <t>TOPSIDE - DECK HATCH ARRANGEMENT AND DETAILS - SHEET 2</t>
  </si>
  <si>
    <t>TOPSIDE - DECK HATCH ARRANGEMENT AND DETAILS - SHEET 3</t>
  </si>
  <si>
    <t>TOPSIDE - DECK HATCH ARRANGEMENT AND DETAILS - SHEET 4</t>
  </si>
  <si>
    <t>TOPSIDE - DECK HATCH ARRANGEMENT AND DETAILS - SHEET 5</t>
  </si>
  <si>
    <t>TOPSIDE - DECK HATCH ARRANGEMENT AND DETAILS - SHEET 6</t>
  </si>
  <si>
    <t>TOPSIDE - DECK HATCH ARRANGEMENT AND DETAILS - SHEET 7</t>
  </si>
  <si>
    <t>TOPSIDE - DECK HATCH ARRANGEMENT AND DETAILS - SHEET 8</t>
  </si>
  <si>
    <t>TOPSIDE - E&amp;I ROOM PLAN</t>
  </si>
  <si>
    <t>TOPSIDE - E&amp;I ROOM ROOF PLAN</t>
  </si>
  <si>
    <t>TOPSIDE - E&amp;I ROOM SECTIONS AND DETAILS - SHEET 1</t>
  </si>
  <si>
    <t>TOPSIDE - E&amp;I ROOM SECTIONS AND DETAILS - SHEET 2</t>
  </si>
  <si>
    <t>TOPSIDE - E&amp;I ROOM ELEVATIONS</t>
  </si>
  <si>
    <t>TOPSIDE - WIND DRIVEN VENTILATION FAN SECTIONS AND DETALS</t>
  </si>
  <si>
    <t>TOPSIDE - CRANE BOOM REST DETAILS</t>
  </si>
  <si>
    <t>TOPSIDE - CONDENSATE BURNER BOOM SUPPORT ARRANGEMENT AND DETAILS - SHEET 1</t>
  </si>
  <si>
    <t>TOPSIDE - CONDENSATE BURNER BOOM SUPPORT ARRANGEMENT AND DETAILS - SHEET 2</t>
  </si>
  <si>
    <t>TOPSIDE - TYPICAL EQUIPMENT SUPPORT DETAILS - SHEET 1</t>
  </si>
  <si>
    <t>TOPSIDE - TYPICAL EQUIPMENT SUPPORT DETAILS - SHEET 2</t>
  </si>
  <si>
    <t>TOPSIDE - TYPICAL EQUIPMENT SUPPORT DETAILS - SHEET 3</t>
  </si>
  <si>
    <t>TOPSIDE - TYPICAL EQUIPMENT SUPPORT DETAILS - SHEET 4</t>
  </si>
  <si>
    <t>TOPSIDE - TYPICAL EQUIPMENT SUPPORT DETAILS - SHEET 5</t>
  </si>
  <si>
    <t>TOPSIDE - TYPICAL EQUIPMENT SUPPORT DETAILS - SHEET 6</t>
  </si>
  <si>
    <t>TOPSIDE - TYPICAL EQUIPMENT SUPPORT DETAILS - SHEET 7</t>
  </si>
  <si>
    <t>TOPSIDE - TYPICAL EQUIPMENT SUPPORT DETAILS - SHEET 8</t>
  </si>
  <si>
    <t>TOPSIDE - TYPICAL EQUIPMENT SUPPORT DETAILS - SHEET 9</t>
  </si>
  <si>
    <t>TOPSIDE - TYPICAL EQUIPMENT SUPPORT DETAILS - SHEET 10</t>
  </si>
  <si>
    <t>TOPSIDE - TYPICAL EQUIPMENT SUPPORT DETAILS - SHEET 11</t>
  </si>
  <si>
    <t>TOPSIDE - TYPICAL EQUIPMENT SUPPORT DETAILS - SHEET 12</t>
  </si>
  <si>
    <t>TOPSIDE - AMENITIES CUBICLE DETAILS</t>
  </si>
  <si>
    <t>TOPSIDE - PLATFORM NAME PLATE / IDENTIFICATION PANEL - SHEET 1</t>
  </si>
  <si>
    <t>TOPSIDE - PLATFORM NAME PLATE / IDENTIFICATION PANEL - SHEET 2</t>
  </si>
  <si>
    <t>TOPSIDE - SWING ROPE DETAILS - SHEET 1</t>
  </si>
  <si>
    <t>TOPSIDE - SWING ROPE DETAILS - SHEET 2</t>
  </si>
  <si>
    <t>TOPSIDE - LIFE RAFT AND DESCENDING DEVICES SUPPORT SHEET 1</t>
  </si>
  <si>
    <t>TOPSIDE - LIFE RAFT AND DESCENDING DEVICES SUPPORT SHEET 2</t>
  </si>
  <si>
    <t>TOPSIDE - SECURITY GATE DETAILS - SHEET 1</t>
  </si>
  <si>
    <t>TOPSIDE - SECURITY GATE DETAILS - SHEET 2</t>
  </si>
  <si>
    <t xml:space="preserve">TOPSIDE - GENERAL MUD WALL - FRAMING PLAN &amp; DETAILS </t>
  </si>
  <si>
    <t>TOPSIDE - GENERAL MUD WALL - SECTIONS AND DETAILS - SHEET 1</t>
  </si>
  <si>
    <t>TOPSIDE - GENERAL MUD WALL - SECTIONS AND DETAILS - SHEET 2</t>
  </si>
  <si>
    <t>TOPSIDE - GENERAL MUD WALL - CANVAS PLAN</t>
  </si>
  <si>
    <t>TOPSIDE - LIFTING ARRANGEMENT</t>
  </si>
  <si>
    <t>TOPSIDE - LIFTING PADEYE DETAILS</t>
  </si>
  <si>
    <t>ZWP20 TOPSIDES WEIGHT CONTROL REPORT (AS-BUILT)</t>
  </si>
  <si>
    <t xml:space="preserve">ZWP20 PLATFORM IN-PLACE ANALYSIS REPORT (AS-BUILT) </t>
  </si>
  <si>
    <t>ZWP21 TOPSIDES WEIGHT CONTROL REPORT (AS-BUILT)</t>
  </si>
  <si>
    <t>ZWP21 PLATFORM IN-PLACE ANALYSIS REPORT (AS-BUILT)</t>
  </si>
  <si>
    <t>ZWP21 PLATFORM IN-PLACE SPECTRAL FATIGUE ANLYSIS REPORT (AS-BUILT)</t>
  </si>
  <si>
    <t>ZWP22 TOPSIDES WEIGHT CONTROL REPORT (AS-BUILT)</t>
  </si>
  <si>
    <t>ZWP22 PLATFORM IN-PLACE ANALYSIS REPORT (AS-BUILT)</t>
  </si>
  <si>
    <t>ZWP22 PLATFORM IN-PLACE SPECTRAL FATIGUE ANLYSIS REPORT (AS-BUILT)</t>
  </si>
  <si>
    <t>ZWP23 TOPSIDES WEIGHT CONTROL REPORT (AS-BUILT)</t>
  </si>
  <si>
    <t>ZWP23 PLATFORM IN-PLACE ANALYSIS REPORT (AS-BUILT)</t>
  </si>
  <si>
    <t>ZWP23 PLATFORM IN-PLACE SPECTRAL FATIGUE ANLYSIS REPORT (AS-BUILT)</t>
  </si>
  <si>
    <t>ZWP20 TOPSIDE COMPUTER MODELLING WITH VENT BOOM AND LOAD FORMULATION REPORT (AS-BUILT)</t>
  </si>
  <si>
    <t>ZWP23 TOPSIDE COMPUTER MODELLING WITH VENT BOOM AND LOAD FORMULATION REPORT (AS-BUIL)</t>
  </si>
  <si>
    <t>ZWP20 PLATFORM IN-PLACE SPECTRAL FATIGUE ANLYSIS REPORT (AS-BUILT)</t>
  </si>
  <si>
    <t>ZWP21 TOPSIDE COMPUTER MODELLING WITH VENT BOOM AND LOAD FORMULATION REPORT (AS-BUILT)</t>
  </si>
  <si>
    <t>ZWP22 TOPSIDE COMPUTER MODELLING WITH VENT BOOM AND LOAD FORMULATION REPORT (AS-BUILT)</t>
  </si>
  <si>
    <t>ZWP20 AS-BUILT DRAWINGS</t>
  </si>
  <si>
    <t>ZWP21 AS-BUILT DRAWINGS</t>
  </si>
  <si>
    <t>ZWP22 AS-BUILT DRAWINGS</t>
  </si>
  <si>
    <t>ZWP23 AS-BUILT DRAWINGS</t>
  </si>
  <si>
    <t>Zawtika 1F</t>
  </si>
  <si>
    <t xml:space="preserve">Cumulative Plan </t>
  </si>
  <si>
    <t>MM-ZTK-1F-ZWP20-STR-CAL-0001</t>
  </si>
  <si>
    <t>MATERIAL REQUISITION FOR TOPSIDES HIGH STRENGTH TUBULAR STEEL</t>
  </si>
  <si>
    <t>MATERIAL REQUISITION FOR TOPSIDES SECONDARY AND TERTIARY TUBULAR STEEL</t>
  </si>
  <si>
    <t>MATERIAL REQUISITION FOR TOPSIDES HIGH STRENGTH HOT-ROLLED STEEL SECTIONS (SHAPES)</t>
  </si>
  <si>
    <t>MATERIAL REQUISITION FOR TOPSIDES SECONDARY AND TERTIARY HOT-ROLLED STEEL (SHAPES)</t>
  </si>
  <si>
    <t>MATERIAL REQUISITION FOR TOPSIDES HIGH STRENGTH STEEL PLATES</t>
  </si>
  <si>
    <t>MATERIAL REQUISITION FOR TOPSIDES LOW STRENGTH STEEL PLATES</t>
  </si>
  <si>
    <t>MM-ZTK-1F-GEN-STR-BOD-0001</t>
  </si>
  <si>
    <t>MM-ZTK-1F-GEN-STR-WCR-1001</t>
  </si>
  <si>
    <t>MM-ZTK-1F-GEN-STR-CAL-1001</t>
  </si>
  <si>
    <t>MM-ZTK-1F-GEN-STR-CAL-1011</t>
  </si>
  <si>
    <t>MM-ZTK-1F-GEN-STR-CAL-1012</t>
  </si>
  <si>
    <t>MM-ZTK-1F-GEN-STR-CAL-1013</t>
  </si>
  <si>
    <t>MM-ZTK-1F-GEN-STR-CAL-1014</t>
  </si>
  <si>
    <t>MM-ZTK-1F-GEN-STR-CAL-1015</t>
  </si>
  <si>
    <t>MM-ZTK-1F-GEN-STR-CAL-1016</t>
  </si>
  <si>
    <t>MM-ZTK-1F-GEN-STR-CAL-1017</t>
  </si>
  <si>
    <t>MM-ZTK-1F-GEN-STR-CAL-1002</t>
  </si>
  <si>
    <t>MM-ZTK-1F-GEN-STR-MR-1001</t>
  </si>
  <si>
    <t>MM-ZTK-1F-GEN-STR-MR-1002</t>
  </si>
  <si>
    <t>MM-ZTK-1F-GEN-STR-MR-1011</t>
  </si>
  <si>
    <t>MM-ZTK-1F-GEN-STR-MR-1012</t>
  </si>
  <si>
    <t>MM-ZTK-1F-GEN-STR-MR-1021</t>
  </si>
  <si>
    <t>MM-ZTK-1F-GEN-STR-MR-1022</t>
  </si>
  <si>
    <t>MM-ZTK-1F-GEN-STR-PDR-0001</t>
  </si>
  <si>
    <t>MM-ZTK-1F-GEN-NVA-BOD-0001</t>
  </si>
  <si>
    <t>MM-ZTK-1F-GEN-NVA-CAL-1011</t>
  </si>
  <si>
    <t>MM-ZTK-1F-ZWPX-STR-DWG-0001</t>
  </si>
  <si>
    <t>MM-ZTK-1F-ZWPX-STR-DWG-0002</t>
  </si>
  <si>
    <t>MM-ZTK-1F-ZWPX-STR-DWG-0011</t>
  </si>
  <si>
    <t>MM-ZTK-1F-ZWPX-STR-DWG-0012</t>
  </si>
  <si>
    <t>MM-ZTK-1F-ZWPX-STR-DWG-0013</t>
  </si>
  <si>
    <t>MM-ZTK-1F-ZWPX-STR-DWG-0014</t>
  </si>
  <si>
    <t>MM-ZTK-1F-ZWPX-STR-DWG-0015</t>
  </si>
  <si>
    <t>MM-ZTK-1F-ZWPX-STR-DWG-0016</t>
  </si>
  <si>
    <t>MM-ZTK-1F-ZWPX-STR-DWG-0017</t>
  </si>
  <si>
    <t>MM-ZTK-1F-ZWPX-STR-DWG-0018</t>
  </si>
  <si>
    <t>MM-ZTK-1F-ZWPX-STR-DWG-0019</t>
  </si>
  <si>
    <t>MM-ZTK-1F-ZWPX-STR-DWG-0020</t>
  </si>
  <si>
    <t>MM-ZTK-1F-ZWPX-STR-DWG-0021</t>
  </si>
  <si>
    <t>MM-ZTK-1F-ZWPX-STR-DWG-0022</t>
  </si>
  <si>
    <t>MM-ZTK-1F-ZWPX-STR-DWG-0023</t>
  </si>
  <si>
    <t>MM-ZTK-1F-ZWPX-STR-DWG-0024</t>
  </si>
  <si>
    <t>MM-ZTK-1F-ZWPX-STR-DWG-0025</t>
  </si>
  <si>
    <t>MM-ZTK-1F-ZWPX-STR-DWG-0026</t>
  </si>
  <si>
    <t>MM-ZTK-1F-ZWPX-STR-DWG-0027</t>
  </si>
  <si>
    <t>MM-ZTK-1F-ZWPX-STR-DWG-1001</t>
  </si>
  <si>
    <t>MM-ZTK-1F-ZWPX-STR-DWG-1002</t>
  </si>
  <si>
    <t>MM-ZTK-1F-ZWPX-STR-DWG-1005</t>
  </si>
  <si>
    <t>MM-ZTK-1F-ZWPX-STR-DWG-1100</t>
  </si>
  <si>
    <t>MM-ZTK-1F-ZWPX-STR-DWG-1101</t>
  </si>
  <si>
    <t>MM-ZTK-1F-ZWPX-STR-DWG-1102</t>
  </si>
  <si>
    <t>MM-ZTK-1F-ZWPX-STR-DWG-1103</t>
  </si>
  <si>
    <t>MM-ZTK-1F-ZWPX-STR-DWG-1104</t>
  </si>
  <si>
    <t>MM-ZTK-1F-ZWPX-STR-DWG-1105</t>
  </si>
  <si>
    <t>MM-ZTK-1F-ZWPX-STR-DWG-1106</t>
  </si>
  <si>
    <t>MM-ZTK-1F-ZWPX-STR-DWG-1118</t>
  </si>
  <si>
    <t>MM-ZTK-1F-ZWPX-STR-DWG-1119</t>
  </si>
  <si>
    <t>MM-ZTK-1F-ZWPX-STR-DWG-1120</t>
  </si>
  <si>
    <t>MM-ZTK-1F-ZWPX-STR-DWG-1121</t>
  </si>
  <si>
    <t>MM-ZTK-1F-ZWPX-STR-DWG-1122</t>
  </si>
  <si>
    <t>MM-ZTK-1F-ZWPX-STR-DWG-1123</t>
  </si>
  <si>
    <t>MM-ZTK-1F-ZWPX-STR-DWG-1124</t>
  </si>
  <si>
    <t>MM-ZTK-1F-ZWPX-STR-DWG-1125</t>
  </si>
  <si>
    <t>MM-ZTK-1F-ZWPX-STR-DWG-1126</t>
  </si>
  <si>
    <t>MM-ZTK-1F-ZWPX-STR-DWG-1127</t>
  </si>
  <si>
    <t>MM-ZTK-1F-ZWPX-STR-DWG-1128</t>
  </si>
  <si>
    <t>MM-ZTK-1F-ZWPX-STR-DWG-1129</t>
  </si>
  <si>
    <t>MM-ZTK-1F-ZWPX-STR-DWG-1130</t>
  </si>
  <si>
    <t>MM-ZTK-1F-ZWPX-STR-DWG-1131</t>
  </si>
  <si>
    <t>MM-ZTK-1F-ZWPX-STR-DWG-1132</t>
  </si>
  <si>
    <t>MM-ZTK-1F-ZWPX-STR-DWG-1133</t>
  </si>
  <si>
    <t>MM-ZTK-1F-ZWPX-STR-DWG-1134</t>
  </si>
  <si>
    <t>MM-ZTK-1F-ZWPX-STR-DWG-1135</t>
  </si>
  <si>
    <t>MM-ZTK-1F-ZWPX-STR-DWG-1136</t>
  </si>
  <si>
    <t>MM-ZTK-1F-ZWPX-STR-DWG-1137</t>
  </si>
  <si>
    <t>MM-ZTK-1F-ZWPX-STR-DWG-1138</t>
  </si>
  <si>
    <t>MM-ZTK-1F-ZWPX-STR-DWG-1139</t>
  </si>
  <si>
    <t>MM-ZTK-1F-ZWPX-STR-DWG-1200</t>
  </si>
  <si>
    <t>MM-ZTK-1F-ZWPX-STR-DWG-1201</t>
  </si>
  <si>
    <t>MM-ZTK-1F-ZWPX-STR-DWG-1211</t>
  </si>
  <si>
    <t>MM-ZTK-1F-ZWPX-STR-DWG-1212</t>
  </si>
  <si>
    <t>MM-ZTK-1F-ZWPX-STR-DWG-1213</t>
  </si>
  <si>
    <t>MM-ZTK-1F-ZWPX-STR-DWG-1214</t>
  </si>
  <si>
    <t>MM-ZTK-1F-ZWPX-STR-DWG-1215</t>
  </si>
  <si>
    <t>MM-ZTK-1F-ZWPX-STR-DWG-1216</t>
  </si>
  <si>
    <t>MM-ZTK-1F-ZWPX-STR-DWG-1221</t>
  </si>
  <si>
    <t>MM-ZTK-1F-ZWPX-STR-DWG-1222</t>
  </si>
  <si>
    <t>MM-ZTK-1F-ZWPX-STR-DWG-1223</t>
  </si>
  <si>
    <t>MM-ZTK-1F-ZWPX-STR-DWG-1224</t>
  </si>
  <si>
    <t>MM-ZTK-1F-ZWPX-STR-DWG-1225</t>
  </si>
  <si>
    <t>MM-ZTK-1F-ZWPX-STR-DWG-1226</t>
  </si>
  <si>
    <t>MM-ZTK-1F-ZWPX-STR-DWG-1231</t>
  </si>
  <si>
    <t>MM-ZTK-1F-ZWPX-STR-DWG-1232</t>
  </si>
  <si>
    <t>MM-ZTK-1F-ZWPX-STR-DWG-1241</t>
  </si>
  <si>
    <t>MM-ZTK-1F-ZWPX-STR-DWG-1242</t>
  </si>
  <si>
    <t>MM-ZTK-1F-ZWPX-STR-DWG-1243</t>
  </si>
  <si>
    <t>MM-ZTK-1F-ZWPX-STR-DWG-1244</t>
  </si>
  <si>
    <t>MM-ZTK-1F-ZWPX-STR-DWG-1245</t>
  </si>
  <si>
    <t>MM-ZTK-1F-ZWPX-STR-DWG-1300</t>
  </si>
  <si>
    <t>MM-ZTK-1F-ZWPX-STR-DWG-1301</t>
  </si>
  <si>
    <t>MM-ZTK-1F-ZWPX-STR-DWG-1302</t>
  </si>
  <si>
    <t>MM-ZTK-1F-ZWPX-STR-DWG-1303</t>
  </si>
  <si>
    <t>MM-ZTK-1F-ZWPX-STR-DWG-1304</t>
  </si>
  <si>
    <t>MM-ZTK-1F-ZWPX-STR-DWG-1311</t>
  </si>
  <si>
    <t>MM-ZTK-1F-ZWPX-STR-DWG-1312</t>
  </si>
  <si>
    <t>MM-ZTK-1F-ZWPX-STR-DWG-1313</t>
  </si>
  <si>
    <t>MM-ZTK-1F-ZWPX-STR-DWG-1314</t>
  </si>
  <si>
    <t>MM-ZTK-1F-ZWPX-STR-DWG-1315</t>
  </si>
  <si>
    <t>MM-ZTK-1F-ZWPX-STR-DWG-1316</t>
  </si>
  <si>
    <t>MM-ZTK-1F-ZWPX-STR-DWG-1317</t>
  </si>
  <si>
    <t>MM-ZTK-1F-ZWPX-STR-DWG-1318</t>
  </si>
  <si>
    <t>MM-ZTK-1F-ZWPX-STR-DWG-1320</t>
  </si>
  <si>
    <t>MM-ZTK-1F-ZWPX-STR-DWG-1351</t>
  </si>
  <si>
    <t>MM-ZTK-1F-ZWPX-STR-DWG-1352</t>
  </si>
  <si>
    <t>MM-ZTK-1F-ZWPX-STR-DWG-1400</t>
  </si>
  <si>
    <t>MM-ZTK-1F-ZWPX-STR-DWG-1401</t>
  </si>
  <si>
    <t>MM-ZTK-1F-ZWPX-STR-DWG-1402</t>
  </si>
  <si>
    <t>MM-ZTK-1F-ZWPX-STR-DWG-1403</t>
  </si>
  <si>
    <t>MM-ZTK-1F-ZWPX-STR-DWG-1404</t>
  </si>
  <si>
    <t>MM-ZTK-1F-ZWPX-STR-DWG-1405</t>
  </si>
  <si>
    <t>MM-ZTK-1F-ZWPX-STR-DWG-1406</t>
  </si>
  <si>
    <t>MM-ZTK-1F-ZWPX-STR-DWG-1407</t>
  </si>
  <si>
    <t>MM-ZTK-1F-ZWPX-STR-DWG-1500</t>
  </si>
  <si>
    <t>MM-ZTK-1F-ZWPX-STR-DWG-1501</t>
  </si>
  <si>
    <t>MM-ZTK-1F-ZWPX-STR-DWG-1502</t>
  </si>
  <si>
    <t>MM-ZTK-1F-ZWPX-STR-DWG-1503</t>
  </si>
  <si>
    <t>MM-ZTK-1F-ZWPX-STR-DWG-1504</t>
  </si>
  <si>
    <t>MM-ZTK-1F-ZWPX-STR-DWG-1505</t>
  </si>
  <si>
    <t>MM-ZTK-1F-ZWPX-STR-DWG-1512</t>
  </si>
  <si>
    <t>MM-ZTK-1F-ZWPX-STR-DWG-1513</t>
  </si>
  <si>
    <t>MM-ZTK-1F-ZWPX-STR-DWG-1531</t>
  </si>
  <si>
    <t>MM-ZTK-1F-ZWPX-STR-DWG-1532</t>
  </si>
  <si>
    <t>MM-ZTK-1F-ZWPX-STR-DWG-1611</t>
  </si>
  <si>
    <t>MM-ZTK-1F-ZWPX-STR-DWG-1612</t>
  </si>
  <si>
    <t>MM-ZTK-1F-ZWPX-STR-DWG-1613</t>
  </si>
  <si>
    <t>MM-ZTK-1F-ZWPX-STR-DWG-1614</t>
  </si>
  <si>
    <t>MM-ZTK-1F-ZWPX-STR-DWG-1615</t>
  </si>
  <si>
    <t>MM-ZTK-1F-ZWPX-STR-DWG-1616</t>
  </si>
  <si>
    <t>MM-ZTK-1F-ZWPX-STR-DWG-1617</t>
  </si>
  <si>
    <t>MM-ZTK-1F-ZWPX-STR-DWG-1618</t>
  </si>
  <si>
    <t>MM-ZTK-1F-ZWPX-STR-DWG-1619</t>
  </si>
  <si>
    <t>MM-ZTK-1F-ZWPX-STR-DWG-1620</t>
  </si>
  <si>
    <t>MM-ZTK-1F-ZWPX-STR-DWG-1621</t>
  </si>
  <si>
    <t>MM-ZTK-1F-ZWPX-STR-DWG-1622</t>
  </si>
  <si>
    <t>MM-ZTK-1F-ZWPX-STR-DWG-1711</t>
  </si>
  <si>
    <t>MM-ZTK-1F-ZWPX-STR-DWG-1712</t>
  </si>
  <si>
    <t>MM-ZTK-1F-ZWPX-STR-DWG-1713</t>
  </si>
  <si>
    <t>MM-ZTK-1F-ZWPX-STR-DWG-1714</t>
  </si>
  <si>
    <t>MM-ZTK-1F-ZWPX-STR-DWG-1715</t>
  </si>
  <si>
    <t>MM-ZTK-1F-ZWPX-STR-DWG-1716</t>
  </si>
  <si>
    <t>MM-ZTK-1F-ZWPX-STR-DWG-1717</t>
  </si>
  <si>
    <t>MM-ZTK-1F-ZWPX-STR-DWG-1722</t>
  </si>
  <si>
    <t>MM-ZTK-1F-ZWPX-STR-DWG-1723</t>
  </si>
  <si>
    <t>MM-ZTK-1F-ZWPX-STR-DWG-1801</t>
  </si>
  <si>
    <t>MM-ZTK-1F-ZWPX-STR-DWG-1802</t>
  </si>
  <si>
    <t>MM-ZTK-1F-ZWPX-STR-DWG-1803</t>
  </si>
  <si>
    <t>MM-ZTK-1F-ZWPX-STR-DWG-1804</t>
  </si>
  <si>
    <t>MM-ZTK-1F-ZWPX-STR-DWG-1901</t>
  </si>
  <si>
    <t>MM-ZTK-1F-ZWPX-STR-DWG-1902</t>
  </si>
  <si>
    <t>MM-ZTK-1F-GEN-STR-CAL-0001</t>
  </si>
  <si>
    <t>TOPSIDES- BASIC STRUCTURAL ENGINEERING VERIFICATION REPORT</t>
  </si>
  <si>
    <t>MM-ZTK-1F-ZWPX-STR-DWG-1140</t>
  </si>
  <si>
    <t>TOPSIDE - MAIN JOINT DETAILS - SHEET 21</t>
  </si>
  <si>
    <t>MM-ZTK-1F-ZWPX-STR-DWG-1003</t>
  </si>
  <si>
    <t>TOPSIDE - DRAWING INDEX - SHEET 3</t>
  </si>
  <si>
    <t>MM-ZTK-1F-ZWPX-STR-DWG-1233</t>
  </si>
  <si>
    <t>TOPSIDE - UNIHEAD SPACER ARRANGEMENT AND DETAILS SHEET 1</t>
  </si>
  <si>
    <t>MM-ZTK-1F-ZWPX-STR-DWG-1246</t>
  </si>
  <si>
    <t xml:space="preserve"> TOPSIDES - SOLAR PANEL SUPPORT DETAILS</t>
  </si>
  <si>
    <t>MM-ZTK-1F-ZWPX-STR-DWG-1247</t>
  </si>
  <si>
    <t xml:space="preserve"> TOPSIDES - SOLAR PANEL SECTIONS</t>
  </si>
  <si>
    <t>MM-ZTK-1F-ZWPX-STR-DWG-1248</t>
  </si>
  <si>
    <t xml:space="preserve"> TOPSIDES - FLOORING SECTION AND DETAILS - SHEET 1</t>
  </si>
  <si>
    <t>MM-ZTK-1F-ZWPX-STR-DWG-1305</t>
  </si>
  <si>
    <t>MM-ZTK-1F-ZWPX-STR-DWG-1306</t>
  </si>
  <si>
    <t xml:space="preserve"> TOPSIDES - LADDER DETAILS - FROM JACKET ACCESS PLATFORM TO SUMP DECK</t>
  </si>
  <si>
    <t>MM-ZTK-1F-ZWPX-STR-DWG-1321</t>
  </si>
  <si>
    <t xml:space="preserve"> TOPSIDES - LADDER DETAILS - FROM LOWER DECK TO SUMP DECK</t>
  </si>
  <si>
    <t>MM-ZTK-1F-ZWPX-STR-DWG-1322</t>
  </si>
  <si>
    <t xml:space="preserve"> TOPSIDES - LADDER DETAILS - FROM MEZZANINE DECK TO LOWER DECK SHEET 1</t>
  </si>
  <si>
    <t>MM-ZTK-1F-ZWPX-STR-DWG-1323</t>
  </si>
  <si>
    <t xml:space="preserve"> TOPSIDES - LADDER DETAILS - FROM MEZZANINE DECK TO LOWER DECK SHEET 2</t>
  </si>
  <si>
    <t>MM-ZTK-1F-ZWPX-STR-DWG-1324</t>
  </si>
  <si>
    <t>MM-ZTK-1F-ZWPX-STR-DWG-1325</t>
  </si>
  <si>
    <t>MM-ZTK-1F-ZWPX-STR-DWG-1431</t>
  </si>
  <si>
    <t>MM-ZTK-1F-ZWPX-STR-DWG-1506</t>
  </si>
  <si>
    <t xml:space="preserve"> TOPSIDES - LADDER DETAILS FOR E&amp;I ROOM</t>
  </si>
  <si>
    <t>MM-ZTK-1F-ZWPX-STR-DWG-1623</t>
  </si>
  <si>
    <t xml:space="preserve"> TOPSIDES - TYPICAL EQUIPMENT SUPPORT DETAILS - SHEET 13</t>
  </si>
  <si>
    <t>MM-ZTK-1F-ZWPX-STR-DWG-1624</t>
  </si>
  <si>
    <t xml:space="preserve"> TOPSIDES - TYPICAL EQUIPMENT SUPPORT DETAILS - SHEET 14</t>
  </si>
  <si>
    <t>MM-ZTK-1F-ZWPX-STR-DWG-1625</t>
  </si>
  <si>
    <t>MM-ZTK-1F-ZWPX-STR-DWG-1626</t>
  </si>
  <si>
    <t>TOPSIDES - STEP LAYOUT AND SECTION</t>
  </si>
  <si>
    <t>MM-ZTK-1F-ZWPX-STR-DWG-1627</t>
  </si>
  <si>
    <t>TOPSIDES - PADEYE COLUMN REMOVABLE, PLAN, SECTION AND DETAILS</t>
  </si>
  <si>
    <t>MM-ZTK-1F-ZWPX-STR-DWG-1628</t>
  </si>
  <si>
    <t>TOPSIDES - TYPICAL EQUIPMENT SUPPORT IN E&amp;I ROOM SECTIONS</t>
  </si>
  <si>
    <t>MM-ZTK-1F-ZWPX-STR-DWG-1629</t>
  </si>
  <si>
    <t>TOPSIDES - TYPICAL EQUIPMENT SUPPORT FOG HORN CONTROL PANEL &amp; FOG HORN SECTIONS</t>
  </si>
  <si>
    <t>MM-ZTK-1F-ZWPX-STR-DWG-1641</t>
  </si>
  <si>
    <t>TOPSIDES - SAFETY SIGNS SUPPORT DETAILS SHEET 1</t>
  </si>
  <si>
    <t>MM-ZTK-1F-ZWPX-STR-DWG-1642</t>
  </si>
  <si>
    <t>TOPSIDES - SAFETY SIGNS SUPPORT DETAILS SHEET 2</t>
  </si>
  <si>
    <t>MM-ZTK-1F-ZWPX-STR-DWG-1643</t>
  </si>
  <si>
    <t>MM-ZTK-1F-ZWPX-STR-DWG-1644</t>
  </si>
  <si>
    <t>TOPSIDES - MEZZANINE DECK FLOORING LAYOUT FOR SAFETY SIGN SUPPORT AT TOG EL(+) 21138 &amp; 21338</t>
  </si>
  <si>
    <t>MM-ZTK-1F-ZWPX-STR-DWG-1645</t>
  </si>
  <si>
    <t>TOPSIDES - LOWER DECK FLOORING LAYOUT FOR SAFETY SIGN SUPPORT AT TOPL EL(+) 18310</t>
  </si>
  <si>
    <t>MM-ZTK-1F-ZWPX-STR-DWG-1646</t>
  </si>
  <si>
    <t>TOPSIDES - SUMP DECK FLOORING LAYOUT FOR SAFETY SIGN SUPPORT
AT TOG EL(+) 14738 &amp; 8488</t>
  </si>
  <si>
    <t>MM-ZTK-1F-ZWPX-STR-DWG-1654</t>
  </si>
  <si>
    <t>MM-ZTK-1F-ZWPX-STR-DWG-1655</t>
  </si>
  <si>
    <t>MM-ZTK-1F-ZWPX-STR-DWG-1656</t>
  </si>
  <si>
    <t>MM-ZTK-1F-ZWPX-STR-DWG-1657</t>
  </si>
  <si>
    <t>TOPSIDES - DRILLING MUD RETURN LINE SUPPORT - PLAN, SECTION AND DETAILS</t>
  </si>
  <si>
    <t>MM-ZTK-1F-ZWPX-STR-DWG-0028</t>
  </si>
  <si>
    <t>TOPSIDE - STANDARD DETAILS - LOGO PAINTING</t>
  </si>
  <si>
    <t>MM-ZTK-1F-ZWPX-STR-DWG-1319</t>
  </si>
  <si>
    <t>TOPSIDE - STAIR LAYOUT &amp; DETAILS - SHEET 9</t>
  </si>
  <si>
    <t>MM-ZTK-1F-ZWPX-STR-DWG-1903</t>
  </si>
  <si>
    <t>TOPSIDE - LIFTING PADEYE DETAILS SHEET 2</t>
  </si>
  <si>
    <t>MM-ZTK-1F-ZWP20-STR-CAL-2031</t>
  </si>
  <si>
    <t>MM-ZTK-1F-ZWP20-STR-CAL-2032</t>
  </si>
  <si>
    <t>MM-ZTK-1F-ZWP21-STR-CAL-2031</t>
  </si>
  <si>
    <t>MM-ZTK-1F-ZWP21-STR-CAL-2032</t>
  </si>
  <si>
    <t>MM-ZTK-1F-ZWP22-STR-CAL-2031</t>
  </si>
  <si>
    <t>MM-ZTK-1F-ZWP22-STR-CAL-2032</t>
  </si>
  <si>
    <t>MM-ZTK-1F-ZWP23-STR-CAL-2031</t>
  </si>
  <si>
    <t>MM-ZTK-1F-ZWP23-STR-CAL-2032</t>
  </si>
  <si>
    <t>MM-ZTK-1F-ZWP20-STR-WCR-1101</t>
  </si>
  <si>
    <t>MM-ZTK-1F-ZWP20-STR-CAL-1101</t>
  </si>
  <si>
    <t>MM-ZTK-1F-ZWP20-STR-CAL-2111</t>
  </si>
  <si>
    <t>MM-ZTK-1F-ZWP20-STR-CAL-2113</t>
  </si>
  <si>
    <t>MM-ZTK-1F-ZWP21-STR-WCR-1101</t>
  </si>
  <si>
    <t>MM-ZTK-1F-ZWP21-STR-CAL-1101</t>
  </si>
  <si>
    <t>MM-ZTK-1F-ZWP21-STR-CAL-2111</t>
  </si>
  <si>
    <t>MM-ZTK-1F-ZWP21-STR-CAL-2113</t>
  </si>
  <si>
    <t>MM-ZTK-1F-ZWP22-STR-WCR-1101</t>
  </si>
  <si>
    <t>MM-ZTK-1F-ZWP22-STR-CAL-1101</t>
  </si>
  <si>
    <t>MM-ZTK-1F-ZWP22-STR-CAL-2111</t>
  </si>
  <si>
    <t>MM-ZTK-1F-ZWP22-STR-CAL-2113</t>
  </si>
  <si>
    <t>MM-ZTK-1F-ZWP23-STR-WCR-1101</t>
  </si>
  <si>
    <t>MM-ZTK-1F-ZWP23-STR-CAL-1101</t>
  </si>
  <si>
    <t>MM-ZTK-1F-ZWP23-STR-CAL-2111</t>
  </si>
  <si>
    <t>MM-ZTK-1F-ZWP23-STR-CAL-2113</t>
  </si>
  <si>
    <t>ZWP20 IN-SERVICE COMBINED TOPSIDES AND JACKET FATIGUE ANALYSIS REPORT - NEW WATER DEPTH</t>
  </si>
  <si>
    <t>ZWP20 IN-SERVICE COMBINED TOPSIDES AND JACKET FATIGUE ANALYSIS REPORT - SUPERSEDED</t>
  </si>
  <si>
    <t>ZWP22 IN-SERVICE COMBINED TOPSIDES AND JACKET FATIGUE ANALYSIS REPORT - SUPERRSEDED</t>
  </si>
  <si>
    <t>ZWP22 IN-SERVICE COMBINED TOPSIDES AND JACKET FATIGUE ANALYSIS REPORT - NEW WATER DEPTH</t>
  </si>
  <si>
    <t>ZWP23 IN-SERVICE COMBINED TOPSIDES AND JACKET FATIGUE ANALYSIS REPORT - SUPERSEDED</t>
  </si>
  <si>
    <t>ZWP23 IN-SERVICE COMBINED TOPSIDES AND JACKET FATIGUE ANALYSIS REPORT - NEW WATER DEPTH</t>
  </si>
  <si>
    <t>ZWP21 IN-SERVICE COMBINED TOPSIDES AND JACKET FATIGUE ANALYSIS REPORT - SUPERSEDED</t>
  </si>
  <si>
    <t>ZWP21 IN-SERVICE COMBINED TOPSIDES AND JACKET FATIGUE ANALYSIS REPORT - NEW WATER DEPTH</t>
  </si>
  <si>
    <t>ZWP20 COMBINED TOPSIDES AND JACKET SEISMIC ANALYSIS REPORT (EXTREME LEVEL EARTHQUAKE-ELE) - SUPERSEDED</t>
  </si>
  <si>
    <t>ZWP20 COMBINED TOPSIDES AND JACKET SEISMIC ANALYSIS REPORT (ABNORMAL LEVEL EARTHQUAKE-ALE) - SUPERSEDED</t>
  </si>
  <si>
    <t>For Project control engineer follow up</t>
  </si>
  <si>
    <t>ZWP20 COMBINED TOPSIDES AND JACKET SEISMIC ANALYSIS REPORT (EXTREME LEVEL EARTHQUAKE-ELE) - NEW WATER DEPTH</t>
  </si>
  <si>
    <t>ZWP20 COMBINED TOPSIDES AND JACKET SEISMIC ANALYSIS REPORT (ABNORMAL LEVEL EARTHQUAKE-ALE) - NEW WATER DEPTH</t>
  </si>
  <si>
    <t>TOPSIDES - MEZZANINE DECK FLOORING LAYOUT FOR SAFETY EQUIPMENT SUPPORT AT TOG EL(+) 21138 &amp; 21338 - SUPERSEDED</t>
  </si>
  <si>
    <t>TOPSIDES - LOWER DECK FLOORING LAYOUT FOR SAFETY EQUIPMENT SUPPORT AT TOPL EL(+) 18310 - SUPERSEDED</t>
  </si>
  <si>
    <t>TOPSIDES - SUMP DECK FLOORING LAYOUT FOR SAFETY EQUIPMENT SUPPORT
AT TOG EL(+) 14738 &amp; 8488 - SUPERSEDED</t>
  </si>
  <si>
    <t>TOPSIDES TRANSPORATION ANALYSIS  - SUPERSEDED</t>
  </si>
  <si>
    <t>TOPSIDES TRANSPORATION ANALYSIS REPORT - UPDATED TOW ROUTE</t>
  </si>
  <si>
    <t>TOPSIDES TRANSPORATION FATIGUE ANALYSIS REPORT - SUPERSEDED</t>
  </si>
  <si>
    <t>TOPSIDES TRANSPORATION FATIGUE ANALYSIS REPORT - UPDATED TOW ROUTE</t>
  </si>
  <si>
    <t xml:space="preserve"> TOPSIDES - SOLAR PANEL SUPPORT DETAILS - CANCELLED</t>
  </si>
  <si>
    <t xml:space="preserve"> TOPSIDES - FLOORING SECTION AND DETAILS - SHEET 2 - CANCELLED</t>
  </si>
  <si>
    <t xml:space="preserve"> TOPSIDES - FLOORING SECTION AND DETAILS - SHEET 3 - CANCELLED</t>
  </si>
  <si>
    <t xml:space="preserve"> TOPSIDES - LADDER DETAILS - FROM MEZZANINE DECK TO LOWER DECK SHEET 3 - CANCELLED</t>
  </si>
  <si>
    <t xml:space="preserve"> TOPSIDES - LADDER DETAILS - FROM MEZZANINE DECK TO LOWER DECK SHEET 4 - CANCELLED</t>
  </si>
  <si>
    <t xml:space="preserve"> TOPSIDES - LIFT POINT FOR STRETCHER - PLAN AND DETAIL - CANCELLED</t>
  </si>
  <si>
    <t>TOPSIDES BARGE MOTION ANALYSIS REPORT - SUPERSEDED</t>
  </si>
  <si>
    <t xml:space="preserve">TOPSIDES BARGE MOTION ANALYSIS REPORT - UPDATED TOW ROUTE </t>
  </si>
  <si>
    <t>TOPSIDE - UNIHEAD SPACER ARRANGEMENT AND DETAILS SHEET 2 - CANCELLED</t>
  </si>
  <si>
    <t xml:space="preserve"> TOPSIDES - TYPICAL EQUIPMENT SUPPORT DETAILS - SHEET 15 - CANCELLED</t>
  </si>
  <si>
    <t>TOPSIDES - UPPER DECK FLOORING LAYOUT FOR SAFETY SIGN SUPPORT AT TOPL EL(+) 24820 - CANCELLED</t>
  </si>
  <si>
    <t>TOPSIDE - DRILLING MUD RETURN LINE SUPPORT - PLAN, SECTION AND DETAILS -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</si>
</sst>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11"/>
      <name val="Aptos Narrow"/>
      <family val="2"/>
    </font>
    <font>
      <sz val="7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strike/>
      <sz val="7"/>
      <color theme="1"/>
      <name val="Aptos Narrow"/>
      <family val="2"/>
      <scheme val="minor"/>
    </font>
    <font>
      <strike/>
      <sz val="7"/>
      <color rgb="FF000000"/>
      <name val="Aptos Narrow"/>
      <family val="2"/>
      <scheme val="minor"/>
    </font>
    <font>
      <strike/>
      <sz val="7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trike/>
      <sz val="7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31" fillId="0" borderId="0"/>
  </cellStyleXfs>
  <cellXfs count="210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0" fillId="7" borderId="0" xfId="0" applyFill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14" fillId="7" borderId="14" xfId="4" applyFill="1" applyBorder="1"/>
    <xf numFmtId="0" fontId="14" fillId="7" borderId="0" xfId="4" applyFill="1"/>
    <xf numFmtId="167" fontId="15" fillId="7" borderId="13" xfId="4" applyNumberFormat="1" applyFont="1" applyFill="1" applyBorder="1" applyAlignment="1">
      <alignment horizontal="center" vertical="center" textRotation="90"/>
    </xf>
    <xf numFmtId="0" fontId="16" fillId="7" borderId="0" xfId="4" applyFont="1" applyFill="1"/>
    <xf numFmtId="0" fontId="16" fillId="7" borderId="14" xfId="4" applyFont="1" applyFill="1" applyBorder="1"/>
    <xf numFmtId="164" fontId="21" fillId="7" borderId="14" xfId="4" applyNumberFormat="1" applyFont="1" applyFill="1" applyBorder="1" applyAlignment="1">
      <alignment horizontal="center" vertical="center" textRotation="90"/>
    </xf>
    <xf numFmtId="164" fontId="21" fillId="7" borderId="0" xfId="4" applyNumberFormat="1" applyFont="1" applyFill="1" applyAlignment="1">
      <alignment horizontal="center" vertical="center" textRotation="90"/>
    </xf>
    <xf numFmtId="169" fontId="0" fillId="7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2" fillId="0" borderId="17" xfId="4" applyNumberFormat="1" applyFont="1" applyBorder="1" applyAlignment="1">
      <alignment horizontal="left" vertical="center" wrapText="1"/>
    </xf>
    <xf numFmtId="166" fontId="22" fillId="0" borderId="18" xfId="4" quotePrefix="1" applyNumberFormat="1" applyFont="1" applyBorder="1" applyAlignment="1">
      <alignment horizontal="center" vertical="center" textRotation="90"/>
    </xf>
    <xf numFmtId="1" fontId="14" fillId="7" borderId="14" xfId="4" applyNumberFormat="1" applyFill="1" applyBorder="1"/>
    <xf numFmtId="1" fontId="14" fillId="7" borderId="0" xfId="4" applyNumberFormat="1" applyFill="1"/>
    <xf numFmtId="1" fontId="23" fillId="7" borderId="0" xfId="4" applyNumberFormat="1" applyFont="1" applyFill="1" applyAlignment="1">
      <alignment horizontal="center" vertical="center"/>
    </xf>
    <xf numFmtId="1" fontId="22" fillId="0" borderId="19" xfId="4" applyNumberFormat="1" applyFont="1" applyBorder="1" applyAlignment="1">
      <alignment horizontal="left" vertical="center" wrapText="1"/>
    </xf>
    <xf numFmtId="166" fontId="22" fillId="0" borderId="20" xfId="4" applyNumberFormat="1" applyFont="1" applyBorder="1" applyAlignment="1">
      <alignment horizontal="center" vertical="center" textRotation="90"/>
    </xf>
    <xf numFmtId="166" fontId="22" fillId="0" borderId="20" xfId="4" quotePrefix="1" applyNumberFormat="1" applyFont="1" applyBorder="1" applyAlignment="1">
      <alignment horizontal="center" vertical="center" textRotation="90"/>
    </xf>
    <xf numFmtId="1" fontId="22" fillId="0" borderId="21" xfId="4" applyNumberFormat="1" applyFont="1" applyBorder="1" applyAlignment="1">
      <alignment horizontal="left" vertical="center" wrapText="1"/>
    </xf>
    <xf numFmtId="0" fontId="0" fillId="7" borderId="22" xfId="0" applyFill="1" applyBorder="1"/>
    <xf numFmtId="0" fontId="0" fillId="7" borderId="23" xfId="0" applyFill="1" applyBorder="1"/>
    <xf numFmtId="0" fontId="0" fillId="7" borderId="8" xfId="0" applyFill="1" applyBorder="1"/>
    <xf numFmtId="0" fontId="24" fillId="7" borderId="0" xfId="0" applyFont="1" applyFill="1"/>
    <xf numFmtId="170" fontId="0" fillId="7" borderId="0" xfId="1" applyNumberFormat="1" applyFont="1" applyFill="1"/>
    <xf numFmtId="164" fontId="19" fillId="6" borderId="15" xfId="4" applyNumberFormat="1" applyFont="1" applyFill="1" applyBorder="1" applyAlignment="1">
      <alignment horizontal="center" vertical="center"/>
    </xf>
    <xf numFmtId="168" fontId="20" fillId="6" borderId="16" xfId="4" applyNumberFormat="1" applyFont="1" applyFill="1" applyBorder="1" applyAlignment="1">
      <alignment horizontal="center" vertical="center" textRotation="90"/>
    </xf>
    <xf numFmtId="167" fontId="17" fillId="7" borderId="13" xfId="4" applyNumberFormat="1" applyFont="1" applyFill="1" applyBorder="1" applyAlignment="1">
      <alignment horizontal="center" vertical="center" textRotation="90"/>
    </xf>
    <xf numFmtId="164" fontId="16" fillId="7" borderId="0" xfId="4" applyNumberFormat="1" applyFont="1" applyFill="1"/>
    <xf numFmtId="0" fontId="16" fillId="7" borderId="0" xfId="4" applyFont="1" applyFill="1" applyAlignment="1">
      <alignment horizontal="center"/>
    </xf>
    <xf numFmtId="164" fontId="14" fillId="7" borderId="0" xfId="4" applyNumberFormat="1" applyFill="1"/>
    <xf numFmtId="0" fontId="25" fillId="7" borderId="0" xfId="4" quotePrefix="1" applyFont="1" applyFill="1" applyAlignment="1">
      <alignment horizontal="center" vertical="center"/>
    </xf>
    <xf numFmtId="164" fontId="18" fillId="7" borderId="13" xfId="4" applyNumberFormat="1" applyFont="1" applyFill="1" applyBorder="1" applyAlignment="1">
      <alignment horizontal="center" vertical="center" textRotation="90"/>
    </xf>
    <xf numFmtId="0" fontId="26" fillId="8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28" fillId="2" borderId="10" xfId="0" applyFont="1" applyFill="1" applyBorder="1" applyAlignment="1">
      <alignment horizontal="center" vertical="top" wrapText="1" readingOrder="1"/>
    </xf>
    <xf numFmtId="0" fontId="28" fillId="2" borderId="2" xfId="0" applyFont="1" applyFill="1" applyBorder="1" applyAlignment="1">
      <alignment horizontal="center" vertical="top" wrapText="1" readingOrder="1"/>
    </xf>
    <xf numFmtId="0" fontId="29" fillId="0" borderId="0" xfId="0" applyFont="1"/>
    <xf numFmtId="0" fontId="29" fillId="0" borderId="1" xfId="0" applyFont="1" applyBorder="1"/>
    <xf numFmtId="9" fontId="29" fillId="0" borderId="1" xfId="2" applyFont="1" applyFill="1" applyBorder="1"/>
    <xf numFmtId="171" fontId="29" fillId="0" borderId="1" xfId="0" applyNumberFormat="1" applyFont="1" applyBorder="1"/>
    <xf numFmtId="164" fontId="29" fillId="0" borderId="1" xfId="0" applyNumberFormat="1" applyFont="1" applyBorder="1"/>
    <xf numFmtId="164" fontId="30" fillId="0" borderId="1" xfId="0" applyNumberFormat="1" applyFont="1" applyBorder="1"/>
    <xf numFmtId="0" fontId="29" fillId="7" borderId="1" xfId="0" applyFont="1" applyFill="1" applyBorder="1"/>
    <xf numFmtId="171" fontId="29" fillId="7" borderId="1" xfId="0" applyNumberFormat="1" applyFont="1" applyFill="1" applyBorder="1"/>
    <xf numFmtId="164" fontId="29" fillId="7" borderId="1" xfId="0" applyNumberFormat="1" applyFont="1" applyFill="1" applyBorder="1"/>
    <xf numFmtId="0" fontId="30" fillId="0" borderId="1" xfId="5" applyFont="1" applyBorder="1"/>
    <xf numFmtId="164" fontId="30" fillId="7" borderId="1" xfId="0" applyNumberFormat="1" applyFont="1" applyFill="1" applyBorder="1"/>
    <xf numFmtId="0" fontId="32" fillId="9" borderId="1" xfId="0" applyFont="1" applyFill="1" applyBorder="1" applyAlignment="1">
      <alignment vertical="top" wrapText="1" readingOrder="1"/>
    </xf>
    <xf numFmtId="165" fontId="29" fillId="7" borderId="1" xfId="0" applyNumberFormat="1" applyFont="1" applyFill="1" applyBorder="1"/>
    <xf numFmtId="0" fontId="32" fillId="9" borderId="25" xfId="0" applyFont="1" applyFill="1" applyBorder="1" applyAlignment="1">
      <alignment vertical="top" wrapText="1" readingOrder="1"/>
    </xf>
    <xf numFmtId="0" fontId="34" fillId="0" borderId="7" xfId="0" applyFont="1" applyBorder="1" applyAlignment="1">
      <alignment horizontal="left" vertical="center"/>
    </xf>
    <xf numFmtId="10" fontId="35" fillId="0" borderId="8" xfId="2" applyNumberFormat="1" applyFont="1" applyBorder="1" applyAlignment="1">
      <alignment horizontal="center" vertical="center"/>
    </xf>
    <xf numFmtId="0" fontId="30" fillId="7" borderId="1" xfId="0" applyFont="1" applyFill="1" applyBorder="1"/>
    <xf numFmtId="171" fontId="30" fillId="0" borderId="1" xfId="0" applyNumberFormat="1" applyFont="1" applyBorder="1"/>
    <xf numFmtId="0" fontId="30" fillId="7" borderId="1" xfId="5" applyFont="1" applyFill="1" applyBorder="1"/>
    <xf numFmtId="0" fontId="29" fillId="10" borderId="1" xfId="0" applyFont="1" applyFill="1" applyBorder="1"/>
    <xf numFmtId="9" fontId="29" fillId="10" borderId="1" xfId="2" applyFont="1" applyFill="1" applyBorder="1"/>
    <xf numFmtId="164" fontId="29" fillId="10" borderId="1" xfId="0" applyNumberFormat="1" applyFont="1" applyFill="1" applyBorder="1"/>
    <xf numFmtId="0" fontId="29" fillId="12" borderId="1" xfId="0" applyFont="1" applyFill="1" applyBorder="1"/>
    <xf numFmtId="9" fontId="29" fillId="12" borderId="1" xfId="2" applyFont="1" applyFill="1" applyBorder="1"/>
    <xf numFmtId="164" fontId="29" fillId="12" borderId="1" xfId="0" applyNumberFormat="1" applyFont="1" applyFill="1" applyBorder="1"/>
    <xf numFmtId="171" fontId="30" fillId="7" borderId="1" xfId="0" applyNumberFormat="1" applyFont="1" applyFill="1" applyBorder="1"/>
    <xf numFmtId="171" fontId="30" fillId="7" borderId="2" xfId="0" applyNumberFormat="1" applyFont="1" applyFill="1" applyBorder="1"/>
    <xf numFmtId="0" fontId="29" fillId="13" borderId="1" xfId="0" applyFont="1" applyFill="1" applyBorder="1"/>
    <xf numFmtId="9" fontId="29" fillId="13" borderId="1" xfId="2" applyFont="1" applyFill="1" applyBorder="1"/>
    <xf numFmtId="164" fontId="29" fillId="13" borderId="1" xfId="0" applyNumberFormat="1" applyFont="1" applyFill="1" applyBorder="1"/>
    <xf numFmtId="0" fontId="30" fillId="0" borderId="0" xfId="0" applyFont="1"/>
    <xf numFmtId="171" fontId="30" fillId="13" borderId="1" xfId="0" applyNumberFormat="1" applyFont="1" applyFill="1" applyBorder="1"/>
    <xf numFmtId="164" fontId="30" fillId="10" borderId="1" xfId="0" applyNumberFormat="1" applyFont="1" applyFill="1" applyBorder="1"/>
    <xf numFmtId="164" fontId="30" fillId="13" borderId="1" xfId="0" applyNumberFormat="1" applyFont="1" applyFill="1" applyBorder="1"/>
    <xf numFmtId="0" fontId="30" fillId="12" borderId="1" xfId="0" applyFont="1" applyFill="1" applyBorder="1"/>
    <xf numFmtId="164" fontId="30" fillId="12" borderId="1" xfId="0" applyNumberFormat="1" applyFont="1" applyFill="1" applyBorder="1"/>
    <xf numFmtId="0" fontId="30" fillId="10" borderId="1" xfId="0" applyFont="1" applyFill="1" applyBorder="1"/>
    <xf numFmtId="172" fontId="0" fillId="0" borderId="0" xfId="0" applyNumberFormat="1"/>
    <xf numFmtId="0" fontId="33" fillId="11" borderId="8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left" vertical="center" wrapText="1"/>
    </xf>
    <xf numFmtId="10" fontId="33" fillId="11" borderId="8" xfId="2" applyNumberFormat="1" applyFont="1" applyFill="1" applyBorder="1" applyAlignment="1">
      <alignment horizontal="center" vertical="center"/>
    </xf>
    <xf numFmtId="171" fontId="30" fillId="10" borderId="1" xfId="0" applyNumberFormat="1" applyFont="1" applyFill="1" applyBorder="1"/>
    <xf numFmtId="171" fontId="30" fillId="12" borderId="1" xfId="0" applyNumberFormat="1" applyFont="1" applyFill="1" applyBorder="1"/>
    <xf numFmtId="164" fontId="30" fillId="7" borderId="1" xfId="0" applyNumberFormat="1" applyFont="1" applyFill="1" applyBorder="1" applyAlignment="1">
      <alignment vertical="center"/>
    </xf>
    <xf numFmtId="0" fontId="29" fillId="7" borderId="0" xfId="0" applyFont="1" applyFill="1"/>
    <xf numFmtId="0" fontId="30" fillId="13" borderId="1" xfId="0" applyFont="1" applyFill="1" applyBorder="1"/>
    <xf numFmtId="0" fontId="29" fillId="14" borderId="1" xfId="0" applyFont="1" applyFill="1" applyBorder="1"/>
    <xf numFmtId="9" fontId="29" fillId="14" borderId="1" xfId="2" applyFont="1" applyFill="1" applyBorder="1"/>
    <xf numFmtId="171" fontId="30" fillId="14" borderId="1" xfId="0" applyNumberFormat="1" applyFont="1" applyFill="1" applyBorder="1"/>
    <xf numFmtId="164" fontId="29" fillId="14" borderId="1" xfId="0" applyNumberFormat="1" applyFont="1" applyFill="1" applyBorder="1"/>
    <xf numFmtId="0" fontId="30" fillId="14" borderId="1" xfId="0" applyFont="1" applyFill="1" applyBorder="1"/>
    <xf numFmtId="164" fontId="30" fillId="14" borderId="1" xfId="0" applyNumberFormat="1" applyFont="1" applyFill="1" applyBorder="1"/>
    <xf numFmtId="9" fontId="29" fillId="7" borderId="1" xfId="2" applyFont="1" applyFill="1" applyBorder="1"/>
    <xf numFmtId="0" fontId="29" fillId="15" borderId="1" xfId="0" applyFont="1" applyFill="1" applyBorder="1"/>
    <xf numFmtId="0" fontId="30" fillId="15" borderId="1" xfId="5" applyFont="1" applyFill="1" applyBorder="1"/>
    <xf numFmtId="0" fontId="30" fillId="15" borderId="1" xfId="0" applyFont="1" applyFill="1" applyBorder="1"/>
    <xf numFmtId="9" fontId="29" fillId="15" borderId="1" xfId="2" applyFont="1" applyFill="1" applyBorder="1"/>
    <xf numFmtId="171" fontId="30" fillId="15" borderId="1" xfId="0" applyNumberFormat="1" applyFont="1" applyFill="1" applyBorder="1"/>
    <xf numFmtId="164" fontId="30" fillId="15" borderId="1" xfId="0" applyNumberFormat="1" applyFont="1" applyFill="1" applyBorder="1"/>
    <xf numFmtId="164" fontId="29" fillId="15" borderId="1" xfId="0" applyNumberFormat="1" applyFont="1" applyFill="1" applyBorder="1"/>
    <xf numFmtId="0" fontId="30" fillId="9" borderId="1" xfId="0" applyFont="1" applyFill="1" applyBorder="1" applyAlignment="1">
      <alignment vertical="top" wrapText="1" readingOrder="1"/>
    </xf>
    <xf numFmtId="9" fontId="30" fillId="7" borderId="1" xfId="2" applyFont="1" applyFill="1" applyBorder="1"/>
    <xf numFmtId="2" fontId="29" fillId="7" borderId="26" xfId="0" applyNumberFormat="1" applyFont="1" applyFill="1" applyBorder="1"/>
    <xf numFmtId="0" fontId="30" fillId="10" borderId="1" xfId="5" applyFont="1" applyFill="1" applyBorder="1"/>
    <xf numFmtId="0" fontId="30" fillId="13" borderId="1" xfId="5" applyFont="1" applyFill="1" applyBorder="1"/>
    <xf numFmtId="0" fontId="30" fillId="14" borderId="1" xfId="5" applyFont="1" applyFill="1" applyBorder="1"/>
    <xf numFmtId="0" fontId="30" fillId="12" borderId="1" xfId="5" applyFont="1" applyFill="1" applyBorder="1"/>
    <xf numFmtId="164" fontId="30" fillId="12" borderId="1" xfId="0" applyNumberFormat="1" applyFont="1" applyFill="1" applyBorder="1" applyAlignment="1">
      <alignment vertical="center"/>
    </xf>
    <xf numFmtId="0" fontId="30" fillId="7" borderId="1" xfId="0" applyFont="1" applyFill="1" applyBorder="1" applyAlignment="1">
      <alignment wrapText="1"/>
    </xf>
    <xf numFmtId="0" fontId="29" fillId="7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0" fillId="7" borderId="1" xfId="5" applyFont="1" applyFill="1" applyBorder="1" applyAlignment="1">
      <alignment vertical="center"/>
    </xf>
    <xf numFmtId="0" fontId="30" fillId="7" borderId="1" xfId="0" applyFont="1" applyFill="1" applyBorder="1" applyAlignment="1">
      <alignment vertical="center" wrapText="1"/>
    </xf>
    <xf numFmtId="9" fontId="29" fillId="0" borderId="1" xfId="2" applyFont="1" applyFill="1" applyBorder="1" applyAlignment="1">
      <alignment vertical="center"/>
    </xf>
    <xf numFmtId="171" fontId="30" fillId="7" borderId="1" xfId="0" applyNumberFormat="1" applyFont="1" applyFill="1" applyBorder="1" applyAlignment="1">
      <alignment vertical="center"/>
    </xf>
    <xf numFmtId="164" fontId="29" fillId="7" borderId="1" xfId="0" applyNumberFormat="1" applyFont="1" applyFill="1" applyBorder="1" applyAlignment="1">
      <alignment vertical="center"/>
    </xf>
    <xf numFmtId="0" fontId="37" fillId="7" borderId="1" xfId="0" applyFont="1" applyFill="1" applyBorder="1"/>
    <xf numFmtId="0" fontId="38" fillId="9" borderId="1" xfId="0" applyFont="1" applyFill="1" applyBorder="1" applyAlignment="1">
      <alignment vertical="top" wrapText="1" readingOrder="1"/>
    </xf>
    <xf numFmtId="9" fontId="37" fillId="7" borderId="1" xfId="2" applyFont="1" applyFill="1" applyBorder="1"/>
    <xf numFmtId="171" fontId="39" fillId="0" borderId="1" xfId="0" applyNumberFormat="1" applyFont="1" applyBorder="1"/>
    <xf numFmtId="164" fontId="37" fillId="7" borderId="1" xfId="0" applyNumberFormat="1" applyFont="1" applyFill="1" applyBorder="1"/>
    <xf numFmtId="0" fontId="37" fillId="0" borderId="0" xfId="0" applyFont="1"/>
    <xf numFmtId="0" fontId="39" fillId="9" borderId="1" xfId="0" applyFont="1" applyFill="1" applyBorder="1" applyAlignment="1">
      <alignment vertical="top" wrapText="1" readingOrder="1"/>
    </xf>
    <xf numFmtId="9" fontId="39" fillId="7" borderId="1" xfId="2" applyFont="1" applyFill="1" applyBorder="1"/>
    <xf numFmtId="164" fontId="39" fillId="7" borderId="1" xfId="0" applyNumberFormat="1" applyFont="1" applyFill="1" applyBorder="1"/>
    <xf numFmtId="164" fontId="29" fillId="4" borderId="1" xfId="0" applyNumberFormat="1" applyFont="1" applyFill="1" applyBorder="1"/>
    <xf numFmtId="0" fontId="37" fillId="12" borderId="1" xfId="0" applyFont="1" applyFill="1" applyBorder="1"/>
    <xf numFmtId="0" fontId="39" fillId="12" borderId="1" xfId="5" applyFont="1" applyFill="1" applyBorder="1"/>
    <xf numFmtId="9" fontId="37" fillId="12" borderId="1" xfId="2" applyFont="1" applyFill="1" applyBorder="1"/>
    <xf numFmtId="171" fontId="37" fillId="12" borderId="1" xfId="0" applyNumberFormat="1" applyFont="1" applyFill="1" applyBorder="1"/>
    <xf numFmtId="164" fontId="37" fillId="12" borderId="1" xfId="0" applyNumberFormat="1" applyFont="1" applyFill="1" applyBorder="1"/>
    <xf numFmtId="164" fontId="39" fillId="12" borderId="1" xfId="0" applyNumberFormat="1" applyFont="1" applyFill="1" applyBorder="1"/>
    <xf numFmtId="0" fontId="37" fillId="10" borderId="1" xfId="0" applyFont="1" applyFill="1" applyBorder="1"/>
    <xf numFmtId="0" fontId="39" fillId="10" borderId="1" xfId="5" applyFont="1" applyFill="1" applyBorder="1"/>
    <xf numFmtId="9" fontId="37" fillId="10" borderId="1" xfId="2" applyFont="1" applyFill="1" applyBorder="1"/>
    <xf numFmtId="171" fontId="37" fillId="10" borderId="1" xfId="0" applyNumberFormat="1" applyFont="1" applyFill="1" applyBorder="1"/>
    <xf numFmtId="164" fontId="37" fillId="10" borderId="1" xfId="0" applyNumberFormat="1" applyFont="1" applyFill="1" applyBorder="1"/>
    <xf numFmtId="164" fontId="39" fillId="10" borderId="1" xfId="0" applyNumberFormat="1" applyFont="1" applyFill="1" applyBorder="1"/>
    <xf numFmtId="0" fontId="37" fillId="14" borderId="1" xfId="0" applyFont="1" applyFill="1" applyBorder="1"/>
    <xf numFmtId="0" fontId="39" fillId="14" borderId="1" xfId="5" applyFont="1" applyFill="1" applyBorder="1"/>
    <xf numFmtId="9" fontId="37" fillId="14" borderId="1" xfId="2" applyFont="1" applyFill="1" applyBorder="1"/>
    <xf numFmtId="171" fontId="39" fillId="14" borderId="1" xfId="0" applyNumberFormat="1" applyFont="1" applyFill="1" applyBorder="1"/>
    <xf numFmtId="164" fontId="37" fillId="14" borderId="1" xfId="0" applyNumberFormat="1" applyFont="1" applyFill="1" applyBorder="1"/>
    <xf numFmtId="164" fontId="39" fillId="14" borderId="1" xfId="0" applyNumberFormat="1" applyFont="1" applyFill="1" applyBorder="1"/>
    <xf numFmtId="0" fontId="37" fillId="13" borderId="1" xfId="0" applyFont="1" applyFill="1" applyBorder="1"/>
    <xf numFmtId="0" fontId="39" fillId="13" borderId="1" xfId="5" applyFont="1" applyFill="1" applyBorder="1"/>
    <xf numFmtId="9" fontId="37" fillId="13" borderId="1" xfId="2" applyFont="1" applyFill="1" applyBorder="1"/>
    <xf numFmtId="171" fontId="39" fillId="13" borderId="1" xfId="0" applyNumberFormat="1" applyFont="1" applyFill="1" applyBorder="1"/>
    <xf numFmtId="164" fontId="37" fillId="13" borderId="1" xfId="0" applyNumberFormat="1" applyFont="1" applyFill="1" applyBorder="1"/>
    <xf numFmtId="164" fontId="39" fillId="13" borderId="1" xfId="0" applyNumberFormat="1" applyFont="1" applyFill="1" applyBorder="1"/>
    <xf numFmtId="171" fontId="39" fillId="12" borderId="1" xfId="0" applyNumberFormat="1" applyFont="1" applyFill="1" applyBorder="1"/>
    <xf numFmtId="164" fontId="39" fillId="12" borderId="1" xfId="0" applyNumberFormat="1" applyFont="1" applyFill="1" applyBorder="1" applyAlignment="1">
      <alignment vertical="center"/>
    </xf>
    <xf numFmtId="171" fontId="39" fillId="10" borderId="1" xfId="0" applyNumberFormat="1" applyFont="1" applyFill="1" applyBorder="1"/>
    <xf numFmtId="0" fontId="9" fillId="0" borderId="0" xfId="0" applyFont="1"/>
    <xf numFmtId="0" fontId="40" fillId="16" borderId="4" xfId="0" quotePrefix="1" applyFont="1" applyFill="1" applyBorder="1" applyAlignment="1">
      <alignment horizontal="center" vertical="center"/>
    </xf>
    <xf numFmtId="0" fontId="40" fillId="14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7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0" fontId="39" fillId="12" borderId="1" xfId="0" applyFont="1" applyFill="1" applyBorder="1"/>
    <xf numFmtId="164" fontId="42" fillId="7" borderId="1" xfId="0" applyNumberFormat="1" applyFont="1" applyFill="1" applyBorder="1"/>
    <xf numFmtId="0" fontId="37" fillId="0" borderId="1" xfId="0" applyFont="1" applyBorder="1"/>
    <xf numFmtId="0" fontId="39" fillId="7" borderId="1" xfId="5" applyFont="1" applyFill="1" applyBorder="1"/>
    <xf numFmtId="0" fontId="39" fillId="7" borderId="1" xfId="0" applyFont="1" applyFill="1" applyBorder="1"/>
    <xf numFmtId="9" fontId="37" fillId="0" borderId="1" xfId="2" applyFont="1" applyFill="1" applyBorder="1"/>
    <xf numFmtId="171" fontId="37" fillId="7" borderId="1" xfId="0" applyNumberFormat="1" applyFont="1" applyFill="1" applyBorder="1"/>
    <xf numFmtId="164" fontId="37" fillId="0" borderId="1" xfId="0" applyNumberFormat="1" applyFont="1" applyBorder="1"/>
    <xf numFmtId="0" fontId="39" fillId="9" borderId="1" xfId="0" applyFont="1" applyFill="1" applyBorder="1" applyAlignment="1">
      <alignment vertical="top" readingOrder="1"/>
    </xf>
    <xf numFmtId="0" fontId="39" fillId="14" borderId="1" xfId="0" applyFont="1" applyFill="1" applyBorder="1"/>
    <xf numFmtId="0" fontId="39" fillId="13" borderId="1" xfId="0" applyFont="1" applyFill="1" applyBorder="1"/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11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0" fontId="13" fillId="7" borderId="0" xfId="3" applyFont="1" applyFill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77FE126D-2C28-44AC-B20F-66224796FC2A}"/>
    <cellStyle name="Normal 2 2 4" xfId="3" xr:uid="{386521FC-306D-4F3F-B302-99BE0F42B7CF}"/>
    <cellStyle name="Normal 3 3" xfId="4" xr:uid="{99B18FBF-9E51-4D9A-9499-C0CB9BFB4413}"/>
    <cellStyle name="Per cent" xfId="2" builtinId="5"/>
  </cellStyles>
  <dxfs count="239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'S-Curves'!$D$12:$DE$12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'S-Curves'!$D$13:$DE$13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'S-Curves'!$D$14:$DE$14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6.1250000000000034E-2</c:v>
                </c:pt>
                <c:pt idx="6">
                  <c:v>0.11124999999999989</c:v>
                </c:pt>
                <c:pt idx="7">
                  <c:v>0.13449999999999968</c:v>
                </c:pt>
                <c:pt idx="8">
                  <c:v>0.15449999999999967</c:v>
                </c:pt>
                <c:pt idx="9">
                  <c:v>0.18849999999999958</c:v>
                </c:pt>
                <c:pt idx="10">
                  <c:v>0.23774999999999971</c:v>
                </c:pt>
                <c:pt idx="11">
                  <c:v>0.26749999999999985</c:v>
                </c:pt>
                <c:pt idx="12">
                  <c:v>0.3381499999999999</c:v>
                </c:pt>
                <c:pt idx="13">
                  <c:v>0.40154999999999952</c:v>
                </c:pt>
                <c:pt idx="14">
                  <c:v>0.44224999999999853</c:v>
                </c:pt>
                <c:pt idx="15">
                  <c:v>0.47714999999999996</c:v>
                </c:pt>
                <c:pt idx="16">
                  <c:v>0.49165000000000048</c:v>
                </c:pt>
                <c:pt idx="17">
                  <c:v>0.54065000000000052</c:v>
                </c:pt>
                <c:pt idx="18">
                  <c:v>0.59410000000000052</c:v>
                </c:pt>
                <c:pt idx="19">
                  <c:v>0.62460000000000027</c:v>
                </c:pt>
                <c:pt idx="20">
                  <c:v>0.65085000000000037</c:v>
                </c:pt>
                <c:pt idx="21">
                  <c:v>0.67210000000000036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444104025033671E-2"/>
          <c:y val="7.4468445784344778E-2"/>
          <c:w val="0.58324352018731651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'Overall S-Curves DDE Only'!$C$12</c:f>
              <c:strCache>
                <c:ptCount val="1"/>
                <c:pt idx="0">
                  <c:v>Cumulative Plan (Revised)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4-49AE-92AF-8F026B5263D5}"/>
            </c:ext>
          </c:extLst>
        </c:ser>
        <c:ser>
          <c:idx val="2"/>
          <c:order val="1"/>
          <c:tx>
            <c:strRef>
              <c:f>'Overall S-Curves DDE Only'!$C$13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4-49AE-92AF-8F026B5263D5}"/>
              </c:ext>
            </c:extLst>
          </c:dPt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4-49AE-92AF-8F026B5263D5}"/>
            </c:ext>
          </c:extLst>
        </c:ser>
        <c:ser>
          <c:idx val="1"/>
          <c:order val="2"/>
          <c:tx>
            <c:strRef>
              <c:f>'Overall S-Curves DDE Only'!$C$14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4-49AE-92AF-8F026B5263D5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5-B0E4-49AE-92AF-8F026B5263D5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6-B0E4-49AE-92AF-8F026B5263D5}"/>
            </c:ext>
          </c:extLst>
        </c:ser>
        <c:ser>
          <c:idx val="4"/>
          <c:order val="5"/>
          <c:tx>
            <c:strRef>
              <c:f>'Overall S-Curves DDE Only'!$C$20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'Overall S-Curves DDE Only'!$D$20:$CR$20</c:f>
              <c:numCache>
                <c:formatCode>0.0%</c:formatCode>
                <c:ptCount val="9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4-49AE-92AF-8F026B52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68271923256839E-3"/>
          <c:y val="4.2929512117123626E-3"/>
          <c:w val="0.56964072272994093"/>
          <c:h val="5.4839884615712257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109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C7562-BD41-4EE6-94A4-D384EF16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0D646E5-88A9-4B98-8A39-FBD2C6E6B19D}"/>
            </a:ext>
          </a:extLst>
        </xdr:cNvPr>
        <xdr:cNvSpPr/>
      </xdr:nvSpPr>
      <xdr:spPr>
        <a:xfrm>
          <a:off x="977900" y="50800"/>
          <a:ext cx="152400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J242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15"/>
  <sheetViews>
    <sheetView workbookViewId="0">
      <selection activeCell="F11" sqref="F11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16">
        <v>46101</v>
      </c>
      <c r="E2" t="s">
        <v>61</v>
      </c>
      <c r="F2">
        <f>'Progress%'!A7</f>
        <v>7</v>
      </c>
    </row>
    <row r="3" spans="2:6" x14ac:dyDescent="0.35">
      <c r="B3" s="16">
        <f>B2+7</f>
        <v>46108</v>
      </c>
    </row>
    <row r="4" spans="2:6" x14ac:dyDescent="0.35">
      <c r="B4" s="16">
        <f t="shared" ref="B4:B67" si="0">B3+7</f>
        <v>46115</v>
      </c>
    </row>
    <row r="5" spans="2:6" x14ac:dyDescent="0.35">
      <c r="B5" s="16">
        <f t="shared" si="0"/>
        <v>46122</v>
      </c>
    </row>
    <row r="6" spans="2:6" x14ac:dyDescent="0.35">
      <c r="B6" s="16">
        <f t="shared" si="0"/>
        <v>46129</v>
      </c>
    </row>
    <row r="7" spans="2:6" x14ac:dyDescent="0.35">
      <c r="B7" s="16">
        <f t="shared" si="0"/>
        <v>46136</v>
      </c>
    </row>
    <row r="8" spans="2:6" x14ac:dyDescent="0.35">
      <c r="B8" s="16">
        <f t="shared" si="0"/>
        <v>46143</v>
      </c>
    </row>
    <row r="9" spans="2:6" x14ac:dyDescent="0.35">
      <c r="B9" s="16">
        <f t="shared" si="0"/>
        <v>46150</v>
      </c>
    </row>
    <row r="10" spans="2:6" x14ac:dyDescent="0.35">
      <c r="B10" s="16">
        <f t="shared" si="0"/>
        <v>46157</v>
      </c>
    </row>
    <row r="11" spans="2:6" x14ac:dyDescent="0.35">
      <c r="B11" s="16">
        <f t="shared" si="0"/>
        <v>46164</v>
      </c>
    </row>
    <row r="12" spans="2:6" x14ac:dyDescent="0.35">
      <c r="B12" s="16">
        <f t="shared" si="0"/>
        <v>46171</v>
      </c>
    </row>
    <row r="13" spans="2:6" x14ac:dyDescent="0.35">
      <c r="B13" s="16">
        <f t="shared" si="0"/>
        <v>46178</v>
      </c>
    </row>
    <row r="14" spans="2:6" x14ac:dyDescent="0.35">
      <c r="B14" s="16">
        <f t="shared" si="0"/>
        <v>46185</v>
      </c>
    </row>
    <row r="15" spans="2:6" x14ac:dyDescent="0.35">
      <c r="B15" s="16">
        <f t="shared" si="0"/>
        <v>46192</v>
      </c>
    </row>
    <row r="16" spans="2:6" x14ac:dyDescent="0.35">
      <c r="B16" s="16">
        <f t="shared" si="0"/>
        <v>46199</v>
      </c>
    </row>
    <row r="17" spans="2:2" x14ac:dyDescent="0.35">
      <c r="B17" s="16">
        <f t="shared" si="0"/>
        <v>46206</v>
      </c>
    </row>
    <row r="18" spans="2:2" x14ac:dyDescent="0.35">
      <c r="B18" s="16">
        <f t="shared" si="0"/>
        <v>46213</v>
      </c>
    </row>
    <row r="19" spans="2:2" x14ac:dyDescent="0.35">
      <c r="B19" s="16">
        <f t="shared" si="0"/>
        <v>46220</v>
      </c>
    </row>
    <row r="20" spans="2:2" x14ac:dyDescent="0.35">
      <c r="B20" s="16">
        <f t="shared" si="0"/>
        <v>46227</v>
      </c>
    </row>
    <row r="21" spans="2:2" x14ac:dyDescent="0.35">
      <c r="B21" s="16">
        <f t="shared" si="0"/>
        <v>46234</v>
      </c>
    </row>
    <row r="22" spans="2:2" x14ac:dyDescent="0.35">
      <c r="B22" s="16">
        <f t="shared" si="0"/>
        <v>46241</v>
      </c>
    </row>
    <row r="23" spans="2:2" x14ac:dyDescent="0.35">
      <c r="B23" s="16">
        <f t="shared" si="0"/>
        <v>46248</v>
      </c>
    </row>
    <row r="24" spans="2:2" x14ac:dyDescent="0.35">
      <c r="B24" s="16">
        <f t="shared" si="0"/>
        <v>46255</v>
      </c>
    </row>
    <row r="25" spans="2:2" x14ac:dyDescent="0.35">
      <c r="B25" s="16">
        <f t="shared" si="0"/>
        <v>46262</v>
      </c>
    </row>
    <row r="26" spans="2:2" x14ac:dyDescent="0.35">
      <c r="B26" s="16">
        <f t="shared" si="0"/>
        <v>46269</v>
      </c>
    </row>
    <row r="27" spans="2:2" x14ac:dyDescent="0.35">
      <c r="B27" s="16">
        <f t="shared" si="0"/>
        <v>46276</v>
      </c>
    </row>
    <row r="28" spans="2:2" x14ac:dyDescent="0.35">
      <c r="B28" s="16">
        <f t="shared" si="0"/>
        <v>46283</v>
      </c>
    </row>
    <row r="29" spans="2:2" x14ac:dyDescent="0.35">
      <c r="B29" s="16">
        <f t="shared" si="0"/>
        <v>46290</v>
      </c>
    </row>
    <row r="30" spans="2:2" x14ac:dyDescent="0.35">
      <c r="B30" s="16">
        <f t="shared" si="0"/>
        <v>46297</v>
      </c>
    </row>
    <row r="31" spans="2:2" x14ac:dyDescent="0.35">
      <c r="B31" s="16">
        <f t="shared" si="0"/>
        <v>46304</v>
      </c>
    </row>
    <row r="32" spans="2:2" x14ac:dyDescent="0.35">
      <c r="B32" s="16">
        <f t="shared" si="0"/>
        <v>46311</v>
      </c>
    </row>
    <row r="33" spans="2:2" x14ac:dyDescent="0.35">
      <c r="B33" s="16">
        <f t="shared" si="0"/>
        <v>46318</v>
      </c>
    </row>
    <row r="34" spans="2:2" x14ac:dyDescent="0.35">
      <c r="B34" s="16">
        <f t="shared" si="0"/>
        <v>46325</v>
      </c>
    </row>
    <row r="35" spans="2:2" x14ac:dyDescent="0.35">
      <c r="B35" s="16">
        <f t="shared" si="0"/>
        <v>46332</v>
      </c>
    </row>
    <row r="36" spans="2:2" x14ac:dyDescent="0.35">
      <c r="B36" s="16">
        <f t="shared" si="0"/>
        <v>46339</v>
      </c>
    </row>
    <row r="37" spans="2:2" x14ac:dyDescent="0.35">
      <c r="B37" s="16">
        <f t="shared" si="0"/>
        <v>46346</v>
      </c>
    </row>
    <row r="38" spans="2:2" x14ac:dyDescent="0.35">
      <c r="B38" s="16">
        <f t="shared" si="0"/>
        <v>46353</v>
      </c>
    </row>
    <row r="39" spans="2:2" x14ac:dyDescent="0.35">
      <c r="B39" s="16">
        <f t="shared" si="0"/>
        <v>46360</v>
      </c>
    </row>
    <row r="40" spans="2:2" x14ac:dyDescent="0.35">
      <c r="B40" s="16">
        <f t="shared" si="0"/>
        <v>46367</v>
      </c>
    </row>
    <row r="41" spans="2:2" x14ac:dyDescent="0.35">
      <c r="B41" s="16">
        <f t="shared" si="0"/>
        <v>46374</v>
      </c>
    </row>
    <row r="42" spans="2:2" x14ac:dyDescent="0.35">
      <c r="B42" s="16">
        <f t="shared" si="0"/>
        <v>46381</v>
      </c>
    </row>
    <row r="43" spans="2:2" x14ac:dyDescent="0.35">
      <c r="B43" s="16">
        <f t="shared" si="0"/>
        <v>46388</v>
      </c>
    </row>
    <row r="44" spans="2:2" x14ac:dyDescent="0.35">
      <c r="B44" s="16">
        <f t="shared" si="0"/>
        <v>46395</v>
      </c>
    </row>
    <row r="45" spans="2:2" x14ac:dyDescent="0.35">
      <c r="B45" s="16">
        <f t="shared" si="0"/>
        <v>46402</v>
      </c>
    </row>
    <row r="46" spans="2:2" x14ac:dyDescent="0.35">
      <c r="B46" s="16">
        <f t="shared" si="0"/>
        <v>46409</v>
      </c>
    </row>
    <row r="47" spans="2:2" x14ac:dyDescent="0.35">
      <c r="B47" s="16">
        <f t="shared" si="0"/>
        <v>46416</v>
      </c>
    </row>
    <row r="48" spans="2:2" x14ac:dyDescent="0.35">
      <c r="B48" s="16">
        <f t="shared" si="0"/>
        <v>46423</v>
      </c>
    </row>
    <row r="49" spans="2:2" x14ac:dyDescent="0.35">
      <c r="B49" s="16">
        <f t="shared" si="0"/>
        <v>46430</v>
      </c>
    </row>
    <row r="50" spans="2:2" x14ac:dyDescent="0.35">
      <c r="B50" s="16">
        <f t="shared" si="0"/>
        <v>46437</v>
      </c>
    </row>
    <row r="51" spans="2:2" x14ac:dyDescent="0.35">
      <c r="B51" s="16">
        <f t="shared" si="0"/>
        <v>46444</v>
      </c>
    </row>
    <row r="52" spans="2:2" x14ac:dyDescent="0.35">
      <c r="B52" s="16">
        <f t="shared" si="0"/>
        <v>46451</v>
      </c>
    </row>
    <row r="53" spans="2:2" x14ac:dyDescent="0.35">
      <c r="B53" s="16">
        <f t="shared" si="0"/>
        <v>46458</v>
      </c>
    </row>
    <row r="54" spans="2:2" x14ac:dyDescent="0.35">
      <c r="B54" s="16">
        <f t="shared" si="0"/>
        <v>46465</v>
      </c>
    </row>
    <row r="55" spans="2:2" x14ac:dyDescent="0.35">
      <c r="B55" s="16">
        <f t="shared" si="0"/>
        <v>46472</v>
      </c>
    </row>
    <row r="56" spans="2:2" x14ac:dyDescent="0.35">
      <c r="B56" s="16">
        <f t="shared" si="0"/>
        <v>46479</v>
      </c>
    </row>
    <row r="57" spans="2:2" x14ac:dyDescent="0.35">
      <c r="B57" s="16">
        <f t="shared" si="0"/>
        <v>46486</v>
      </c>
    </row>
    <row r="58" spans="2:2" x14ac:dyDescent="0.35">
      <c r="B58" s="16">
        <f t="shared" si="0"/>
        <v>46493</v>
      </c>
    </row>
    <row r="59" spans="2:2" x14ac:dyDescent="0.35">
      <c r="B59" s="16">
        <f t="shared" si="0"/>
        <v>46500</v>
      </c>
    </row>
    <row r="60" spans="2:2" x14ac:dyDescent="0.35">
      <c r="B60" s="16">
        <f t="shared" si="0"/>
        <v>46507</v>
      </c>
    </row>
    <row r="61" spans="2:2" x14ac:dyDescent="0.35">
      <c r="B61" s="16">
        <f t="shared" si="0"/>
        <v>46514</v>
      </c>
    </row>
    <row r="62" spans="2:2" x14ac:dyDescent="0.35">
      <c r="B62" s="16">
        <f t="shared" si="0"/>
        <v>46521</v>
      </c>
    </row>
    <row r="63" spans="2:2" x14ac:dyDescent="0.35">
      <c r="B63" s="16">
        <f t="shared" si="0"/>
        <v>46528</v>
      </c>
    </row>
    <row r="64" spans="2:2" x14ac:dyDescent="0.35">
      <c r="B64" s="16">
        <f t="shared" si="0"/>
        <v>46535</v>
      </c>
    </row>
    <row r="65" spans="2:2" x14ac:dyDescent="0.35">
      <c r="B65" s="16">
        <f t="shared" si="0"/>
        <v>46542</v>
      </c>
    </row>
    <row r="66" spans="2:2" x14ac:dyDescent="0.35">
      <c r="B66" s="16">
        <f t="shared" si="0"/>
        <v>46549</v>
      </c>
    </row>
    <row r="67" spans="2:2" x14ac:dyDescent="0.35">
      <c r="B67" s="16">
        <f t="shared" si="0"/>
        <v>46556</v>
      </c>
    </row>
    <row r="68" spans="2:2" x14ac:dyDescent="0.35">
      <c r="B68" s="16">
        <f t="shared" ref="B68:B115" si="1">B67+7</f>
        <v>46563</v>
      </c>
    </row>
    <row r="69" spans="2:2" x14ac:dyDescent="0.35">
      <c r="B69" s="16">
        <f t="shared" si="1"/>
        <v>46570</v>
      </c>
    </row>
    <row r="70" spans="2:2" x14ac:dyDescent="0.35">
      <c r="B70" s="16">
        <f t="shared" si="1"/>
        <v>46577</v>
      </c>
    </row>
    <row r="71" spans="2:2" x14ac:dyDescent="0.35">
      <c r="B71" s="16">
        <f t="shared" si="1"/>
        <v>46584</v>
      </c>
    </row>
    <row r="72" spans="2:2" x14ac:dyDescent="0.35">
      <c r="B72" s="16">
        <f t="shared" si="1"/>
        <v>46591</v>
      </c>
    </row>
    <row r="73" spans="2:2" x14ac:dyDescent="0.35">
      <c r="B73" s="16">
        <f t="shared" si="1"/>
        <v>46598</v>
      </c>
    </row>
    <row r="74" spans="2:2" x14ac:dyDescent="0.35">
      <c r="B74" s="16">
        <f t="shared" si="1"/>
        <v>46605</v>
      </c>
    </row>
    <row r="75" spans="2:2" x14ac:dyDescent="0.35">
      <c r="B75" s="16">
        <f t="shared" si="1"/>
        <v>46612</v>
      </c>
    </row>
    <row r="76" spans="2:2" x14ac:dyDescent="0.35">
      <c r="B76" s="16">
        <f t="shared" si="1"/>
        <v>46619</v>
      </c>
    </row>
    <row r="77" spans="2:2" x14ac:dyDescent="0.35">
      <c r="B77" s="16">
        <f t="shared" si="1"/>
        <v>46626</v>
      </c>
    </row>
    <row r="78" spans="2:2" x14ac:dyDescent="0.35">
      <c r="B78" s="16">
        <f t="shared" si="1"/>
        <v>46633</v>
      </c>
    </row>
    <row r="79" spans="2:2" x14ac:dyDescent="0.35">
      <c r="B79" s="16">
        <f t="shared" si="1"/>
        <v>46640</v>
      </c>
    </row>
    <row r="80" spans="2:2" x14ac:dyDescent="0.35">
      <c r="B80" s="16">
        <f t="shared" si="1"/>
        <v>46647</v>
      </c>
    </row>
    <row r="81" spans="2:2" x14ac:dyDescent="0.35">
      <c r="B81" s="16">
        <f t="shared" si="1"/>
        <v>46654</v>
      </c>
    </row>
    <row r="82" spans="2:2" x14ac:dyDescent="0.35">
      <c r="B82" s="16">
        <f t="shared" si="1"/>
        <v>46661</v>
      </c>
    </row>
    <row r="83" spans="2:2" x14ac:dyDescent="0.35">
      <c r="B83" s="16">
        <f t="shared" si="1"/>
        <v>46668</v>
      </c>
    </row>
    <row r="84" spans="2:2" x14ac:dyDescent="0.35">
      <c r="B84" s="16">
        <f t="shared" si="1"/>
        <v>46675</v>
      </c>
    </row>
    <row r="85" spans="2:2" x14ac:dyDescent="0.35">
      <c r="B85" s="16">
        <f t="shared" si="1"/>
        <v>46682</v>
      </c>
    </row>
    <row r="86" spans="2:2" x14ac:dyDescent="0.35">
      <c r="B86" s="16">
        <f t="shared" si="1"/>
        <v>46689</v>
      </c>
    </row>
    <row r="87" spans="2:2" x14ac:dyDescent="0.35">
      <c r="B87" s="16">
        <f t="shared" si="1"/>
        <v>46696</v>
      </c>
    </row>
    <row r="88" spans="2:2" x14ac:dyDescent="0.35">
      <c r="B88" s="16">
        <f t="shared" si="1"/>
        <v>46703</v>
      </c>
    </row>
    <row r="89" spans="2:2" x14ac:dyDescent="0.35">
      <c r="B89" s="16">
        <f t="shared" si="1"/>
        <v>46710</v>
      </c>
    </row>
    <row r="90" spans="2:2" x14ac:dyDescent="0.35">
      <c r="B90" s="16">
        <f t="shared" si="1"/>
        <v>46717</v>
      </c>
    </row>
    <row r="91" spans="2:2" x14ac:dyDescent="0.35">
      <c r="B91" s="16">
        <f t="shared" si="1"/>
        <v>46724</v>
      </c>
    </row>
    <row r="92" spans="2:2" x14ac:dyDescent="0.35">
      <c r="B92" s="16">
        <f t="shared" si="1"/>
        <v>46731</v>
      </c>
    </row>
    <row r="93" spans="2:2" x14ac:dyDescent="0.35">
      <c r="B93" s="16">
        <f t="shared" si="1"/>
        <v>46738</v>
      </c>
    </row>
    <row r="94" spans="2:2" x14ac:dyDescent="0.35">
      <c r="B94" s="16">
        <f t="shared" si="1"/>
        <v>46745</v>
      </c>
    </row>
    <row r="95" spans="2:2" x14ac:dyDescent="0.35">
      <c r="B95" s="16">
        <f t="shared" si="1"/>
        <v>46752</v>
      </c>
    </row>
    <row r="96" spans="2:2" x14ac:dyDescent="0.35">
      <c r="B96" s="16">
        <f t="shared" si="1"/>
        <v>46759</v>
      </c>
    </row>
    <row r="97" spans="2:2" x14ac:dyDescent="0.35">
      <c r="B97" s="16">
        <f t="shared" si="1"/>
        <v>46766</v>
      </c>
    </row>
    <row r="98" spans="2:2" x14ac:dyDescent="0.35">
      <c r="B98" s="16">
        <f t="shared" si="1"/>
        <v>46773</v>
      </c>
    </row>
    <row r="99" spans="2:2" x14ac:dyDescent="0.35">
      <c r="B99" s="16">
        <f t="shared" si="1"/>
        <v>46780</v>
      </c>
    </row>
    <row r="100" spans="2:2" x14ac:dyDescent="0.35">
      <c r="B100" s="16">
        <f t="shared" si="1"/>
        <v>46787</v>
      </c>
    </row>
    <row r="101" spans="2:2" x14ac:dyDescent="0.35">
      <c r="B101" s="16">
        <f t="shared" si="1"/>
        <v>46794</v>
      </c>
    </row>
    <row r="102" spans="2:2" x14ac:dyDescent="0.35">
      <c r="B102" s="16">
        <f t="shared" si="1"/>
        <v>46801</v>
      </c>
    </row>
    <row r="103" spans="2:2" x14ac:dyDescent="0.35">
      <c r="B103" s="16">
        <f t="shared" si="1"/>
        <v>46808</v>
      </c>
    </row>
    <row r="104" spans="2:2" x14ac:dyDescent="0.35">
      <c r="B104" s="16">
        <f t="shared" si="1"/>
        <v>46815</v>
      </c>
    </row>
    <row r="105" spans="2:2" x14ac:dyDescent="0.35">
      <c r="B105" s="16">
        <f t="shared" si="1"/>
        <v>46822</v>
      </c>
    </row>
    <row r="106" spans="2:2" x14ac:dyDescent="0.35">
      <c r="B106" s="16">
        <f t="shared" si="1"/>
        <v>46829</v>
      </c>
    </row>
    <row r="107" spans="2:2" x14ac:dyDescent="0.35">
      <c r="B107" s="16">
        <f t="shared" si="1"/>
        <v>46836</v>
      </c>
    </row>
    <row r="108" spans="2:2" x14ac:dyDescent="0.35">
      <c r="B108" s="16">
        <f t="shared" si="1"/>
        <v>46843</v>
      </c>
    </row>
    <row r="109" spans="2:2" x14ac:dyDescent="0.35">
      <c r="B109" s="16">
        <f t="shared" si="1"/>
        <v>46850</v>
      </c>
    </row>
    <row r="110" spans="2:2" x14ac:dyDescent="0.35">
      <c r="B110" s="16">
        <f t="shared" si="1"/>
        <v>46857</v>
      </c>
    </row>
    <row r="111" spans="2:2" x14ac:dyDescent="0.35">
      <c r="B111" s="16">
        <f t="shared" si="1"/>
        <v>46864</v>
      </c>
    </row>
    <row r="112" spans="2:2" x14ac:dyDescent="0.35">
      <c r="B112" s="16">
        <f t="shared" si="1"/>
        <v>46871</v>
      </c>
    </row>
    <row r="113" spans="2:2" x14ac:dyDescent="0.35">
      <c r="B113" s="16">
        <f t="shared" si="1"/>
        <v>46878</v>
      </c>
    </row>
    <row r="114" spans="2:2" x14ac:dyDescent="0.35">
      <c r="B114" s="16">
        <f t="shared" si="1"/>
        <v>46885</v>
      </c>
    </row>
    <row r="115" spans="2:2" x14ac:dyDescent="0.35">
      <c r="B115" s="16">
        <f t="shared" si="1"/>
        <v>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5"/>
  <sheetViews>
    <sheetView topLeftCell="D2" zoomScaleNormal="100" workbookViewId="0">
      <selection activeCell="F8" sqref="F8:Q8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6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7.7265625" customWidth="1"/>
  </cols>
  <sheetData>
    <row r="1" spans="1:17" hidden="1" outlineLevel="1" x14ac:dyDescent="0.35">
      <c r="F1" s="18">
        <f>N1-1</f>
        <v>26</v>
      </c>
      <c r="G1" s="18">
        <f>O1-1</f>
        <v>26</v>
      </c>
      <c r="H1" s="18">
        <f t="shared" ref="H1:I1" si="0">P1-1</f>
        <v>26</v>
      </c>
      <c r="I1" s="18">
        <f t="shared" si="0"/>
        <v>26</v>
      </c>
      <c r="J1" s="18"/>
      <c r="K1" s="18"/>
      <c r="L1" s="18"/>
      <c r="M1" s="18"/>
      <c r="N1" s="18">
        <f>_xlfn.XLOOKUP(D3,'Progress%'!6:6,'Progress%'!1:1,0)</f>
        <v>27</v>
      </c>
      <c r="O1" s="18">
        <f>_xlfn.XLOOKUP(D3,'Progress%'!6:6,'Progress%'!1:1,0)</f>
        <v>27</v>
      </c>
      <c r="P1" s="18">
        <f>N1</f>
        <v>27</v>
      </c>
      <c r="Q1" s="18">
        <f>P1</f>
        <v>27</v>
      </c>
    </row>
    <row r="2" spans="1:17" collapsed="1" x14ac:dyDescent="0.35">
      <c r="D2" s="15" t="s">
        <v>31</v>
      </c>
    </row>
    <row r="3" spans="1:17" x14ac:dyDescent="0.35">
      <c r="D3" s="20">
        <v>46248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3" t="s">
        <v>25</v>
      </c>
      <c r="E6" s="203" t="s">
        <v>26</v>
      </c>
      <c r="F6" s="205" t="s">
        <v>30</v>
      </c>
      <c r="G6" s="206"/>
      <c r="H6" s="206"/>
      <c r="I6" s="207"/>
      <c r="J6" s="205" t="s">
        <v>27</v>
      </c>
      <c r="K6" s="206"/>
      <c r="L6" s="206"/>
      <c r="M6" s="207"/>
      <c r="N6" s="205" t="s">
        <v>28</v>
      </c>
      <c r="O6" s="206"/>
      <c r="P6" s="206"/>
      <c r="Q6" s="207"/>
    </row>
    <row r="7" spans="1:17" ht="24.5" customHeight="1" thickBot="1" x14ac:dyDescent="0.4">
      <c r="D7" s="204"/>
      <c r="E7" s="204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>
        <f>'Progress%'!A7</f>
        <v>7</v>
      </c>
      <c r="B8" s="19">
        <f t="shared" ref="B8" si="1">A8+1</f>
        <v>8</v>
      </c>
      <c r="C8" s="19">
        <f t="shared" ref="C8" si="2">B8+1</f>
        <v>9</v>
      </c>
      <c r="D8" s="78" t="s">
        <v>60</v>
      </c>
      <c r="E8" s="79">
        <v>1</v>
      </c>
      <c r="F8" s="79" cm="1">
        <f t="array" ref="F8">INDEX('Progress%'!$A$1:$DG$10,'Progress Summary'!$A8,'Progress Summary'!F$1)</f>
        <v>0.6595500000000003</v>
      </c>
      <c r="G8" s="79" cm="1">
        <f t="array" ref="G8">INDEX('Progress%'!$A$1:$DG$10,'Progress Summary'!$A8,'Progress Summary'!G$1)</f>
        <v>0.6595500000000003</v>
      </c>
      <c r="H8" s="79" cm="1">
        <f t="array" ref="H8">INDEX('Progress%'!$A$1:$DG$10,'Progress Summary'!$C8,'Progress Summary'!H$1)</f>
        <v>0.65085000000000037</v>
      </c>
      <c r="I8" s="79">
        <f t="shared" ref="I8" si="3">H8-F8</f>
        <v>-8.69999999999993E-3</v>
      </c>
      <c r="J8" s="79">
        <f>N8-F8</f>
        <v>1.6000000000000347E-2</v>
      </c>
      <c r="K8" s="79">
        <f t="shared" ref="K8" si="4">O8-G8</f>
        <v>1.6000000000000347E-2</v>
      </c>
      <c r="L8" s="79">
        <f t="shared" ref="L8:M8" si="5">P8-H8</f>
        <v>2.1249999999999991E-2</v>
      </c>
      <c r="M8" s="79">
        <f t="shared" si="5"/>
        <v>5.2499999999996438E-3</v>
      </c>
      <c r="N8" s="79" cm="1">
        <f t="array" ref="N8">INDEX('Progress%'!$A$1:$DG$10,'Progress Summary'!$A8,'Progress Summary'!N$1)</f>
        <v>0.67555000000000065</v>
      </c>
      <c r="O8" s="79" cm="1">
        <f t="array" ref="O8">INDEX('Progress%'!$A$1:$DG$10,'Progress Summary'!$B8,'Progress Summary'!O$1)</f>
        <v>0.67555000000000065</v>
      </c>
      <c r="P8" s="79" cm="1">
        <f t="array" ref="P8">INDEX('Progress%'!$A$1:$DG$10,'Progress Summary'!$C8,'Progress Summary'!P$1)</f>
        <v>0.67210000000000036</v>
      </c>
      <c r="Q8" s="79">
        <f t="shared" ref="Q8" si="6">P8-N8</f>
        <v>-3.4500000000002862E-3</v>
      </c>
    </row>
    <row r="13" spans="1:17" x14ac:dyDescent="0.35">
      <c r="H13" s="60"/>
    </row>
    <row r="15" spans="1:17" x14ac:dyDescent="0.35">
      <c r="D15" s="101"/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DM10"/>
  <sheetViews>
    <sheetView topLeftCell="D2" zoomScaleNormal="100" workbookViewId="0">
      <selection activeCell="W9" sqref="W9"/>
    </sheetView>
  </sheetViews>
  <sheetFormatPr defaultRowHeight="14.5" outlineLevelRow="1" outlineLevelCol="1" x14ac:dyDescent="0.35"/>
  <cols>
    <col min="1" max="1" width="8.7265625" hidden="1" customWidth="1" outlineLevel="1"/>
    <col min="2" max="2" width="14.81640625" hidden="1" customWidth="1" outlineLevel="1"/>
    <col min="3" max="3" width="8.7265625" hidden="1" customWidth="1" outlineLevel="1"/>
    <col min="4" max="4" width="10.90625" customWidth="1" collapsed="1"/>
  </cols>
  <sheetData>
    <row r="1" spans="1:117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</row>
    <row r="2" spans="1:117" collapsed="1" x14ac:dyDescent="0.35">
      <c r="A2">
        <v>2</v>
      </c>
      <c r="D2" s="4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117" x14ac:dyDescent="0.35">
      <c r="A3">
        <v>3</v>
      </c>
      <c r="D3" s="5">
        <f>'Progress Summary'!D3</f>
        <v>46248</v>
      </c>
    </row>
    <row r="4" spans="1:117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117" x14ac:dyDescent="0.35">
      <c r="A5">
        <v>5</v>
      </c>
      <c r="B5" t="s">
        <v>22</v>
      </c>
      <c r="C5" t="s">
        <v>23</v>
      </c>
      <c r="D5" s="6" t="s">
        <v>24</v>
      </c>
      <c r="E5" s="7" t="s">
        <v>55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s="9" customFormat="1" x14ac:dyDescent="0.35">
      <c r="A6">
        <v>6</v>
      </c>
      <c r="D6" s="10"/>
      <c r="E6" s="10"/>
      <c r="F6" s="11">
        <v>46101</v>
      </c>
      <c r="G6" s="11">
        <f>F6+7</f>
        <v>46108</v>
      </c>
      <c r="H6" s="11">
        <f t="shared" ref="H6:BS6" si="0">G6+7</f>
        <v>46115</v>
      </c>
      <c r="I6" s="11">
        <f t="shared" si="0"/>
        <v>46122</v>
      </c>
      <c r="J6" s="11">
        <f t="shared" si="0"/>
        <v>46129</v>
      </c>
      <c r="K6" s="11">
        <f t="shared" si="0"/>
        <v>46136</v>
      </c>
      <c r="L6" s="11">
        <f t="shared" si="0"/>
        <v>46143</v>
      </c>
      <c r="M6" s="11">
        <f t="shared" si="0"/>
        <v>46150</v>
      </c>
      <c r="N6" s="11">
        <f t="shared" si="0"/>
        <v>46157</v>
      </c>
      <c r="O6" s="11">
        <f t="shared" si="0"/>
        <v>46164</v>
      </c>
      <c r="P6" s="11">
        <f t="shared" si="0"/>
        <v>46171</v>
      </c>
      <c r="Q6" s="11">
        <f t="shared" si="0"/>
        <v>46178</v>
      </c>
      <c r="R6" s="11">
        <f t="shared" si="0"/>
        <v>46185</v>
      </c>
      <c r="S6" s="11">
        <f t="shared" si="0"/>
        <v>46192</v>
      </c>
      <c r="T6" s="11">
        <f t="shared" si="0"/>
        <v>46199</v>
      </c>
      <c r="U6" s="11">
        <f t="shared" si="0"/>
        <v>46206</v>
      </c>
      <c r="V6" s="11">
        <f t="shared" si="0"/>
        <v>46213</v>
      </c>
      <c r="W6" s="11">
        <f t="shared" si="0"/>
        <v>46220</v>
      </c>
      <c r="X6" s="11">
        <f t="shared" si="0"/>
        <v>46227</v>
      </c>
      <c r="Y6" s="11">
        <f t="shared" si="0"/>
        <v>46234</v>
      </c>
      <c r="Z6" s="11">
        <f t="shared" si="0"/>
        <v>46241</v>
      </c>
      <c r="AA6" s="11">
        <f t="shared" si="0"/>
        <v>46248</v>
      </c>
      <c r="AB6" s="11">
        <f t="shared" si="0"/>
        <v>46255</v>
      </c>
      <c r="AC6" s="11">
        <f t="shared" si="0"/>
        <v>46262</v>
      </c>
      <c r="AD6" s="11">
        <f t="shared" si="0"/>
        <v>46269</v>
      </c>
      <c r="AE6" s="11">
        <f t="shared" si="0"/>
        <v>46276</v>
      </c>
      <c r="AF6" s="11">
        <f t="shared" si="0"/>
        <v>46283</v>
      </c>
      <c r="AG6" s="11">
        <f t="shared" si="0"/>
        <v>46290</v>
      </c>
      <c r="AH6" s="11">
        <f t="shared" si="0"/>
        <v>46297</v>
      </c>
      <c r="AI6" s="11">
        <f t="shared" si="0"/>
        <v>46304</v>
      </c>
      <c r="AJ6" s="11">
        <f t="shared" si="0"/>
        <v>46311</v>
      </c>
      <c r="AK6" s="11">
        <f t="shared" si="0"/>
        <v>46318</v>
      </c>
      <c r="AL6" s="11">
        <f t="shared" si="0"/>
        <v>46325</v>
      </c>
      <c r="AM6" s="11">
        <f t="shared" si="0"/>
        <v>46332</v>
      </c>
      <c r="AN6" s="11">
        <f t="shared" si="0"/>
        <v>46339</v>
      </c>
      <c r="AO6" s="11">
        <f t="shared" si="0"/>
        <v>46346</v>
      </c>
      <c r="AP6" s="11">
        <f t="shared" si="0"/>
        <v>46353</v>
      </c>
      <c r="AQ6" s="11">
        <f t="shared" si="0"/>
        <v>46360</v>
      </c>
      <c r="AR6" s="11">
        <f t="shared" si="0"/>
        <v>46367</v>
      </c>
      <c r="AS6" s="11">
        <f t="shared" si="0"/>
        <v>46374</v>
      </c>
      <c r="AT6" s="11">
        <f t="shared" si="0"/>
        <v>46381</v>
      </c>
      <c r="AU6" s="11">
        <f t="shared" si="0"/>
        <v>46388</v>
      </c>
      <c r="AV6" s="11">
        <f t="shared" si="0"/>
        <v>46395</v>
      </c>
      <c r="AW6" s="11">
        <f t="shared" si="0"/>
        <v>46402</v>
      </c>
      <c r="AX6" s="11">
        <f t="shared" si="0"/>
        <v>46409</v>
      </c>
      <c r="AY6" s="11">
        <f t="shared" si="0"/>
        <v>46416</v>
      </c>
      <c r="AZ6" s="11">
        <f t="shared" si="0"/>
        <v>46423</v>
      </c>
      <c r="BA6" s="11">
        <f t="shared" si="0"/>
        <v>46430</v>
      </c>
      <c r="BB6" s="11">
        <f t="shared" si="0"/>
        <v>46437</v>
      </c>
      <c r="BC6" s="11">
        <f t="shared" si="0"/>
        <v>46444</v>
      </c>
      <c r="BD6" s="11">
        <f t="shared" si="0"/>
        <v>46451</v>
      </c>
      <c r="BE6" s="11">
        <f t="shared" si="0"/>
        <v>46458</v>
      </c>
      <c r="BF6" s="11">
        <f t="shared" si="0"/>
        <v>46465</v>
      </c>
      <c r="BG6" s="11">
        <f t="shared" si="0"/>
        <v>46472</v>
      </c>
      <c r="BH6" s="11">
        <f t="shared" si="0"/>
        <v>46479</v>
      </c>
      <c r="BI6" s="11">
        <f t="shared" si="0"/>
        <v>46486</v>
      </c>
      <c r="BJ6" s="11">
        <f t="shared" si="0"/>
        <v>46493</v>
      </c>
      <c r="BK6" s="11">
        <f t="shared" si="0"/>
        <v>46500</v>
      </c>
      <c r="BL6" s="11">
        <f t="shared" si="0"/>
        <v>46507</v>
      </c>
      <c r="BM6" s="11">
        <f t="shared" si="0"/>
        <v>46514</v>
      </c>
      <c r="BN6" s="11">
        <f t="shared" si="0"/>
        <v>46521</v>
      </c>
      <c r="BO6" s="11">
        <f t="shared" si="0"/>
        <v>46528</v>
      </c>
      <c r="BP6" s="11">
        <f t="shared" si="0"/>
        <v>46535</v>
      </c>
      <c r="BQ6" s="11">
        <f t="shared" si="0"/>
        <v>46542</v>
      </c>
      <c r="BR6" s="11">
        <f t="shared" si="0"/>
        <v>46549</v>
      </c>
      <c r="BS6" s="11">
        <f t="shared" si="0"/>
        <v>46556</v>
      </c>
      <c r="BT6" s="11">
        <f t="shared" ref="BT6:CT6" si="1">BS6+7</f>
        <v>46563</v>
      </c>
      <c r="BU6" s="11">
        <f t="shared" si="1"/>
        <v>46570</v>
      </c>
      <c r="BV6" s="11">
        <f t="shared" si="1"/>
        <v>46577</v>
      </c>
      <c r="BW6" s="11">
        <f t="shared" si="1"/>
        <v>46584</v>
      </c>
      <c r="BX6" s="11">
        <f t="shared" si="1"/>
        <v>46591</v>
      </c>
      <c r="BY6" s="11">
        <f t="shared" si="1"/>
        <v>46598</v>
      </c>
      <c r="BZ6" s="11">
        <f t="shared" si="1"/>
        <v>46605</v>
      </c>
      <c r="CA6" s="11">
        <f t="shared" si="1"/>
        <v>46612</v>
      </c>
      <c r="CB6" s="11">
        <f t="shared" si="1"/>
        <v>46619</v>
      </c>
      <c r="CC6" s="11">
        <f t="shared" si="1"/>
        <v>46626</v>
      </c>
      <c r="CD6" s="11">
        <f t="shared" si="1"/>
        <v>46633</v>
      </c>
      <c r="CE6" s="11">
        <f t="shared" si="1"/>
        <v>46640</v>
      </c>
      <c r="CF6" s="11">
        <f t="shared" si="1"/>
        <v>46647</v>
      </c>
      <c r="CG6" s="11">
        <f t="shared" si="1"/>
        <v>46654</v>
      </c>
      <c r="CH6" s="11">
        <f t="shared" si="1"/>
        <v>46661</v>
      </c>
      <c r="CI6" s="11">
        <f t="shared" si="1"/>
        <v>46668</v>
      </c>
      <c r="CJ6" s="11">
        <f t="shared" si="1"/>
        <v>46675</v>
      </c>
      <c r="CK6" s="11">
        <f t="shared" si="1"/>
        <v>46682</v>
      </c>
      <c r="CL6" s="11">
        <f t="shared" si="1"/>
        <v>46689</v>
      </c>
      <c r="CM6" s="11">
        <f t="shared" si="1"/>
        <v>46696</v>
      </c>
      <c r="CN6" s="11">
        <f t="shared" si="1"/>
        <v>46703</v>
      </c>
      <c r="CO6" s="11">
        <f t="shared" si="1"/>
        <v>46710</v>
      </c>
      <c r="CP6" s="11">
        <f t="shared" si="1"/>
        <v>46717</v>
      </c>
      <c r="CQ6" s="11">
        <f t="shared" si="1"/>
        <v>46724</v>
      </c>
      <c r="CR6" s="11">
        <f t="shared" si="1"/>
        <v>46731</v>
      </c>
      <c r="CS6" s="11">
        <f t="shared" si="1"/>
        <v>46738</v>
      </c>
      <c r="CT6" s="11">
        <f t="shared" si="1"/>
        <v>46745</v>
      </c>
      <c r="CU6" s="11">
        <f t="shared" ref="CU6" si="2">CT6+7</f>
        <v>46752</v>
      </c>
      <c r="CV6" s="11">
        <f t="shared" ref="CV6" si="3">CU6+7</f>
        <v>46759</v>
      </c>
      <c r="CW6" s="11">
        <f t="shared" ref="CW6" si="4">CV6+7</f>
        <v>46766</v>
      </c>
      <c r="CX6" s="11">
        <f t="shared" ref="CX6" si="5">CW6+7</f>
        <v>46773</v>
      </c>
      <c r="CY6" s="11">
        <f t="shared" ref="CY6" si="6">CX6+7</f>
        <v>46780</v>
      </c>
      <c r="CZ6" s="11">
        <f t="shared" ref="CZ6" si="7">CY6+7</f>
        <v>46787</v>
      </c>
      <c r="DA6" s="11">
        <f t="shared" ref="DA6" si="8">CZ6+7</f>
        <v>46794</v>
      </c>
      <c r="DB6" s="11">
        <f t="shared" ref="DB6" si="9">DA6+7</f>
        <v>46801</v>
      </c>
      <c r="DC6" s="11">
        <f t="shared" ref="DC6" si="10">DB6+7</f>
        <v>46808</v>
      </c>
      <c r="DD6" s="11">
        <f t="shared" ref="DD6" si="11">DC6+7</f>
        <v>46815</v>
      </c>
      <c r="DE6" s="11">
        <f t="shared" ref="DE6" si="12">DD6+7</f>
        <v>46822</v>
      </c>
      <c r="DF6" s="11">
        <f t="shared" ref="DF6" si="13">DE6+7</f>
        <v>46829</v>
      </c>
      <c r="DG6" s="11">
        <f t="shared" ref="DG6" si="14">DF6+7</f>
        <v>46836</v>
      </c>
      <c r="DH6" s="11">
        <f t="shared" ref="DH6" si="15">DG6+7</f>
        <v>46843</v>
      </c>
      <c r="DI6" s="11">
        <f t="shared" ref="DI6" si="16">DH6+7</f>
        <v>46850</v>
      </c>
      <c r="DJ6" s="11">
        <f t="shared" ref="DJ6" si="17">DI6+7</f>
        <v>46857</v>
      </c>
      <c r="DK6" s="11">
        <f t="shared" ref="DK6" si="18">DJ6+7</f>
        <v>46864</v>
      </c>
      <c r="DL6" s="11">
        <f t="shared" ref="DL6" si="19">DK6+7</f>
        <v>46871</v>
      </c>
      <c r="DM6" s="11">
        <f t="shared" ref="DM6" si="20">DL6+7</f>
        <v>46878</v>
      </c>
    </row>
    <row r="7" spans="1:117" x14ac:dyDescent="0.35">
      <c r="A7">
        <v>7</v>
      </c>
      <c r="B7" t="s">
        <v>61</v>
      </c>
      <c r="C7" s="60">
        <v>100</v>
      </c>
      <c r="D7" s="12">
        <v>1</v>
      </c>
      <c r="E7" s="13" t="s">
        <v>2</v>
      </c>
      <c r="F7" s="14">
        <f>IF($C7&gt;0,SUMIFS(EDSR!$J:$J,EDSR!$A:$A,'Progress%'!$B7,EDSR!$K:$K,"&lt;="&amp;F$6)*0.5+SUMIFS(EDSR!$J:$J,EDSR!$A:$A,'Progress%'!$B7,EDSR!$N:$N,"&lt;="&amp;F$6)*0.2+SUMIFS(EDSR!$J:$J,EDSR!$A:$A,'Progress%'!$B7,EDSR!$Q:$Q,"&lt;="&amp;F$6)*0.1+SUMIFS(EDSR!$J:$J,EDSR!$A:$A,'Progress%'!$B7,EDSR!$T:$T,"&lt;="&amp;F$6)*0.2)/$C7</f>
        <v>0</v>
      </c>
      <c r="G7" s="14">
        <f>IF($C7&gt;0,SUMIFS(EDSR!$J:$J,EDSR!$A:$A,'Progress%'!$B7,EDSR!$K:$K,"&lt;="&amp;G$6)*0.5+SUMIFS(EDSR!$J:$J,EDSR!$A:$A,'Progress%'!$B7,EDSR!$N:$N,"&lt;="&amp;G$6)*0.2+SUMIFS(EDSR!$J:$J,EDSR!$A:$A,'Progress%'!$B7,EDSR!$Q:$Q,"&lt;="&amp;G$6)*0.1+SUMIFS(EDSR!$J:$J,EDSR!$A:$A,'Progress%'!$B7,EDSR!$T:$T,"&lt;="&amp;G$6)*0.2)/$C7</f>
        <v>0</v>
      </c>
      <c r="H7" s="14">
        <f>IF($C7&gt;0,SUMIFS(EDSR!$J:$J,EDSR!$A:$A,'Progress%'!$B7,EDSR!$K:$K,"&lt;="&amp;H$6)*0.5+SUMIFS(EDSR!$J:$J,EDSR!$A:$A,'Progress%'!$B7,EDSR!$N:$N,"&lt;="&amp;H$6)*0.2+SUMIFS(EDSR!$J:$J,EDSR!$A:$A,'Progress%'!$B7,EDSR!$Q:$Q,"&lt;="&amp;H$6)*0.1+SUMIFS(EDSR!$J:$J,EDSR!$A:$A,'Progress%'!$B7,EDSR!$T:$T,"&lt;="&amp;H$6)*0.2)/$C7</f>
        <v>5.0000000000000001E-3</v>
      </c>
      <c r="I7" s="14">
        <f>IF($C7&gt;0,SUMIFS(EDSR!$J:$J,EDSR!$A:$A,'Progress%'!$B7,EDSR!$K:$K,"&lt;="&amp;I$6)*0.5+SUMIFS(EDSR!$J:$J,EDSR!$A:$A,'Progress%'!$B7,EDSR!$N:$N,"&lt;="&amp;I$6)*0.2+SUMIFS(EDSR!$J:$J,EDSR!$A:$A,'Progress%'!$B7,EDSR!$Q:$Q,"&lt;="&amp;I$6)*0.1+SUMIFS(EDSR!$J:$J,EDSR!$A:$A,'Progress%'!$B7,EDSR!$T:$T,"&lt;="&amp;I$6)*0.2)/$C7</f>
        <v>7.0000000000000007E-2</v>
      </c>
      <c r="J7" s="14">
        <f>IF($C7&gt;0,SUMIFS(EDSR!$J:$J,EDSR!$A:$A,'Progress%'!$B7,EDSR!$K:$K,"&lt;="&amp;J$6)*0.5+SUMIFS(EDSR!$J:$J,EDSR!$A:$A,'Progress%'!$B7,EDSR!$N:$N,"&lt;="&amp;J$6)*0.2+SUMIFS(EDSR!$J:$J,EDSR!$A:$A,'Progress%'!$B7,EDSR!$Q:$Q,"&lt;="&amp;J$6)*0.1+SUMIFS(EDSR!$J:$J,EDSR!$A:$A,'Progress%'!$B7,EDSR!$T:$T,"&lt;="&amp;J$6)*0.2)/$C7</f>
        <v>7.0000000000000007E-2</v>
      </c>
      <c r="K7" s="14">
        <f>IF($C7&gt;0,SUMIFS(EDSR!$J:$J,EDSR!$A:$A,'Progress%'!$B7,EDSR!$K:$K,"&lt;="&amp;K$6)*0.5+SUMIFS(EDSR!$J:$J,EDSR!$A:$A,'Progress%'!$B7,EDSR!$N:$N,"&lt;="&amp;K$6)*0.2+SUMIFS(EDSR!$J:$J,EDSR!$A:$A,'Progress%'!$B7,EDSR!$Q:$Q,"&lt;="&amp;K$6)*0.1+SUMIFS(EDSR!$J:$J,EDSR!$A:$A,'Progress%'!$B7,EDSR!$T:$T,"&lt;="&amp;K$6)*0.2)/$C7</f>
        <v>9.7500000000000003E-2</v>
      </c>
      <c r="L7" s="14">
        <f>IF($C7&gt;0,SUMIFS(EDSR!$J:$J,EDSR!$A:$A,'Progress%'!$B7,EDSR!$K:$K,"&lt;="&amp;L$6)*0.5+SUMIFS(EDSR!$J:$J,EDSR!$A:$A,'Progress%'!$B7,EDSR!$N:$N,"&lt;="&amp;L$6)*0.2+SUMIFS(EDSR!$J:$J,EDSR!$A:$A,'Progress%'!$B7,EDSR!$Q:$Q,"&lt;="&amp;L$6)*0.1+SUMIFS(EDSR!$J:$J,EDSR!$A:$A,'Progress%'!$B7,EDSR!$T:$T,"&lt;="&amp;L$6)*0.2)/$C7</f>
        <v>0.13</v>
      </c>
      <c r="M7" s="14">
        <f>IF($C7&gt;0,SUMIFS(EDSR!$J:$J,EDSR!$A:$A,'Progress%'!$B7,EDSR!$K:$K,"&lt;="&amp;M$6)*0.5+SUMIFS(EDSR!$J:$J,EDSR!$A:$A,'Progress%'!$B7,EDSR!$N:$N,"&lt;="&amp;M$6)*0.2+SUMIFS(EDSR!$J:$J,EDSR!$A:$A,'Progress%'!$B7,EDSR!$Q:$Q,"&lt;="&amp;M$6)*0.1+SUMIFS(EDSR!$J:$J,EDSR!$A:$A,'Progress%'!$B7,EDSR!$T:$T,"&lt;="&amp;M$6)*0.2)/$C7</f>
        <v>0.14000000000000001</v>
      </c>
      <c r="N7" s="14">
        <f>IF($C7&gt;0,SUMIFS(EDSR!$J:$J,EDSR!$A:$A,'Progress%'!$B7,EDSR!$K:$K,"&lt;="&amp;N$6)*0.5+SUMIFS(EDSR!$J:$J,EDSR!$A:$A,'Progress%'!$B7,EDSR!$N:$N,"&lt;="&amp;N$6)*0.2+SUMIFS(EDSR!$J:$J,EDSR!$A:$A,'Progress%'!$B7,EDSR!$Q:$Q,"&lt;="&amp;N$6)*0.1+SUMIFS(EDSR!$J:$J,EDSR!$A:$A,'Progress%'!$B7,EDSR!$T:$T,"&lt;="&amp;N$6)*0.2)/$C7</f>
        <v>0.1657499999999999</v>
      </c>
      <c r="O7" s="14">
        <f>IF($C7&gt;0,SUMIFS(EDSR!$J:$J,EDSR!$A:$A,'Progress%'!$B7,EDSR!$K:$K,"&lt;="&amp;O$6)*0.5+SUMIFS(EDSR!$J:$J,EDSR!$A:$A,'Progress%'!$B7,EDSR!$N:$N,"&lt;="&amp;O$6)*0.2+SUMIFS(EDSR!$J:$J,EDSR!$A:$A,'Progress%'!$B7,EDSR!$Q:$Q,"&lt;="&amp;O$6)*0.1+SUMIFS(EDSR!$J:$J,EDSR!$A:$A,'Progress%'!$B7,EDSR!$T:$T,"&lt;="&amp;O$6)*0.2)/$C7</f>
        <v>0.21174999999999986</v>
      </c>
      <c r="P7" s="14">
        <f>IF($C7&gt;0,SUMIFS(EDSR!$J:$J,EDSR!$A:$A,'Progress%'!$B7,EDSR!$K:$K,"&lt;="&amp;P$6)*0.5+SUMIFS(EDSR!$J:$J,EDSR!$A:$A,'Progress%'!$B7,EDSR!$N:$N,"&lt;="&amp;P$6)*0.2+SUMIFS(EDSR!$J:$J,EDSR!$A:$A,'Progress%'!$B7,EDSR!$Q:$Q,"&lt;="&amp;P$6)*0.1+SUMIFS(EDSR!$J:$J,EDSR!$A:$A,'Progress%'!$B7,EDSR!$T:$T,"&lt;="&amp;P$6)*0.2)/$C7</f>
        <v>0.2469999999999998</v>
      </c>
      <c r="Q7" s="14">
        <f>IF($C7&gt;0,SUMIFS(EDSR!$J:$J,EDSR!$A:$A,'Progress%'!$B7,EDSR!$K:$K,"&lt;="&amp;Q$6)*0.5+SUMIFS(EDSR!$J:$J,EDSR!$A:$A,'Progress%'!$B7,EDSR!$N:$N,"&lt;="&amp;Q$6)*0.2+SUMIFS(EDSR!$J:$J,EDSR!$A:$A,'Progress%'!$B7,EDSR!$Q:$Q,"&lt;="&amp;Q$6)*0.1+SUMIFS(EDSR!$J:$J,EDSR!$A:$A,'Progress%'!$B7,EDSR!$T:$T,"&lt;="&amp;Q$6)*0.2)/$C7</f>
        <v>0.29524999999999962</v>
      </c>
      <c r="R7" s="14">
        <f>IF($C7&gt;0,SUMIFS(EDSR!$J:$J,EDSR!$A:$A,'Progress%'!$B7,EDSR!$K:$K,"&lt;="&amp;R$6)*0.5+SUMIFS(EDSR!$J:$J,EDSR!$A:$A,'Progress%'!$B7,EDSR!$N:$N,"&lt;="&amp;R$6)*0.2+SUMIFS(EDSR!$J:$J,EDSR!$A:$A,'Progress%'!$B7,EDSR!$Q:$Q,"&lt;="&amp;R$6)*0.1+SUMIFS(EDSR!$J:$J,EDSR!$A:$A,'Progress%'!$B7,EDSR!$T:$T,"&lt;="&amp;R$6)*0.2)/$C7</f>
        <v>0.34749999999999959</v>
      </c>
      <c r="S7" s="14">
        <f>IF($C7&gt;0,SUMIFS(EDSR!$J:$J,EDSR!$A:$A,'Progress%'!$B7,EDSR!$K:$K,"&lt;="&amp;S$6)*0.5+SUMIFS(EDSR!$J:$J,EDSR!$A:$A,'Progress%'!$B7,EDSR!$N:$N,"&lt;="&amp;S$6)*0.2+SUMIFS(EDSR!$J:$J,EDSR!$A:$A,'Progress%'!$B7,EDSR!$Q:$Q,"&lt;="&amp;S$6)*0.1+SUMIFS(EDSR!$J:$J,EDSR!$A:$A,'Progress%'!$B7,EDSR!$T:$T,"&lt;="&amp;S$6)*0.2)/$C7</f>
        <v>0.36149999999999954</v>
      </c>
      <c r="T7" s="14">
        <f>IF($C7&gt;0,SUMIFS(EDSR!$J:$J,EDSR!$A:$A,'Progress%'!$B7,EDSR!$K:$K,"&lt;="&amp;T$6)*0.5+SUMIFS(EDSR!$J:$J,EDSR!$A:$A,'Progress%'!$B7,EDSR!$N:$N,"&lt;="&amp;T$6)*0.2+SUMIFS(EDSR!$J:$J,EDSR!$A:$A,'Progress%'!$B7,EDSR!$Q:$Q,"&lt;="&amp;T$6)*0.1+SUMIFS(EDSR!$J:$J,EDSR!$A:$A,'Progress%'!$B7,EDSR!$T:$T,"&lt;="&amp;T$6)*0.2)/$C7</f>
        <v>0.41600000000000059</v>
      </c>
      <c r="U7" s="14">
        <f>IF($C7&gt;0,SUMIFS(EDSR!$J:$J,EDSR!$A:$A,'Progress%'!$B7,EDSR!$K:$K,"&lt;="&amp;U$6)*0.5+SUMIFS(EDSR!$J:$J,EDSR!$A:$A,'Progress%'!$B7,EDSR!$N:$N,"&lt;="&amp;U$6)*0.2+SUMIFS(EDSR!$J:$J,EDSR!$A:$A,'Progress%'!$B7,EDSR!$Q:$Q,"&lt;="&amp;U$6)*0.1+SUMIFS(EDSR!$J:$J,EDSR!$A:$A,'Progress%'!$B7,EDSR!$T:$T,"&lt;="&amp;U$6)*0.2)/$C7</f>
        <v>0.45700000000000146</v>
      </c>
      <c r="V7" s="14">
        <f>IF($C7&gt;0,SUMIFS(EDSR!$J:$J,EDSR!$A:$A,'Progress%'!$B7,EDSR!$K:$K,"&lt;="&amp;V$6)*0.5+SUMIFS(EDSR!$J:$J,EDSR!$A:$A,'Progress%'!$B7,EDSR!$N:$N,"&lt;="&amp;V$6)*0.2+SUMIFS(EDSR!$J:$J,EDSR!$A:$A,'Progress%'!$B7,EDSR!$Q:$Q,"&lt;="&amp;V$6)*0.1+SUMIFS(EDSR!$J:$J,EDSR!$A:$A,'Progress%'!$B7,EDSR!$T:$T,"&lt;="&amp;V$6)*0.2)/$C7</f>
        <v>0.49360000000000143</v>
      </c>
      <c r="W7" s="14">
        <f>IF($C7&gt;0,SUMIFS(EDSR!$J:$J,EDSR!$A:$A,'Progress%'!$B7,EDSR!$K:$K,"&lt;="&amp;W$6)*0.5+SUMIFS(EDSR!$J:$J,EDSR!$A:$A,'Progress%'!$B7,EDSR!$N:$N,"&lt;="&amp;W$6)*0.2+SUMIFS(EDSR!$J:$J,EDSR!$A:$A,'Progress%'!$B7,EDSR!$Q:$Q,"&lt;="&amp;W$6)*0.1+SUMIFS(EDSR!$J:$J,EDSR!$A:$A,'Progress%'!$B7,EDSR!$T:$T,"&lt;="&amp;W$6)*0.2)/$C7</f>
        <v>0.55760000000000109</v>
      </c>
      <c r="X7" s="14">
        <f>IF($C7&gt;0,SUMIFS(EDSR!$J:$J,EDSR!$A:$A,'Progress%'!$B7,EDSR!$K:$K,"&lt;="&amp;X$6)*0.5+SUMIFS(EDSR!$J:$J,EDSR!$A:$A,'Progress%'!$B7,EDSR!$N:$N,"&lt;="&amp;X$6)*0.2+SUMIFS(EDSR!$J:$J,EDSR!$A:$A,'Progress%'!$B7,EDSR!$Q:$Q,"&lt;="&amp;X$6)*0.1+SUMIFS(EDSR!$J:$J,EDSR!$A:$A,'Progress%'!$B7,EDSR!$T:$T,"&lt;="&amp;X$6)*0.2)/$C7</f>
        <v>0.6036999999999999</v>
      </c>
      <c r="Y7" s="14">
        <f>IF($C7&gt;0,SUMIFS(EDSR!$J:$J,EDSR!$A:$A,'Progress%'!$B7,EDSR!$K:$K,"&lt;="&amp;Y$6)*0.5+SUMIFS(EDSR!$J:$J,EDSR!$A:$A,'Progress%'!$B7,EDSR!$N:$N,"&lt;="&amp;Y$6)*0.2+SUMIFS(EDSR!$J:$J,EDSR!$A:$A,'Progress%'!$B7,EDSR!$Q:$Q,"&lt;="&amp;Y$6)*0.1+SUMIFS(EDSR!$J:$J,EDSR!$A:$A,'Progress%'!$B7,EDSR!$T:$T,"&lt;="&amp;Y$6)*0.2)/$C7</f>
        <v>0.62419999999999987</v>
      </c>
      <c r="Z7" s="14">
        <f>IF($C7&gt;0,SUMIFS(EDSR!$J:$J,EDSR!$A:$A,'Progress%'!$B7,EDSR!$K:$K,"&lt;="&amp;Z$6)*0.5+SUMIFS(EDSR!$J:$J,EDSR!$A:$A,'Progress%'!$B7,EDSR!$N:$N,"&lt;="&amp;Z$6)*0.2+SUMIFS(EDSR!$J:$J,EDSR!$A:$A,'Progress%'!$B7,EDSR!$Q:$Q,"&lt;="&amp;Z$6)*0.1+SUMIFS(EDSR!$J:$J,EDSR!$A:$A,'Progress%'!$B7,EDSR!$T:$T,"&lt;="&amp;Z$6)*0.2)/$C7</f>
        <v>0.6595500000000003</v>
      </c>
      <c r="AA7" s="14">
        <f>IF($C7&gt;0,SUMIFS(EDSR!$J:$J,EDSR!$A:$A,'Progress%'!$B7,EDSR!$K:$K,"&lt;="&amp;AA$6)*0.5+SUMIFS(EDSR!$J:$J,EDSR!$A:$A,'Progress%'!$B7,EDSR!$N:$N,"&lt;="&amp;AA$6)*0.2+SUMIFS(EDSR!$J:$J,EDSR!$A:$A,'Progress%'!$B7,EDSR!$Q:$Q,"&lt;="&amp;AA$6)*0.1+SUMIFS(EDSR!$J:$J,EDSR!$A:$A,'Progress%'!$B7,EDSR!$T:$T,"&lt;="&amp;AA$6)*0.2)/$C7</f>
        <v>0.67555000000000065</v>
      </c>
      <c r="AB7" s="14">
        <f>IF($C7&gt;0,SUMIFS(EDSR!$J:$J,EDSR!$A:$A,'Progress%'!$B7,EDSR!$K:$K,"&lt;="&amp;AB$6)*0.5+SUMIFS(EDSR!$J:$J,EDSR!$A:$A,'Progress%'!$B7,EDSR!$N:$N,"&lt;="&amp;AB$6)*0.2+SUMIFS(EDSR!$J:$J,EDSR!$A:$A,'Progress%'!$B7,EDSR!$Q:$Q,"&lt;="&amp;AB$6)*0.1+SUMIFS(EDSR!$J:$J,EDSR!$A:$A,'Progress%'!$B7,EDSR!$T:$T,"&lt;="&amp;AB$6)*0.2)/$C7</f>
        <v>0.7051000000000005</v>
      </c>
      <c r="AC7" s="14">
        <f>IF($C7&gt;0,SUMIFS(EDSR!$J:$J,EDSR!$A:$A,'Progress%'!$B7,EDSR!$K:$K,"&lt;="&amp;AC$6)*0.5+SUMIFS(EDSR!$J:$J,EDSR!$A:$A,'Progress%'!$B7,EDSR!$N:$N,"&lt;="&amp;AC$6)*0.2+SUMIFS(EDSR!$J:$J,EDSR!$A:$A,'Progress%'!$B7,EDSR!$Q:$Q,"&lt;="&amp;AC$6)*0.1+SUMIFS(EDSR!$J:$J,EDSR!$A:$A,'Progress%'!$B7,EDSR!$T:$T,"&lt;="&amp;AC$6)*0.2)/$C7</f>
        <v>0.73275000000000046</v>
      </c>
      <c r="AD7" s="14">
        <f>IF($C7&gt;0,SUMIFS(EDSR!$J:$J,EDSR!$A:$A,'Progress%'!$B7,EDSR!$K:$K,"&lt;="&amp;AD$6)*0.5+SUMIFS(EDSR!$J:$J,EDSR!$A:$A,'Progress%'!$B7,EDSR!$N:$N,"&lt;="&amp;AD$6)*0.2+SUMIFS(EDSR!$J:$J,EDSR!$A:$A,'Progress%'!$B7,EDSR!$Q:$Q,"&lt;="&amp;AD$6)*0.1+SUMIFS(EDSR!$J:$J,EDSR!$A:$A,'Progress%'!$B7,EDSR!$T:$T,"&lt;="&amp;AD$6)*0.2)/$C7</f>
        <v>0.76709999999999989</v>
      </c>
      <c r="AE7" s="14">
        <f>IF($C7&gt;0,SUMIFS(EDSR!$J:$J,EDSR!$A:$A,'Progress%'!$B7,EDSR!$K:$K,"&lt;="&amp;AE$6)*0.5+SUMIFS(EDSR!$J:$J,EDSR!$A:$A,'Progress%'!$B7,EDSR!$N:$N,"&lt;="&amp;AE$6)*0.2+SUMIFS(EDSR!$J:$J,EDSR!$A:$A,'Progress%'!$B7,EDSR!$Q:$Q,"&lt;="&amp;AE$6)*0.1+SUMIFS(EDSR!$J:$J,EDSR!$A:$A,'Progress%'!$B7,EDSR!$T:$T,"&lt;="&amp;AE$6)*0.2)/$C7</f>
        <v>0.78719999999999968</v>
      </c>
      <c r="AF7" s="14">
        <f>IF($C7&gt;0,SUMIFS(EDSR!$J:$J,EDSR!$A:$A,'Progress%'!$B7,EDSR!$K:$K,"&lt;="&amp;AF$6)*0.5+SUMIFS(EDSR!$J:$J,EDSR!$A:$A,'Progress%'!$B7,EDSR!$N:$N,"&lt;="&amp;AF$6)*0.2+SUMIFS(EDSR!$J:$J,EDSR!$A:$A,'Progress%'!$B7,EDSR!$Q:$Q,"&lt;="&amp;AF$6)*0.1+SUMIFS(EDSR!$J:$J,EDSR!$A:$A,'Progress%'!$B7,EDSR!$T:$T,"&lt;="&amp;AF$6)*0.2)/$C7</f>
        <v>0.81009999999999993</v>
      </c>
      <c r="AG7" s="14">
        <f>IF($C7&gt;0,SUMIFS(EDSR!$J:$J,EDSR!$A:$A,'Progress%'!$B7,EDSR!$K:$K,"&lt;="&amp;AG$6)*0.5+SUMIFS(EDSR!$J:$J,EDSR!$A:$A,'Progress%'!$B7,EDSR!$N:$N,"&lt;="&amp;AG$6)*0.2+SUMIFS(EDSR!$J:$J,EDSR!$A:$A,'Progress%'!$B7,EDSR!$Q:$Q,"&lt;="&amp;AG$6)*0.1+SUMIFS(EDSR!$J:$J,EDSR!$A:$A,'Progress%'!$B7,EDSR!$T:$T,"&lt;="&amp;AG$6)*0.2)/$C7</f>
        <v>0.82010000000000016</v>
      </c>
      <c r="AH7" s="14">
        <f>IF($C7&gt;0,SUMIFS(EDSR!$J:$J,EDSR!$A:$A,'Progress%'!$B7,EDSR!$K:$K,"&lt;="&amp;AH$6)*0.5+SUMIFS(EDSR!$J:$J,EDSR!$A:$A,'Progress%'!$B7,EDSR!$N:$N,"&lt;="&amp;AH$6)*0.2+SUMIFS(EDSR!$J:$J,EDSR!$A:$A,'Progress%'!$B7,EDSR!$Q:$Q,"&lt;="&amp;AH$6)*0.1+SUMIFS(EDSR!$J:$J,EDSR!$A:$A,'Progress%'!$B7,EDSR!$T:$T,"&lt;="&amp;AH$6)*0.2)/$C7</f>
        <v>0.84420000000000073</v>
      </c>
      <c r="AI7" s="14">
        <f>IF($C7&gt;0,SUMIFS(EDSR!$J:$J,EDSR!$A:$A,'Progress%'!$B7,EDSR!$K:$K,"&lt;="&amp;AI$6)*0.5+SUMIFS(EDSR!$J:$J,EDSR!$A:$A,'Progress%'!$B7,EDSR!$N:$N,"&lt;="&amp;AI$6)*0.2+SUMIFS(EDSR!$J:$J,EDSR!$A:$A,'Progress%'!$B7,EDSR!$Q:$Q,"&lt;="&amp;AI$6)*0.1+SUMIFS(EDSR!$J:$J,EDSR!$A:$A,'Progress%'!$B7,EDSR!$T:$T,"&lt;="&amp;AI$6)*0.2)/$C7</f>
        <v>0.85740000000000094</v>
      </c>
      <c r="AJ7" s="14">
        <f>IF($C7&gt;0,SUMIFS(EDSR!$J:$J,EDSR!$A:$A,'Progress%'!$B7,EDSR!$K:$K,"&lt;="&amp;AJ$6)*0.5+SUMIFS(EDSR!$J:$J,EDSR!$A:$A,'Progress%'!$B7,EDSR!$N:$N,"&lt;="&amp;AJ$6)*0.2+SUMIFS(EDSR!$J:$J,EDSR!$A:$A,'Progress%'!$B7,EDSR!$Q:$Q,"&lt;="&amp;AJ$6)*0.1+SUMIFS(EDSR!$J:$J,EDSR!$A:$A,'Progress%'!$B7,EDSR!$T:$T,"&lt;="&amp;AJ$6)*0.2)/$C7</f>
        <v>0.87350000000000083</v>
      </c>
      <c r="AK7" s="14">
        <f>IF($C7&gt;0,SUMIFS(EDSR!$J:$J,EDSR!$A:$A,'Progress%'!$B7,EDSR!$K:$K,"&lt;="&amp;AK$6)*0.5+SUMIFS(EDSR!$J:$J,EDSR!$A:$A,'Progress%'!$B7,EDSR!$N:$N,"&lt;="&amp;AK$6)*0.2+SUMIFS(EDSR!$J:$J,EDSR!$A:$A,'Progress%'!$B7,EDSR!$Q:$Q,"&lt;="&amp;AK$6)*0.1+SUMIFS(EDSR!$J:$J,EDSR!$A:$A,'Progress%'!$B7,EDSR!$T:$T,"&lt;="&amp;AK$6)*0.2)/$C7</f>
        <v>0.88020000000000065</v>
      </c>
      <c r="AL7" s="14">
        <f>IF($C7&gt;0,SUMIFS(EDSR!$J:$J,EDSR!$A:$A,'Progress%'!$B7,EDSR!$K:$K,"&lt;="&amp;AL$6)*0.5+SUMIFS(EDSR!$J:$J,EDSR!$A:$A,'Progress%'!$B7,EDSR!$N:$N,"&lt;="&amp;AL$6)*0.2+SUMIFS(EDSR!$J:$J,EDSR!$A:$A,'Progress%'!$B7,EDSR!$Q:$Q,"&lt;="&amp;AL$6)*0.1+SUMIFS(EDSR!$J:$J,EDSR!$A:$A,'Progress%'!$B7,EDSR!$T:$T,"&lt;="&amp;AL$6)*0.2)/$C7</f>
        <v>0.89040000000000019</v>
      </c>
      <c r="AM7" s="14">
        <f>IF($C7&gt;0,SUMIFS(EDSR!$J:$J,EDSR!$A:$A,'Progress%'!$B7,EDSR!$K:$K,"&lt;="&amp;AM$6)*0.5+SUMIFS(EDSR!$J:$J,EDSR!$A:$A,'Progress%'!$B7,EDSR!$N:$N,"&lt;="&amp;AM$6)*0.2+SUMIFS(EDSR!$J:$J,EDSR!$A:$A,'Progress%'!$B7,EDSR!$Q:$Q,"&lt;="&amp;AM$6)*0.1+SUMIFS(EDSR!$J:$J,EDSR!$A:$A,'Progress%'!$B7,EDSR!$T:$T,"&lt;="&amp;AM$6)*0.2)/$C7</f>
        <v>0.89100000000000024</v>
      </c>
      <c r="AN7" s="14">
        <f>IF($C7&gt;0,SUMIFS(EDSR!$J:$J,EDSR!$A:$A,'Progress%'!$B7,EDSR!$K:$K,"&lt;="&amp;AN$6)*0.5+SUMIFS(EDSR!$J:$J,EDSR!$A:$A,'Progress%'!$B7,EDSR!$N:$N,"&lt;="&amp;AN$6)*0.2+SUMIFS(EDSR!$J:$J,EDSR!$A:$A,'Progress%'!$B7,EDSR!$Q:$Q,"&lt;="&amp;AN$6)*0.1+SUMIFS(EDSR!$J:$J,EDSR!$A:$A,'Progress%'!$B7,EDSR!$T:$T,"&lt;="&amp;AN$6)*0.2)/$C7</f>
        <v>0.89200000000000013</v>
      </c>
      <c r="AO7" s="14">
        <f>IF($C7&gt;0,SUMIFS(EDSR!$J:$J,EDSR!$A:$A,'Progress%'!$B7,EDSR!$K:$K,"&lt;="&amp;AO$6)*0.5+SUMIFS(EDSR!$J:$J,EDSR!$A:$A,'Progress%'!$B7,EDSR!$N:$N,"&lt;="&amp;AO$6)*0.2+SUMIFS(EDSR!$J:$J,EDSR!$A:$A,'Progress%'!$B7,EDSR!$Q:$Q,"&lt;="&amp;AO$6)*0.1+SUMIFS(EDSR!$J:$J,EDSR!$A:$A,'Progress%'!$B7,EDSR!$T:$T,"&lt;="&amp;AO$6)*0.2)/$C7</f>
        <v>0.89300000000000024</v>
      </c>
      <c r="AP7" s="14">
        <f>IF($C7&gt;0,SUMIFS(EDSR!$J:$J,EDSR!$A:$A,'Progress%'!$B7,EDSR!$K:$K,"&lt;="&amp;AP$6)*0.5+SUMIFS(EDSR!$J:$J,EDSR!$A:$A,'Progress%'!$B7,EDSR!$N:$N,"&lt;="&amp;AP$6)*0.2+SUMIFS(EDSR!$J:$J,EDSR!$A:$A,'Progress%'!$B7,EDSR!$Q:$Q,"&lt;="&amp;AP$6)*0.1+SUMIFS(EDSR!$J:$J,EDSR!$A:$A,'Progress%'!$B7,EDSR!$T:$T,"&lt;="&amp;AP$6)*0.2)/$C7</f>
        <v>0.89600000000000024</v>
      </c>
      <c r="AQ7" s="14">
        <f>IF($C7&gt;0,SUMIFS(EDSR!$J:$J,EDSR!$A:$A,'Progress%'!$B7,EDSR!$K:$K,"&lt;="&amp;AQ$6)*0.5+SUMIFS(EDSR!$J:$J,EDSR!$A:$A,'Progress%'!$B7,EDSR!$N:$N,"&lt;="&amp;AQ$6)*0.2+SUMIFS(EDSR!$J:$J,EDSR!$A:$A,'Progress%'!$B7,EDSR!$Q:$Q,"&lt;="&amp;AQ$6)*0.1+SUMIFS(EDSR!$J:$J,EDSR!$A:$A,'Progress%'!$B7,EDSR!$T:$T,"&lt;="&amp;AQ$6)*0.2)/$C7</f>
        <v>0.89800000000000013</v>
      </c>
      <c r="AR7" s="14">
        <f>IF($C7&gt;0,SUMIFS(EDSR!$J:$J,EDSR!$A:$A,'Progress%'!$B7,EDSR!$K:$K,"&lt;="&amp;AR$6)*0.5+SUMIFS(EDSR!$J:$J,EDSR!$A:$A,'Progress%'!$B7,EDSR!$N:$N,"&lt;="&amp;AR$6)*0.2+SUMIFS(EDSR!$J:$J,EDSR!$A:$A,'Progress%'!$B7,EDSR!$Q:$Q,"&lt;="&amp;AR$6)*0.1+SUMIFS(EDSR!$J:$J,EDSR!$A:$A,'Progress%'!$B7,EDSR!$T:$T,"&lt;="&amp;AR$6)*0.2)/$C7</f>
        <v>0.90000000000000013</v>
      </c>
      <c r="AS7" s="14">
        <f>IF($C7&gt;0,SUMIFS(EDSR!$J:$J,EDSR!$A:$A,'Progress%'!$B7,EDSR!$K:$K,"&lt;="&amp;AS$6)*0.5+SUMIFS(EDSR!$J:$J,EDSR!$A:$A,'Progress%'!$B7,EDSR!$N:$N,"&lt;="&amp;AS$6)*0.2+SUMIFS(EDSR!$J:$J,EDSR!$A:$A,'Progress%'!$B7,EDSR!$Q:$Q,"&lt;="&amp;AS$6)*0.1+SUMIFS(EDSR!$J:$J,EDSR!$A:$A,'Progress%'!$B7,EDSR!$T:$T,"&lt;="&amp;AS$6)*0.2)/$C7</f>
        <v>0.90000000000000013</v>
      </c>
      <c r="AT7" s="14">
        <f>IF($C7&gt;0,SUMIFS(EDSR!$J:$J,EDSR!$A:$A,'Progress%'!$B7,EDSR!$K:$K,"&lt;="&amp;AT$6)*0.5+SUMIFS(EDSR!$J:$J,EDSR!$A:$A,'Progress%'!$B7,EDSR!$N:$N,"&lt;="&amp;AT$6)*0.2+SUMIFS(EDSR!$J:$J,EDSR!$A:$A,'Progress%'!$B7,EDSR!$Q:$Q,"&lt;="&amp;AT$6)*0.1+SUMIFS(EDSR!$J:$J,EDSR!$A:$A,'Progress%'!$B7,EDSR!$T:$T,"&lt;="&amp;AT$6)*0.2)/$C7</f>
        <v>0.90000000000000013</v>
      </c>
      <c r="AU7" s="14">
        <f>IF($C7&gt;0,SUMIFS(EDSR!$J:$J,EDSR!$A:$A,'Progress%'!$B7,EDSR!$K:$K,"&lt;="&amp;AU$6)*0.5+SUMIFS(EDSR!$J:$J,EDSR!$A:$A,'Progress%'!$B7,EDSR!$N:$N,"&lt;="&amp;AU$6)*0.2+SUMIFS(EDSR!$J:$J,EDSR!$A:$A,'Progress%'!$B7,EDSR!$Q:$Q,"&lt;="&amp;AU$6)*0.1+SUMIFS(EDSR!$J:$J,EDSR!$A:$A,'Progress%'!$B7,EDSR!$T:$T,"&lt;="&amp;AU$6)*0.2)/$C7</f>
        <v>0.90000000000000013</v>
      </c>
      <c r="AV7" s="14">
        <f>IF($C7&gt;0,SUMIFS(EDSR!$J:$J,EDSR!$A:$A,'Progress%'!$B7,EDSR!$K:$K,"&lt;="&amp;AV$6)*0.5+SUMIFS(EDSR!$J:$J,EDSR!$A:$A,'Progress%'!$B7,EDSR!$N:$N,"&lt;="&amp;AV$6)*0.2+SUMIFS(EDSR!$J:$J,EDSR!$A:$A,'Progress%'!$B7,EDSR!$Q:$Q,"&lt;="&amp;AV$6)*0.1+SUMIFS(EDSR!$J:$J,EDSR!$A:$A,'Progress%'!$B7,EDSR!$T:$T,"&lt;="&amp;AV$6)*0.2)/$C7</f>
        <v>0.90000000000000013</v>
      </c>
      <c r="AW7" s="14">
        <f>IF($C7&gt;0,SUMIFS(EDSR!$J:$J,EDSR!$A:$A,'Progress%'!$B7,EDSR!$K:$K,"&lt;="&amp;AW$6)*0.5+SUMIFS(EDSR!$J:$J,EDSR!$A:$A,'Progress%'!$B7,EDSR!$N:$N,"&lt;="&amp;AW$6)*0.2+SUMIFS(EDSR!$J:$J,EDSR!$A:$A,'Progress%'!$B7,EDSR!$Q:$Q,"&lt;="&amp;AW$6)*0.1+SUMIFS(EDSR!$J:$J,EDSR!$A:$A,'Progress%'!$B7,EDSR!$T:$T,"&lt;="&amp;AW$6)*0.2)/$C7</f>
        <v>0.90000000000000013</v>
      </c>
      <c r="AX7" s="14">
        <f>IF($C7&gt;0,SUMIFS(EDSR!$J:$J,EDSR!$A:$A,'Progress%'!$B7,EDSR!$K:$K,"&lt;="&amp;AX$6)*0.5+SUMIFS(EDSR!$J:$J,EDSR!$A:$A,'Progress%'!$B7,EDSR!$N:$N,"&lt;="&amp;AX$6)*0.2+SUMIFS(EDSR!$J:$J,EDSR!$A:$A,'Progress%'!$B7,EDSR!$Q:$Q,"&lt;="&amp;AX$6)*0.1+SUMIFS(EDSR!$J:$J,EDSR!$A:$A,'Progress%'!$B7,EDSR!$T:$T,"&lt;="&amp;AX$6)*0.2)/$C7</f>
        <v>0.90000000000000013</v>
      </c>
      <c r="AY7" s="14">
        <f>IF($C7&gt;0,SUMIFS(EDSR!$J:$J,EDSR!$A:$A,'Progress%'!$B7,EDSR!$K:$K,"&lt;="&amp;AY$6)*0.5+SUMIFS(EDSR!$J:$J,EDSR!$A:$A,'Progress%'!$B7,EDSR!$N:$N,"&lt;="&amp;AY$6)*0.2+SUMIFS(EDSR!$J:$J,EDSR!$A:$A,'Progress%'!$B7,EDSR!$Q:$Q,"&lt;="&amp;AY$6)*0.1+SUMIFS(EDSR!$J:$J,EDSR!$A:$A,'Progress%'!$B7,EDSR!$T:$T,"&lt;="&amp;AY$6)*0.2)/$C7</f>
        <v>0.90000000000000013</v>
      </c>
      <c r="AZ7" s="14">
        <f>IF($C7&gt;0,SUMIFS(EDSR!$J:$J,EDSR!$A:$A,'Progress%'!$B7,EDSR!$K:$K,"&lt;="&amp;AZ$6)*0.5+SUMIFS(EDSR!$J:$J,EDSR!$A:$A,'Progress%'!$B7,EDSR!$N:$N,"&lt;="&amp;AZ$6)*0.2+SUMIFS(EDSR!$J:$J,EDSR!$A:$A,'Progress%'!$B7,EDSR!$Q:$Q,"&lt;="&amp;AZ$6)*0.1+SUMIFS(EDSR!$J:$J,EDSR!$A:$A,'Progress%'!$B7,EDSR!$T:$T,"&lt;="&amp;AZ$6)*0.2)/$C7</f>
        <v>0.90000000000000013</v>
      </c>
      <c r="BA7" s="14">
        <f>IF($C7&gt;0,SUMIFS(EDSR!$J:$J,EDSR!$A:$A,'Progress%'!$B7,EDSR!$K:$K,"&lt;="&amp;BA$6)*0.5+SUMIFS(EDSR!$J:$J,EDSR!$A:$A,'Progress%'!$B7,EDSR!$N:$N,"&lt;="&amp;BA$6)*0.2+SUMIFS(EDSR!$J:$J,EDSR!$A:$A,'Progress%'!$B7,EDSR!$Q:$Q,"&lt;="&amp;BA$6)*0.1+SUMIFS(EDSR!$J:$J,EDSR!$A:$A,'Progress%'!$B7,EDSR!$T:$T,"&lt;="&amp;BA$6)*0.2)/$C7</f>
        <v>0.90000000000000013</v>
      </c>
      <c r="BB7" s="14">
        <f>IF($C7&gt;0,SUMIFS(EDSR!$J:$J,EDSR!$A:$A,'Progress%'!$B7,EDSR!$K:$K,"&lt;="&amp;BB$6)*0.5+SUMIFS(EDSR!$J:$J,EDSR!$A:$A,'Progress%'!$B7,EDSR!$N:$N,"&lt;="&amp;BB$6)*0.2+SUMIFS(EDSR!$J:$J,EDSR!$A:$A,'Progress%'!$B7,EDSR!$Q:$Q,"&lt;="&amp;BB$6)*0.1+SUMIFS(EDSR!$J:$J,EDSR!$A:$A,'Progress%'!$B7,EDSR!$T:$T,"&lt;="&amp;BB$6)*0.2)/$C7</f>
        <v>0.90000000000000013</v>
      </c>
      <c r="BC7" s="14">
        <f>IF($C7&gt;0,SUMIFS(EDSR!$J:$J,EDSR!$A:$A,'Progress%'!$B7,EDSR!$K:$K,"&lt;="&amp;BC$6)*0.5+SUMIFS(EDSR!$J:$J,EDSR!$A:$A,'Progress%'!$B7,EDSR!$N:$N,"&lt;="&amp;BC$6)*0.2+SUMIFS(EDSR!$J:$J,EDSR!$A:$A,'Progress%'!$B7,EDSR!$Q:$Q,"&lt;="&amp;BC$6)*0.1+SUMIFS(EDSR!$J:$J,EDSR!$A:$A,'Progress%'!$B7,EDSR!$T:$T,"&lt;="&amp;BC$6)*0.2)/$C7</f>
        <v>0.90000000000000013</v>
      </c>
      <c r="BD7" s="14">
        <f>IF($C7&gt;0,SUMIFS(EDSR!$J:$J,EDSR!$A:$A,'Progress%'!$B7,EDSR!$K:$K,"&lt;="&amp;BD$6)*0.5+SUMIFS(EDSR!$J:$J,EDSR!$A:$A,'Progress%'!$B7,EDSR!$N:$N,"&lt;="&amp;BD$6)*0.2+SUMIFS(EDSR!$J:$J,EDSR!$A:$A,'Progress%'!$B7,EDSR!$Q:$Q,"&lt;="&amp;BD$6)*0.1+SUMIFS(EDSR!$J:$J,EDSR!$A:$A,'Progress%'!$B7,EDSR!$T:$T,"&lt;="&amp;BD$6)*0.2)/$C7</f>
        <v>0.90000000000000013</v>
      </c>
      <c r="BE7" s="14">
        <f>IF($C7&gt;0,SUMIFS(EDSR!$J:$J,EDSR!$A:$A,'Progress%'!$B7,EDSR!$K:$K,"&lt;="&amp;BE$6)*0.5+SUMIFS(EDSR!$J:$J,EDSR!$A:$A,'Progress%'!$B7,EDSR!$N:$N,"&lt;="&amp;BE$6)*0.2+SUMIFS(EDSR!$J:$J,EDSR!$A:$A,'Progress%'!$B7,EDSR!$Q:$Q,"&lt;="&amp;BE$6)*0.1+SUMIFS(EDSR!$J:$J,EDSR!$A:$A,'Progress%'!$B7,EDSR!$T:$T,"&lt;="&amp;BE$6)*0.2)/$C7</f>
        <v>0.90000000000000013</v>
      </c>
      <c r="BF7" s="14">
        <f>IF($C7&gt;0,SUMIFS(EDSR!$J:$J,EDSR!$A:$A,'Progress%'!$B7,EDSR!$K:$K,"&lt;="&amp;BF$6)*0.5+SUMIFS(EDSR!$J:$J,EDSR!$A:$A,'Progress%'!$B7,EDSR!$N:$N,"&lt;="&amp;BF$6)*0.2+SUMIFS(EDSR!$J:$J,EDSR!$A:$A,'Progress%'!$B7,EDSR!$Q:$Q,"&lt;="&amp;BF$6)*0.1+SUMIFS(EDSR!$J:$J,EDSR!$A:$A,'Progress%'!$B7,EDSR!$T:$T,"&lt;="&amp;BF$6)*0.2)/$C7</f>
        <v>0.90000000000000013</v>
      </c>
      <c r="BG7" s="14">
        <f>IF($C7&gt;0,SUMIFS(EDSR!$J:$J,EDSR!$A:$A,'Progress%'!$B7,EDSR!$K:$K,"&lt;="&amp;BG$6)*0.5+SUMIFS(EDSR!$J:$J,EDSR!$A:$A,'Progress%'!$B7,EDSR!$N:$N,"&lt;="&amp;BG$6)*0.2+SUMIFS(EDSR!$J:$J,EDSR!$A:$A,'Progress%'!$B7,EDSR!$Q:$Q,"&lt;="&amp;BG$6)*0.1+SUMIFS(EDSR!$J:$J,EDSR!$A:$A,'Progress%'!$B7,EDSR!$T:$T,"&lt;="&amp;BG$6)*0.2)/$C7</f>
        <v>0.90000000000000013</v>
      </c>
      <c r="BH7" s="14">
        <f>IF($C7&gt;0,SUMIFS(EDSR!$J:$J,EDSR!$A:$A,'Progress%'!$B7,EDSR!$K:$K,"&lt;="&amp;BH$6)*0.5+SUMIFS(EDSR!$J:$J,EDSR!$A:$A,'Progress%'!$B7,EDSR!$N:$N,"&lt;="&amp;BH$6)*0.2+SUMIFS(EDSR!$J:$J,EDSR!$A:$A,'Progress%'!$B7,EDSR!$Q:$Q,"&lt;="&amp;BH$6)*0.1+SUMIFS(EDSR!$J:$J,EDSR!$A:$A,'Progress%'!$B7,EDSR!$T:$T,"&lt;="&amp;BH$6)*0.2)/$C7</f>
        <v>0.90000000000000013</v>
      </c>
      <c r="BI7" s="14">
        <f>IF($C7&gt;0,SUMIFS(EDSR!$J:$J,EDSR!$A:$A,'Progress%'!$B7,EDSR!$K:$K,"&lt;="&amp;BI$6)*0.5+SUMIFS(EDSR!$J:$J,EDSR!$A:$A,'Progress%'!$B7,EDSR!$N:$N,"&lt;="&amp;BI$6)*0.2+SUMIFS(EDSR!$J:$J,EDSR!$A:$A,'Progress%'!$B7,EDSR!$Q:$Q,"&lt;="&amp;BI$6)*0.1+SUMIFS(EDSR!$J:$J,EDSR!$A:$A,'Progress%'!$B7,EDSR!$T:$T,"&lt;="&amp;BI$6)*0.2)/$C7</f>
        <v>0.90000000000000013</v>
      </c>
      <c r="BJ7" s="14">
        <f>IF($C7&gt;0,SUMIFS(EDSR!$J:$J,EDSR!$A:$A,'Progress%'!$B7,EDSR!$K:$K,"&lt;="&amp;BJ$6)*0.5+SUMIFS(EDSR!$J:$J,EDSR!$A:$A,'Progress%'!$B7,EDSR!$N:$N,"&lt;="&amp;BJ$6)*0.2+SUMIFS(EDSR!$J:$J,EDSR!$A:$A,'Progress%'!$B7,EDSR!$Q:$Q,"&lt;="&amp;BJ$6)*0.1+SUMIFS(EDSR!$J:$J,EDSR!$A:$A,'Progress%'!$B7,EDSR!$T:$T,"&lt;="&amp;BJ$6)*0.2)/$C7</f>
        <v>0.90000000000000013</v>
      </c>
      <c r="BK7" s="14">
        <f>IF($C7&gt;0,SUMIFS(EDSR!$J:$J,EDSR!$A:$A,'Progress%'!$B7,EDSR!$K:$K,"&lt;="&amp;BK$6)*0.5+SUMIFS(EDSR!$J:$J,EDSR!$A:$A,'Progress%'!$B7,EDSR!$N:$N,"&lt;="&amp;BK$6)*0.2+SUMIFS(EDSR!$J:$J,EDSR!$A:$A,'Progress%'!$B7,EDSR!$Q:$Q,"&lt;="&amp;BK$6)*0.1+SUMIFS(EDSR!$J:$J,EDSR!$A:$A,'Progress%'!$B7,EDSR!$T:$T,"&lt;="&amp;BK$6)*0.2)/$C7</f>
        <v>0.90000000000000013</v>
      </c>
      <c r="BL7" s="14">
        <f>IF($C7&gt;0,SUMIFS(EDSR!$J:$J,EDSR!$A:$A,'Progress%'!$B7,EDSR!$K:$K,"&lt;="&amp;BL$6)*0.5+SUMIFS(EDSR!$J:$J,EDSR!$A:$A,'Progress%'!$B7,EDSR!$N:$N,"&lt;="&amp;BL$6)*0.2+SUMIFS(EDSR!$J:$J,EDSR!$A:$A,'Progress%'!$B7,EDSR!$Q:$Q,"&lt;="&amp;BL$6)*0.1+SUMIFS(EDSR!$J:$J,EDSR!$A:$A,'Progress%'!$B7,EDSR!$T:$T,"&lt;="&amp;BL$6)*0.2)/$C7</f>
        <v>0.90000000000000013</v>
      </c>
      <c r="BM7" s="14">
        <f>IF($C7&gt;0,SUMIFS(EDSR!$J:$J,EDSR!$A:$A,'Progress%'!$B7,EDSR!$K:$K,"&lt;="&amp;BM$6)*0.5+SUMIFS(EDSR!$J:$J,EDSR!$A:$A,'Progress%'!$B7,EDSR!$N:$N,"&lt;="&amp;BM$6)*0.2+SUMIFS(EDSR!$J:$J,EDSR!$A:$A,'Progress%'!$B7,EDSR!$Q:$Q,"&lt;="&amp;BM$6)*0.1+SUMIFS(EDSR!$J:$J,EDSR!$A:$A,'Progress%'!$B7,EDSR!$T:$T,"&lt;="&amp;BM$6)*0.2)/$C7</f>
        <v>0.90000000000000013</v>
      </c>
      <c r="BN7" s="14">
        <f>IF($C7&gt;0,SUMIFS(EDSR!$J:$J,EDSR!$A:$A,'Progress%'!$B7,EDSR!$K:$K,"&lt;="&amp;BN$6)*0.5+SUMIFS(EDSR!$J:$J,EDSR!$A:$A,'Progress%'!$B7,EDSR!$N:$N,"&lt;="&amp;BN$6)*0.2+SUMIFS(EDSR!$J:$J,EDSR!$A:$A,'Progress%'!$B7,EDSR!$Q:$Q,"&lt;="&amp;BN$6)*0.1+SUMIFS(EDSR!$J:$J,EDSR!$A:$A,'Progress%'!$B7,EDSR!$T:$T,"&lt;="&amp;BN$6)*0.2)/$C7</f>
        <v>0.90000000000000013</v>
      </c>
      <c r="BO7" s="14">
        <f>IF($C7&gt;0,SUMIFS(EDSR!$J:$J,EDSR!$A:$A,'Progress%'!$B7,EDSR!$K:$K,"&lt;="&amp;BO$6)*0.5+SUMIFS(EDSR!$J:$J,EDSR!$A:$A,'Progress%'!$B7,EDSR!$N:$N,"&lt;="&amp;BO$6)*0.2+SUMIFS(EDSR!$J:$J,EDSR!$A:$A,'Progress%'!$B7,EDSR!$Q:$Q,"&lt;="&amp;BO$6)*0.1+SUMIFS(EDSR!$J:$J,EDSR!$A:$A,'Progress%'!$B7,EDSR!$T:$T,"&lt;="&amp;BO$6)*0.2)/$C7</f>
        <v>0.90000000000000013</v>
      </c>
      <c r="BP7" s="14">
        <f>IF($C7&gt;0,SUMIFS(EDSR!$J:$J,EDSR!$A:$A,'Progress%'!$B7,EDSR!$K:$K,"&lt;="&amp;BP$6)*0.5+SUMIFS(EDSR!$J:$J,EDSR!$A:$A,'Progress%'!$B7,EDSR!$N:$N,"&lt;="&amp;BP$6)*0.2+SUMIFS(EDSR!$J:$J,EDSR!$A:$A,'Progress%'!$B7,EDSR!$Q:$Q,"&lt;="&amp;BP$6)*0.1+SUMIFS(EDSR!$J:$J,EDSR!$A:$A,'Progress%'!$B7,EDSR!$T:$T,"&lt;="&amp;BP$6)*0.2)/$C7</f>
        <v>0.90000000000000013</v>
      </c>
      <c r="BQ7" s="14">
        <f>IF($C7&gt;0,SUMIFS(EDSR!$J:$J,EDSR!$A:$A,'Progress%'!$B7,EDSR!$K:$K,"&lt;="&amp;BQ$6)*0.5+SUMIFS(EDSR!$J:$J,EDSR!$A:$A,'Progress%'!$B7,EDSR!$N:$N,"&lt;="&amp;BQ$6)*0.2+SUMIFS(EDSR!$J:$J,EDSR!$A:$A,'Progress%'!$B7,EDSR!$Q:$Q,"&lt;="&amp;BQ$6)*0.1+SUMIFS(EDSR!$J:$J,EDSR!$A:$A,'Progress%'!$B7,EDSR!$T:$T,"&lt;="&amp;BQ$6)*0.2)/$C7</f>
        <v>0.90000000000000013</v>
      </c>
      <c r="BR7" s="14">
        <f>IF($C7&gt;0,SUMIFS(EDSR!$J:$J,EDSR!$A:$A,'Progress%'!$B7,EDSR!$K:$K,"&lt;="&amp;BR$6)*0.5+SUMIFS(EDSR!$J:$J,EDSR!$A:$A,'Progress%'!$B7,EDSR!$N:$N,"&lt;="&amp;BR$6)*0.2+SUMIFS(EDSR!$J:$J,EDSR!$A:$A,'Progress%'!$B7,EDSR!$Q:$Q,"&lt;="&amp;BR$6)*0.1+SUMIFS(EDSR!$J:$J,EDSR!$A:$A,'Progress%'!$B7,EDSR!$T:$T,"&lt;="&amp;BR$6)*0.2)/$C7</f>
        <v>0.90000000000000013</v>
      </c>
      <c r="BS7" s="14">
        <f>IF($C7&gt;0,SUMIFS(EDSR!$J:$J,EDSR!$A:$A,'Progress%'!$B7,EDSR!$K:$K,"&lt;="&amp;BS$6)*0.5+SUMIFS(EDSR!$J:$J,EDSR!$A:$A,'Progress%'!$B7,EDSR!$N:$N,"&lt;="&amp;BS$6)*0.2+SUMIFS(EDSR!$J:$J,EDSR!$A:$A,'Progress%'!$B7,EDSR!$Q:$Q,"&lt;="&amp;BS$6)*0.1+SUMIFS(EDSR!$J:$J,EDSR!$A:$A,'Progress%'!$B7,EDSR!$T:$T,"&lt;="&amp;BS$6)*0.2)/$C7</f>
        <v>0.90000000000000013</v>
      </c>
      <c r="BT7" s="14">
        <f>IF($C7&gt;0,SUMIFS(EDSR!$J:$J,EDSR!$A:$A,'Progress%'!$B7,EDSR!$K:$K,"&lt;="&amp;BT$6)*0.5+SUMIFS(EDSR!$J:$J,EDSR!$A:$A,'Progress%'!$B7,EDSR!$N:$N,"&lt;="&amp;BT$6)*0.2+SUMIFS(EDSR!$J:$J,EDSR!$A:$A,'Progress%'!$B7,EDSR!$Q:$Q,"&lt;="&amp;BT$6)*0.1+SUMIFS(EDSR!$J:$J,EDSR!$A:$A,'Progress%'!$B7,EDSR!$T:$T,"&lt;="&amp;BT$6)*0.2)/$C7</f>
        <v>0.90000000000000013</v>
      </c>
      <c r="BU7" s="14">
        <f>IF($C7&gt;0,SUMIFS(EDSR!$J:$J,EDSR!$A:$A,'Progress%'!$B7,EDSR!$K:$K,"&lt;="&amp;BU$6)*0.5+SUMIFS(EDSR!$J:$J,EDSR!$A:$A,'Progress%'!$B7,EDSR!$N:$N,"&lt;="&amp;BU$6)*0.2+SUMIFS(EDSR!$J:$J,EDSR!$A:$A,'Progress%'!$B7,EDSR!$Q:$Q,"&lt;="&amp;BU$6)*0.1+SUMIFS(EDSR!$J:$J,EDSR!$A:$A,'Progress%'!$B7,EDSR!$T:$T,"&lt;="&amp;BU$6)*0.2)/$C7</f>
        <v>0.90000000000000013</v>
      </c>
      <c r="BV7" s="14">
        <f>IF($C7&gt;0,SUMIFS(EDSR!$J:$J,EDSR!$A:$A,'Progress%'!$B7,EDSR!$K:$K,"&lt;="&amp;BV$6)*0.5+SUMIFS(EDSR!$J:$J,EDSR!$A:$A,'Progress%'!$B7,EDSR!$N:$N,"&lt;="&amp;BV$6)*0.2+SUMIFS(EDSR!$J:$J,EDSR!$A:$A,'Progress%'!$B7,EDSR!$Q:$Q,"&lt;="&amp;BV$6)*0.1+SUMIFS(EDSR!$J:$J,EDSR!$A:$A,'Progress%'!$B7,EDSR!$T:$T,"&lt;="&amp;BV$6)*0.2)/$C7</f>
        <v>0.90000000000000013</v>
      </c>
      <c r="BW7" s="14">
        <f>IF($C7&gt;0,SUMIFS(EDSR!$J:$J,EDSR!$A:$A,'Progress%'!$B7,EDSR!$K:$K,"&lt;="&amp;BW$6)*0.5+SUMIFS(EDSR!$J:$J,EDSR!$A:$A,'Progress%'!$B7,EDSR!$N:$N,"&lt;="&amp;BW$6)*0.2+SUMIFS(EDSR!$J:$J,EDSR!$A:$A,'Progress%'!$B7,EDSR!$Q:$Q,"&lt;="&amp;BW$6)*0.1+SUMIFS(EDSR!$J:$J,EDSR!$A:$A,'Progress%'!$B7,EDSR!$T:$T,"&lt;="&amp;BW$6)*0.2)/$C7</f>
        <v>0.90000000000000013</v>
      </c>
      <c r="BX7" s="14">
        <f>IF($C7&gt;0,SUMIFS(EDSR!$J:$J,EDSR!$A:$A,'Progress%'!$B7,EDSR!$K:$K,"&lt;="&amp;BX$6)*0.5+SUMIFS(EDSR!$J:$J,EDSR!$A:$A,'Progress%'!$B7,EDSR!$N:$N,"&lt;="&amp;BX$6)*0.2+SUMIFS(EDSR!$J:$J,EDSR!$A:$A,'Progress%'!$B7,EDSR!$Q:$Q,"&lt;="&amp;BX$6)*0.1+SUMIFS(EDSR!$J:$J,EDSR!$A:$A,'Progress%'!$B7,EDSR!$T:$T,"&lt;="&amp;BX$6)*0.2)/$C7</f>
        <v>0.90000000000000013</v>
      </c>
      <c r="BY7" s="14">
        <f>IF($C7&gt;0,SUMIFS(EDSR!$J:$J,EDSR!$A:$A,'Progress%'!$B7,EDSR!$K:$K,"&lt;="&amp;BY$6)*0.5+SUMIFS(EDSR!$J:$J,EDSR!$A:$A,'Progress%'!$B7,EDSR!$N:$N,"&lt;="&amp;BY$6)*0.2+SUMIFS(EDSR!$J:$J,EDSR!$A:$A,'Progress%'!$B7,EDSR!$Q:$Q,"&lt;="&amp;BY$6)*0.1+SUMIFS(EDSR!$J:$J,EDSR!$A:$A,'Progress%'!$B7,EDSR!$T:$T,"&lt;="&amp;BY$6)*0.2)/$C7</f>
        <v>0.90000000000000013</v>
      </c>
      <c r="BZ7" s="14">
        <f>IF($C7&gt;0,SUMIFS(EDSR!$J:$J,EDSR!$A:$A,'Progress%'!$B7,EDSR!$K:$K,"&lt;="&amp;BZ$6)*0.5+SUMIFS(EDSR!$J:$J,EDSR!$A:$A,'Progress%'!$B7,EDSR!$N:$N,"&lt;="&amp;BZ$6)*0.2+SUMIFS(EDSR!$J:$J,EDSR!$A:$A,'Progress%'!$B7,EDSR!$Q:$Q,"&lt;="&amp;BZ$6)*0.1+SUMIFS(EDSR!$J:$J,EDSR!$A:$A,'Progress%'!$B7,EDSR!$T:$T,"&lt;="&amp;BZ$6)*0.2)/$C7</f>
        <v>0.90000000000000013</v>
      </c>
      <c r="CA7" s="14">
        <f>IF($C7&gt;0,SUMIFS(EDSR!$J:$J,EDSR!$A:$A,'Progress%'!$B7,EDSR!$K:$K,"&lt;="&amp;CA$6)*0.5+SUMIFS(EDSR!$J:$J,EDSR!$A:$A,'Progress%'!$B7,EDSR!$N:$N,"&lt;="&amp;CA$6)*0.2+SUMIFS(EDSR!$J:$J,EDSR!$A:$A,'Progress%'!$B7,EDSR!$Q:$Q,"&lt;="&amp;CA$6)*0.1+SUMIFS(EDSR!$J:$J,EDSR!$A:$A,'Progress%'!$B7,EDSR!$T:$T,"&lt;="&amp;CA$6)*0.2)/$C7</f>
        <v>0.90000000000000013</v>
      </c>
      <c r="CB7" s="14">
        <f>IF($C7&gt;0,SUMIFS(EDSR!$J:$J,EDSR!$A:$A,'Progress%'!$B7,EDSR!$K:$K,"&lt;="&amp;CB$6)*0.5+SUMIFS(EDSR!$J:$J,EDSR!$A:$A,'Progress%'!$B7,EDSR!$N:$N,"&lt;="&amp;CB$6)*0.2+SUMIFS(EDSR!$J:$J,EDSR!$A:$A,'Progress%'!$B7,EDSR!$Q:$Q,"&lt;="&amp;CB$6)*0.1+SUMIFS(EDSR!$J:$J,EDSR!$A:$A,'Progress%'!$B7,EDSR!$T:$T,"&lt;="&amp;CB$6)*0.2)/$C7</f>
        <v>0.90000000000000013</v>
      </c>
      <c r="CC7" s="14">
        <f>IF($C7&gt;0,SUMIFS(EDSR!$J:$J,EDSR!$A:$A,'Progress%'!$B7,EDSR!$K:$K,"&lt;="&amp;CC$6)*0.5+SUMIFS(EDSR!$J:$J,EDSR!$A:$A,'Progress%'!$B7,EDSR!$N:$N,"&lt;="&amp;CC$6)*0.2+SUMIFS(EDSR!$J:$J,EDSR!$A:$A,'Progress%'!$B7,EDSR!$Q:$Q,"&lt;="&amp;CC$6)*0.1+SUMIFS(EDSR!$J:$J,EDSR!$A:$A,'Progress%'!$B7,EDSR!$T:$T,"&lt;="&amp;CC$6)*0.2)/$C7</f>
        <v>0.90000000000000013</v>
      </c>
      <c r="CD7" s="14">
        <f>IF($C7&gt;0,SUMIFS(EDSR!$J:$J,EDSR!$A:$A,'Progress%'!$B7,EDSR!$K:$K,"&lt;="&amp;CD$6)*0.5+SUMIFS(EDSR!$J:$J,EDSR!$A:$A,'Progress%'!$B7,EDSR!$N:$N,"&lt;="&amp;CD$6)*0.2+SUMIFS(EDSR!$J:$J,EDSR!$A:$A,'Progress%'!$B7,EDSR!$Q:$Q,"&lt;="&amp;CD$6)*0.1+SUMIFS(EDSR!$J:$J,EDSR!$A:$A,'Progress%'!$B7,EDSR!$T:$T,"&lt;="&amp;CD$6)*0.2)/$C7</f>
        <v>0.90000000000000013</v>
      </c>
      <c r="CE7" s="14">
        <f>IF($C7&gt;0,SUMIFS(EDSR!$J:$J,EDSR!$A:$A,'Progress%'!$B7,EDSR!$K:$K,"&lt;="&amp;CE$6)*0.5+SUMIFS(EDSR!$J:$J,EDSR!$A:$A,'Progress%'!$B7,EDSR!$N:$N,"&lt;="&amp;CE$6)*0.2+SUMIFS(EDSR!$J:$J,EDSR!$A:$A,'Progress%'!$B7,EDSR!$Q:$Q,"&lt;="&amp;CE$6)*0.1+SUMIFS(EDSR!$J:$J,EDSR!$A:$A,'Progress%'!$B7,EDSR!$T:$T,"&lt;="&amp;CE$6)*0.2)/$C7</f>
        <v>0.90000000000000013</v>
      </c>
      <c r="CF7" s="14">
        <f>IF($C7&gt;0,SUMIFS(EDSR!$J:$J,EDSR!$A:$A,'Progress%'!$B7,EDSR!$K:$K,"&lt;="&amp;CF$6)*0.5+SUMIFS(EDSR!$J:$J,EDSR!$A:$A,'Progress%'!$B7,EDSR!$N:$N,"&lt;="&amp;CF$6)*0.2+SUMIFS(EDSR!$J:$J,EDSR!$A:$A,'Progress%'!$B7,EDSR!$Q:$Q,"&lt;="&amp;CF$6)*0.1+SUMIFS(EDSR!$J:$J,EDSR!$A:$A,'Progress%'!$B7,EDSR!$T:$T,"&lt;="&amp;CF$6)*0.2)/$C7</f>
        <v>0.90000000000000013</v>
      </c>
      <c r="CG7" s="14">
        <f>IF($C7&gt;0,SUMIFS(EDSR!$J:$J,EDSR!$A:$A,'Progress%'!$B7,EDSR!$K:$K,"&lt;="&amp;CG$6)*0.5+SUMIFS(EDSR!$J:$J,EDSR!$A:$A,'Progress%'!$B7,EDSR!$N:$N,"&lt;="&amp;CG$6)*0.2+SUMIFS(EDSR!$J:$J,EDSR!$A:$A,'Progress%'!$B7,EDSR!$Q:$Q,"&lt;="&amp;CG$6)*0.1+SUMIFS(EDSR!$J:$J,EDSR!$A:$A,'Progress%'!$B7,EDSR!$T:$T,"&lt;="&amp;CG$6)*0.2)/$C7</f>
        <v>0.90000000000000013</v>
      </c>
      <c r="CH7" s="14">
        <f>IF($C7&gt;0,SUMIFS(EDSR!$J:$J,EDSR!$A:$A,'Progress%'!$B7,EDSR!$K:$K,"&lt;="&amp;CH$6)*0.5+SUMIFS(EDSR!$J:$J,EDSR!$A:$A,'Progress%'!$B7,EDSR!$N:$N,"&lt;="&amp;CH$6)*0.2+SUMIFS(EDSR!$J:$J,EDSR!$A:$A,'Progress%'!$B7,EDSR!$Q:$Q,"&lt;="&amp;CH$6)*0.1+SUMIFS(EDSR!$J:$J,EDSR!$A:$A,'Progress%'!$B7,EDSR!$T:$T,"&lt;="&amp;CH$6)*0.2)/$C7</f>
        <v>0.90000000000000013</v>
      </c>
      <c r="CI7" s="14">
        <f>IF($C7&gt;0,SUMIFS(EDSR!$J:$J,EDSR!$A:$A,'Progress%'!$B7,EDSR!$K:$K,"&lt;="&amp;CI$6)*0.5+SUMIFS(EDSR!$J:$J,EDSR!$A:$A,'Progress%'!$B7,EDSR!$N:$N,"&lt;="&amp;CI$6)*0.2+SUMIFS(EDSR!$J:$J,EDSR!$A:$A,'Progress%'!$B7,EDSR!$Q:$Q,"&lt;="&amp;CI$6)*0.1+SUMIFS(EDSR!$J:$J,EDSR!$A:$A,'Progress%'!$B7,EDSR!$T:$T,"&lt;="&amp;CI$6)*0.2)/$C7</f>
        <v>0.90000000000000013</v>
      </c>
      <c r="CJ7" s="14">
        <f>IF($C7&gt;0,SUMIFS(EDSR!$J:$J,EDSR!$A:$A,'Progress%'!$B7,EDSR!$K:$K,"&lt;="&amp;CJ$6)*0.5+SUMIFS(EDSR!$J:$J,EDSR!$A:$A,'Progress%'!$B7,EDSR!$N:$N,"&lt;="&amp;CJ$6)*0.2+SUMIFS(EDSR!$J:$J,EDSR!$A:$A,'Progress%'!$B7,EDSR!$Q:$Q,"&lt;="&amp;CJ$6)*0.1+SUMIFS(EDSR!$J:$J,EDSR!$A:$A,'Progress%'!$B7,EDSR!$T:$T,"&lt;="&amp;CJ$6)*0.2)/$C7</f>
        <v>0.90000000000000013</v>
      </c>
      <c r="CK7" s="14">
        <f>IF($C7&gt;0,SUMIFS(EDSR!$J:$J,EDSR!$A:$A,'Progress%'!$B7,EDSR!$K:$K,"&lt;="&amp;CK$6)*0.5+SUMIFS(EDSR!$J:$J,EDSR!$A:$A,'Progress%'!$B7,EDSR!$N:$N,"&lt;="&amp;CK$6)*0.2+SUMIFS(EDSR!$J:$J,EDSR!$A:$A,'Progress%'!$B7,EDSR!$Q:$Q,"&lt;="&amp;CK$6)*0.1+SUMIFS(EDSR!$J:$J,EDSR!$A:$A,'Progress%'!$B7,EDSR!$T:$T,"&lt;="&amp;CK$6)*0.2)/$C7</f>
        <v>0.90000000000000013</v>
      </c>
      <c r="CL7" s="14">
        <f>IF($C7&gt;0,SUMIFS(EDSR!$J:$J,EDSR!$A:$A,'Progress%'!$B7,EDSR!$K:$K,"&lt;="&amp;CL$6)*0.5+SUMIFS(EDSR!$J:$J,EDSR!$A:$A,'Progress%'!$B7,EDSR!$N:$N,"&lt;="&amp;CL$6)*0.2+SUMIFS(EDSR!$J:$J,EDSR!$A:$A,'Progress%'!$B7,EDSR!$Q:$Q,"&lt;="&amp;CL$6)*0.1+SUMIFS(EDSR!$J:$J,EDSR!$A:$A,'Progress%'!$B7,EDSR!$T:$T,"&lt;="&amp;CL$6)*0.2)/$C7</f>
        <v>0.90000000000000013</v>
      </c>
      <c r="CM7" s="14">
        <f>IF($C7&gt;0,SUMIFS(EDSR!$J:$J,EDSR!$A:$A,'Progress%'!$B7,EDSR!$K:$K,"&lt;="&amp;CM$6)*0.5+SUMIFS(EDSR!$J:$J,EDSR!$A:$A,'Progress%'!$B7,EDSR!$N:$N,"&lt;="&amp;CM$6)*0.2+SUMIFS(EDSR!$J:$J,EDSR!$A:$A,'Progress%'!$B7,EDSR!$Q:$Q,"&lt;="&amp;CM$6)*0.1+SUMIFS(EDSR!$J:$J,EDSR!$A:$A,'Progress%'!$B7,EDSR!$T:$T,"&lt;="&amp;CM$6)*0.2)/$C7</f>
        <v>0.90000000000000013</v>
      </c>
      <c r="CN7" s="14">
        <f>IF($C7&gt;0,SUMIFS(EDSR!$J:$J,EDSR!$A:$A,'Progress%'!$B7,EDSR!$K:$K,"&lt;="&amp;CN$6)*0.5+SUMIFS(EDSR!$J:$J,EDSR!$A:$A,'Progress%'!$B7,EDSR!$N:$N,"&lt;="&amp;CN$6)*0.2+SUMIFS(EDSR!$J:$J,EDSR!$A:$A,'Progress%'!$B7,EDSR!$Q:$Q,"&lt;="&amp;CN$6)*0.1+SUMIFS(EDSR!$J:$J,EDSR!$A:$A,'Progress%'!$B7,EDSR!$T:$T,"&lt;="&amp;CN$6)*0.2)/$C7</f>
        <v>0.90000000000000013</v>
      </c>
      <c r="CO7" s="14">
        <f>IF($C7&gt;0,SUMIFS(EDSR!$J:$J,EDSR!$A:$A,'Progress%'!$B7,EDSR!$K:$K,"&lt;="&amp;CO$6)*0.5+SUMIFS(EDSR!$J:$J,EDSR!$A:$A,'Progress%'!$B7,EDSR!$N:$N,"&lt;="&amp;CO$6)*0.2+SUMIFS(EDSR!$J:$J,EDSR!$A:$A,'Progress%'!$B7,EDSR!$Q:$Q,"&lt;="&amp;CO$6)*0.1+SUMIFS(EDSR!$J:$J,EDSR!$A:$A,'Progress%'!$B7,EDSR!$T:$T,"&lt;="&amp;CO$6)*0.2)/$C7</f>
        <v>0.90000000000000013</v>
      </c>
      <c r="CP7" s="14">
        <f>IF($C7&gt;0,SUMIFS(EDSR!$J:$J,EDSR!$A:$A,'Progress%'!$B7,EDSR!$K:$K,"&lt;="&amp;CP$6)*0.5+SUMIFS(EDSR!$J:$J,EDSR!$A:$A,'Progress%'!$B7,EDSR!$N:$N,"&lt;="&amp;CP$6)*0.2+SUMIFS(EDSR!$J:$J,EDSR!$A:$A,'Progress%'!$B7,EDSR!$Q:$Q,"&lt;="&amp;CP$6)*0.1+SUMIFS(EDSR!$J:$J,EDSR!$A:$A,'Progress%'!$B7,EDSR!$T:$T,"&lt;="&amp;CP$6)*0.2)/$C7</f>
        <v>0.90000000000000013</v>
      </c>
      <c r="CQ7" s="14">
        <f>IF($C7&gt;0,SUMIFS(EDSR!$J:$J,EDSR!$A:$A,'Progress%'!$B7,EDSR!$K:$K,"&lt;="&amp;CQ$6)*0.5+SUMIFS(EDSR!$J:$J,EDSR!$A:$A,'Progress%'!$B7,EDSR!$N:$N,"&lt;="&amp;CQ$6)*0.2+SUMIFS(EDSR!$J:$J,EDSR!$A:$A,'Progress%'!$B7,EDSR!$Q:$Q,"&lt;="&amp;CQ$6)*0.1+SUMIFS(EDSR!$J:$J,EDSR!$A:$A,'Progress%'!$B7,EDSR!$T:$T,"&lt;="&amp;CQ$6)*0.2)/$C7</f>
        <v>0.90000000000000013</v>
      </c>
      <c r="CR7" s="14">
        <f>IF($C7&gt;0,SUMIFS(EDSR!$J:$J,EDSR!$A:$A,'Progress%'!$B7,EDSR!$K:$K,"&lt;="&amp;CR$6)*0.5+SUMIFS(EDSR!$J:$J,EDSR!$A:$A,'Progress%'!$B7,EDSR!$N:$N,"&lt;="&amp;CR$6)*0.2+SUMIFS(EDSR!$J:$J,EDSR!$A:$A,'Progress%'!$B7,EDSR!$Q:$Q,"&lt;="&amp;CR$6)*0.1+SUMIFS(EDSR!$J:$J,EDSR!$A:$A,'Progress%'!$B7,EDSR!$T:$T,"&lt;="&amp;CR$6)*0.2)/$C7</f>
        <v>0.90000000000000013</v>
      </c>
      <c r="CS7" s="14">
        <f>IF($C7&gt;0,SUMIFS(EDSR!$J:$J,EDSR!$A:$A,'Progress%'!$B7,EDSR!$K:$K,"&lt;="&amp;CS$6)*0.5+SUMIFS(EDSR!$J:$J,EDSR!$A:$A,'Progress%'!$B7,EDSR!$N:$N,"&lt;="&amp;CS$6)*0.2+SUMIFS(EDSR!$J:$J,EDSR!$A:$A,'Progress%'!$B7,EDSR!$Q:$Q,"&lt;="&amp;CS$6)*0.1+SUMIFS(EDSR!$J:$J,EDSR!$A:$A,'Progress%'!$B7,EDSR!$T:$T,"&lt;="&amp;CS$6)*0.2)/$C7</f>
        <v>0.90000000000000013</v>
      </c>
      <c r="CT7" s="14">
        <f>IF($C7&gt;0,SUMIFS(EDSR!$J:$J,EDSR!$A:$A,'Progress%'!$B7,EDSR!$K:$K,"&lt;="&amp;CT$6)*0.5+SUMIFS(EDSR!$J:$J,EDSR!$A:$A,'Progress%'!$B7,EDSR!$N:$N,"&lt;="&amp;CT$6)*0.2+SUMIFS(EDSR!$J:$J,EDSR!$A:$A,'Progress%'!$B7,EDSR!$Q:$Q,"&lt;="&amp;CT$6)*0.1+SUMIFS(EDSR!$J:$J,EDSR!$A:$A,'Progress%'!$B7,EDSR!$T:$T,"&lt;="&amp;CT$6)*0.2)/$C7</f>
        <v>0.90000000000000013</v>
      </c>
      <c r="CU7" s="14">
        <f>IF($C7&gt;0,SUMIFS(EDSR!$J:$J,EDSR!$A:$A,'Progress%'!$B7,EDSR!$K:$K,"&lt;="&amp;CU$6)*0.5+SUMIFS(EDSR!$J:$J,EDSR!$A:$A,'Progress%'!$B7,EDSR!$N:$N,"&lt;="&amp;CU$6)*0.2+SUMIFS(EDSR!$J:$J,EDSR!$A:$A,'Progress%'!$B7,EDSR!$Q:$Q,"&lt;="&amp;CU$6)*0.1+SUMIFS(EDSR!$J:$J,EDSR!$A:$A,'Progress%'!$B7,EDSR!$T:$T,"&lt;="&amp;CU$6)*0.2)/$C7</f>
        <v>0.90000000000000013</v>
      </c>
      <c r="CV7" s="14">
        <f>IF($C7&gt;0,SUMIFS(EDSR!$J:$J,EDSR!$A:$A,'Progress%'!$B7,EDSR!$K:$K,"&lt;="&amp;CV$6)*0.5+SUMIFS(EDSR!$J:$J,EDSR!$A:$A,'Progress%'!$B7,EDSR!$N:$N,"&lt;="&amp;CV$6)*0.2+SUMIFS(EDSR!$J:$J,EDSR!$A:$A,'Progress%'!$B7,EDSR!$Q:$Q,"&lt;="&amp;CV$6)*0.1+SUMIFS(EDSR!$J:$J,EDSR!$A:$A,'Progress%'!$B7,EDSR!$T:$T,"&lt;="&amp;CV$6)*0.2)/$C7</f>
        <v>0.90000000000000013</v>
      </c>
      <c r="CW7" s="14">
        <f>IF($C7&gt;0,SUMIFS(EDSR!$J:$J,EDSR!$A:$A,'Progress%'!$B7,EDSR!$K:$K,"&lt;="&amp;CW$6)*0.5+SUMIFS(EDSR!$J:$J,EDSR!$A:$A,'Progress%'!$B7,EDSR!$N:$N,"&lt;="&amp;CW$6)*0.2+SUMIFS(EDSR!$J:$J,EDSR!$A:$A,'Progress%'!$B7,EDSR!$Q:$Q,"&lt;="&amp;CW$6)*0.1+SUMIFS(EDSR!$J:$J,EDSR!$A:$A,'Progress%'!$B7,EDSR!$T:$T,"&lt;="&amp;CW$6)*0.2)/$C7</f>
        <v>0.90000000000000013</v>
      </c>
      <c r="CX7" s="14">
        <f>IF($C7&gt;0,SUMIFS(EDSR!$J:$J,EDSR!$A:$A,'Progress%'!$B7,EDSR!$K:$K,"&lt;="&amp;CX$6)*0.5+SUMIFS(EDSR!$J:$J,EDSR!$A:$A,'Progress%'!$B7,EDSR!$N:$N,"&lt;="&amp;CX$6)*0.2+SUMIFS(EDSR!$J:$J,EDSR!$A:$A,'Progress%'!$B7,EDSR!$Q:$Q,"&lt;="&amp;CX$6)*0.1+SUMIFS(EDSR!$J:$J,EDSR!$A:$A,'Progress%'!$B7,EDSR!$T:$T,"&lt;="&amp;CX$6)*0.2)/$C7</f>
        <v>0.90000000000000013</v>
      </c>
      <c r="CY7" s="14">
        <f>IF($C7&gt;0,SUMIFS(EDSR!$J:$J,EDSR!$A:$A,'Progress%'!$B7,EDSR!$K:$K,"&lt;="&amp;CY$6)*0.5+SUMIFS(EDSR!$J:$J,EDSR!$A:$A,'Progress%'!$B7,EDSR!$N:$N,"&lt;="&amp;CY$6)*0.2+SUMIFS(EDSR!$J:$J,EDSR!$A:$A,'Progress%'!$B7,EDSR!$Q:$Q,"&lt;="&amp;CY$6)*0.1+SUMIFS(EDSR!$J:$J,EDSR!$A:$A,'Progress%'!$B7,EDSR!$T:$T,"&lt;="&amp;CY$6)*0.2)/$C7</f>
        <v>0.90000000000000013</v>
      </c>
      <c r="CZ7" s="14">
        <f>IF($C7&gt;0,SUMIFS(EDSR!$J:$J,EDSR!$A:$A,'Progress%'!$B7,EDSR!$K:$K,"&lt;="&amp;CZ$6)*0.5+SUMIFS(EDSR!$J:$J,EDSR!$A:$A,'Progress%'!$B7,EDSR!$N:$N,"&lt;="&amp;CZ$6)*0.2+SUMIFS(EDSR!$J:$J,EDSR!$A:$A,'Progress%'!$B7,EDSR!$Q:$Q,"&lt;="&amp;CZ$6)*0.1+SUMIFS(EDSR!$J:$J,EDSR!$A:$A,'Progress%'!$B7,EDSR!$T:$T,"&lt;="&amp;CZ$6)*0.2)/$C7</f>
        <v>0.90000000000000013</v>
      </c>
      <c r="DA7" s="14">
        <f>IF($C7&gt;0,SUMIFS(EDSR!$J:$J,EDSR!$A:$A,'Progress%'!$B7,EDSR!$K:$K,"&lt;="&amp;DA$6)*0.5+SUMIFS(EDSR!$J:$J,EDSR!$A:$A,'Progress%'!$B7,EDSR!$N:$N,"&lt;="&amp;DA$6)*0.2+SUMIFS(EDSR!$J:$J,EDSR!$A:$A,'Progress%'!$B7,EDSR!$Q:$Q,"&lt;="&amp;DA$6)*0.1+SUMIFS(EDSR!$J:$J,EDSR!$A:$A,'Progress%'!$B7,EDSR!$T:$T,"&lt;="&amp;DA$6)*0.2)/$C7</f>
        <v>0.90000000000000013</v>
      </c>
      <c r="DB7" s="14">
        <f>IF($C7&gt;0,SUMIFS(EDSR!$J:$J,EDSR!$A:$A,'Progress%'!$B7,EDSR!$K:$K,"&lt;="&amp;DB$6)*0.5+SUMIFS(EDSR!$J:$J,EDSR!$A:$A,'Progress%'!$B7,EDSR!$N:$N,"&lt;="&amp;DB$6)*0.2+SUMIFS(EDSR!$J:$J,EDSR!$A:$A,'Progress%'!$B7,EDSR!$Q:$Q,"&lt;="&amp;DB$6)*0.1+SUMIFS(EDSR!$J:$J,EDSR!$A:$A,'Progress%'!$B7,EDSR!$T:$T,"&lt;="&amp;DB$6)*0.2)/$C7</f>
        <v>0.90000000000000013</v>
      </c>
      <c r="DC7" s="14">
        <f>IF($C7&gt;0,SUMIFS(EDSR!$J:$J,EDSR!$A:$A,'Progress%'!$B7,EDSR!$K:$K,"&lt;="&amp;DC$6)*0.5+SUMIFS(EDSR!$J:$J,EDSR!$A:$A,'Progress%'!$B7,EDSR!$N:$N,"&lt;="&amp;DC$6)*0.2+SUMIFS(EDSR!$J:$J,EDSR!$A:$A,'Progress%'!$B7,EDSR!$Q:$Q,"&lt;="&amp;DC$6)*0.1+SUMIFS(EDSR!$J:$J,EDSR!$A:$A,'Progress%'!$B7,EDSR!$T:$T,"&lt;="&amp;DC$6)*0.2)/$C7</f>
        <v>0.90000000000000013</v>
      </c>
      <c r="DD7" s="14">
        <f>IF($C7&gt;0,SUMIFS(EDSR!$J:$J,EDSR!$A:$A,'Progress%'!$B7,EDSR!$K:$K,"&lt;="&amp;DD$6)*0.5+SUMIFS(EDSR!$J:$J,EDSR!$A:$A,'Progress%'!$B7,EDSR!$N:$N,"&lt;="&amp;DD$6)*0.2+SUMIFS(EDSR!$J:$J,EDSR!$A:$A,'Progress%'!$B7,EDSR!$Q:$Q,"&lt;="&amp;DD$6)*0.1+SUMIFS(EDSR!$J:$J,EDSR!$A:$A,'Progress%'!$B7,EDSR!$T:$T,"&lt;="&amp;DD$6)*0.2)/$C7</f>
        <v>0.90000000000000013</v>
      </c>
      <c r="DE7" s="14">
        <f>IF($C7&gt;0,SUMIFS(EDSR!$J:$J,EDSR!$A:$A,'Progress%'!$B7,EDSR!$K:$K,"&lt;="&amp;DE$6)*0.5+SUMIFS(EDSR!$J:$J,EDSR!$A:$A,'Progress%'!$B7,EDSR!$N:$N,"&lt;="&amp;DE$6)*0.2+SUMIFS(EDSR!$J:$J,EDSR!$A:$A,'Progress%'!$B7,EDSR!$Q:$Q,"&lt;="&amp;DE$6)*0.1+SUMIFS(EDSR!$J:$J,EDSR!$A:$A,'Progress%'!$B7,EDSR!$T:$T,"&lt;="&amp;DE$6)*0.2)/$C7</f>
        <v>0.90000000000000013</v>
      </c>
      <c r="DF7" s="14">
        <f>IF($C7&gt;0,SUMIFS(EDSR!$J:$J,EDSR!$A:$A,'Progress%'!$B7,EDSR!$K:$K,"&lt;="&amp;DF$6)*0.5+SUMIFS(EDSR!$J:$J,EDSR!$A:$A,'Progress%'!$B7,EDSR!$N:$N,"&lt;="&amp;DF$6)*0.2+SUMIFS(EDSR!$J:$J,EDSR!$A:$A,'Progress%'!$B7,EDSR!$Q:$Q,"&lt;="&amp;DF$6)*0.1+SUMIFS(EDSR!$J:$J,EDSR!$A:$A,'Progress%'!$B7,EDSR!$T:$T,"&lt;="&amp;DF$6)*0.2)/$C7</f>
        <v>0.90000000000000013</v>
      </c>
      <c r="DG7" s="14">
        <f>IF($C7&gt;0,SUMIFS(EDSR!$J:$J,EDSR!$A:$A,'Progress%'!$B7,EDSR!$K:$K,"&lt;="&amp;DG$6)*0.5+SUMIFS(EDSR!$J:$J,EDSR!$A:$A,'Progress%'!$B7,EDSR!$N:$N,"&lt;="&amp;DG$6)*0.2+SUMIFS(EDSR!$J:$J,EDSR!$A:$A,'Progress%'!$B7,EDSR!$Q:$Q,"&lt;="&amp;DG$6)*0.1+SUMIFS(EDSR!$J:$J,EDSR!$A:$A,'Progress%'!$B7,EDSR!$T:$T,"&lt;="&amp;DG$6)*0.2)/$C7</f>
        <v>0.90000000000000013</v>
      </c>
      <c r="DH7" s="14">
        <f>IF($C7&gt;0,SUMIFS(EDSR!$J:$J,EDSR!$A:$A,'Progress%'!$B7,EDSR!$K:$K,"&lt;="&amp;DH$6)*0.5+SUMIFS(EDSR!$J:$J,EDSR!$A:$A,'Progress%'!$B7,EDSR!$N:$N,"&lt;="&amp;DH$6)*0.2+SUMIFS(EDSR!$J:$J,EDSR!$A:$A,'Progress%'!$B7,EDSR!$Q:$Q,"&lt;="&amp;DH$6)*0.1+SUMIFS(EDSR!$J:$J,EDSR!$A:$A,'Progress%'!$B7,EDSR!$T:$T,"&lt;="&amp;DH$6)*0.2)/$C7</f>
        <v>0.90000000000000013</v>
      </c>
      <c r="DI7" s="14">
        <f>IF($C7&gt;0,SUMIFS(EDSR!$J:$J,EDSR!$A:$A,'Progress%'!$B7,EDSR!$K:$K,"&lt;="&amp;DI$6)*0.5+SUMIFS(EDSR!$J:$J,EDSR!$A:$A,'Progress%'!$B7,EDSR!$N:$N,"&lt;="&amp;DI$6)*0.2+SUMIFS(EDSR!$J:$J,EDSR!$A:$A,'Progress%'!$B7,EDSR!$Q:$Q,"&lt;="&amp;DI$6)*0.1+SUMIFS(EDSR!$J:$J,EDSR!$A:$A,'Progress%'!$B7,EDSR!$T:$T,"&lt;="&amp;DI$6)*0.2)/$C7</f>
        <v>0.90000000000000013</v>
      </c>
      <c r="DJ7" s="14">
        <f>IF($C7&gt;0,SUMIFS(EDSR!$J:$J,EDSR!$A:$A,'Progress%'!$B7,EDSR!$K:$K,"&lt;="&amp;DJ$6)*0.5+SUMIFS(EDSR!$J:$J,EDSR!$A:$A,'Progress%'!$B7,EDSR!$N:$N,"&lt;="&amp;DJ$6)*0.2+SUMIFS(EDSR!$J:$J,EDSR!$A:$A,'Progress%'!$B7,EDSR!$Q:$Q,"&lt;="&amp;DJ$6)*0.1+SUMIFS(EDSR!$J:$J,EDSR!$A:$A,'Progress%'!$B7,EDSR!$T:$T,"&lt;="&amp;DJ$6)*0.2)/$C7</f>
        <v>0.90000000000000013</v>
      </c>
      <c r="DK7" s="14">
        <f>IF($C7&gt;0,SUMIFS(EDSR!$J:$J,EDSR!$A:$A,'Progress%'!$B7,EDSR!$K:$K,"&lt;="&amp;DK$6)*0.5+SUMIFS(EDSR!$J:$J,EDSR!$A:$A,'Progress%'!$B7,EDSR!$N:$N,"&lt;="&amp;DK$6)*0.2+SUMIFS(EDSR!$J:$J,EDSR!$A:$A,'Progress%'!$B7,EDSR!$Q:$Q,"&lt;="&amp;DK$6)*0.1+SUMIFS(EDSR!$J:$J,EDSR!$A:$A,'Progress%'!$B7,EDSR!$T:$T,"&lt;="&amp;DK$6)*0.2)/$C7</f>
        <v>0.90000000000000013</v>
      </c>
      <c r="DL7" s="14">
        <f>IF($C7&gt;0,SUMIFS(EDSR!$J:$J,EDSR!$A:$A,'Progress%'!$B7,EDSR!$K:$K,"&lt;="&amp;DL$6)*0.5+SUMIFS(EDSR!$J:$J,EDSR!$A:$A,'Progress%'!$B7,EDSR!$N:$N,"&lt;="&amp;DL$6)*0.2+SUMIFS(EDSR!$J:$J,EDSR!$A:$A,'Progress%'!$B7,EDSR!$Q:$Q,"&lt;="&amp;DL$6)*0.1+SUMIFS(EDSR!$J:$J,EDSR!$A:$A,'Progress%'!$B7,EDSR!$T:$T,"&lt;="&amp;DL$6)*0.2)/$C7</f>
        <v>0.90000000000000013</v>
      </c>
      <c r="DM7" s="14">
        <f>IF($C7&gt;0,SUMIFS(EDSR!$J:$J,EDSR!$A:$A,'Progress%'!$B7,EDSR!$K:$K,"&lt;="&amp;DM$6)*0.5+SUMIFS(EDSR!$J:$J,EDSR!$A:$A,'Progress%'!$B7,EDSR!$N:$N,"&lt;="&amp;DM$6)*0.2+SUMIFS(EDSR!$J:$J,EDSR!$A:$A,'Progress%'!$B7,EDSR!$Q:$Q,"&lt;="&amp;DM$6)*0.1+SUMIFS(EDSR!$J:$J,EDSR!$A:$A,'Progress%'!$B7,EDSR!$T:$T,"&lt;="&amp;DM$6)*0.2)/$C7</f>
        <v>0.90000000000000013</v>
      </c>
    </row>
    <row r="8" spans="1:117" x14ac:dyDescent="0.35">
      <c r="A8">
        <v>8</v>
      </c>
      <c r="B8" t="s">
        <v>61</v>
      </c>
      <c r="C8" s="60">
        <v>100</v>
      </c>
      <c r="D8" s="12">
        <v>1</v>
      </c>
      <c r="E8" s="13" t="s">
        <v>43</v>
      </c>
      <c r="F8" s="14">
        <f>IF($C7&gt;0,SUMIFS(EDSR!$J:$J,EDSR!$A:$A,'Progress%'!$B7,EDSR!$L:$L,"&lt;="&amp;F$6)*0.5+SUMIFS(EDSR!$J:$J,EDSR!$A:$A,'Progress%'!$B7,EDSR!$O:$O,"&lt;="&amp;F$6)*0.2+SUMIFS(EDSR!$J:$J,EDSR!$A:$A,'Progress%'!$B7,EDSR!$R:$R,"&lt;="&amp;F$6)*0.1+SUMIFS(EDSR!$J:$J,EDSR!$A:$A,'Progress%'!$B7,EDSR!$U:$U,"&lt;="&amp;F$6)*0.2)/$C7</f>
        <v>0</v>
      </c>
      <c r="G8" s="14">
        <f>IF($C7&gt;0,SUMIFS(EDSR!$J:$J,EDSR!$A:$A,'Progress%'!$B7,EDSR!$L:$L,"&lt;="&amp;G$6)*0.5+SUMIFS(EDSR!$J:$J,EDSR!$A:$A,'Progress%'!$B7,EDSR!$O:$O,"&lt;="&amp;G$6)*0.2+SUMIFS(EDSR!$J:$J,EDSR!$A:$A,'Progress%'!$B7,EDSR!$R:$R,"&lt;="&amp;G$6)*0.1+SUMIFS(EDSR!$J:$J,EDSR!$A:$A,'Progress%'!$B7,EDSR!$U:$U,"&lt;="&amp;G$6)*0.2)/$C7</f>
        <v>0</v>
      </c>
      <c r="H8" s="14">
        <f>IF($C7&gt;0,SUMIFS(EDSR!$J:$J,EDSR!$A:$A,'Progress%'!$B7,EDSR!$L:$L,"&lt;="&amp;H$6)*0.5+SUMIFS(EDSR!$J:$J,EDSR!$A:$A,'Progress%'!$B7,EDSR!$O:$O,"&lt;="&amp;H$6)*0.2+SUMIFS(EDSR!$J:$J,EDSR!$A:$A,'Progress%'!$B7,EDSR!$R:$R,"&lt;="&amp;H$6)*0.1+SUMIFS(EDSR!$J:$J,EDSR!$A:$A,'Progress%'!$B7,EDSR!$U:$U,"&lt;="&amp;H$6)*0.2)/$C7</f>
        <v>5.0000000000000001E-3</v>
      </c>
      <c r="I8" s="14">
        <f>IF($C7&gt;0,SUMIFS(EDSR!$J:$J,EDSR!$A:$A,'Progress%'!$B7,EDSR!$L:$L,"&lt;="&amp;I$6)*0.5+SUMIFS(EDSR!$J:$J,EDSR!$A:$A,'Progress%'!$B7,EDSR!$O:$O,"&lt;="&amp;I$6)*0.2+SUMIFS(EDSR!$J:$J,EDSR!$A:$A,'Progress%'!$B7,EDSR!$R:$R,"&lt;="&amp;I$6)*0.1+SUMIFS(EDSR!$J:$J,EDSR!$A:$A,'Progress%'!$B7,EDSR!$U:$U,"&lt;="&amp;I$6)*0.2)/$C7</f>
        <v>7.0000000000000007E-2</v>
      </c>
      <c r="J8" s="14">
        <f>IF($C7&gt;0,SUMIFS(EDSR!$J:$J,EDSR!$A:$A,'Progress%'!$B7,EDSR!$L:$L,"&lt;="&amp;J$6)*0.5+SUMIFS(EDSR!$J:$J,EDSR!$A:$A,'Progress%'!$B7,EDSR!$O:$O,"&lt;="&amp;J$6)*0.2+SUMIFS(EDSR!$J:$J,EDSR!$A:$A,'Progress%'!$B7,EDSR!$R:$R,"&lt;="&amp;J$6)*0.1+SUMIFS(EDSR!$J:$J,EDSR!$A:$A,'Progress%'!$B7,EDSR!$U:$U,"&lt;="&amp;J$6)*0.2)/$C7</f>
        <v>7.0000000000000007E-2</v>
      </c>
      <c r="K8" s="14">
        <f>IF($C7&gt;0,SUMIFS(EDSR!$J:$J,EDSR!$A:$A,'Progress%'!$B7,EDSR!$L:$L,"&lt;="&amp;K$6)*0.5+SUMIFS(EDSR!$J:$J,EDSR!$A:$A,'Progress%'!$B7,EDSR!$O:$O,"&lt;="&amp;K$6)*0.2+SUMIFS(EDSR!$J:$J,EDSR!$A:$A,'Progress%'!$B7,EDSR!$R:$R,"&lt;="&amp;K$6)*0.1+SUMIFS(EDSR!$J:$J,EDSR!$A:$A,'Progress%'!$B7,EDSR!$U:$U,"&lt;="&amp;K$6)*0.2)/$C7</f>
        <v>9.7500000000000003E-2</v>
      </c>
      <c r="L8" s="14">
        <f>IF($C7&gt;0,SUMIFS(EDSR!$J:$J,EDSR!$A:$A,'Progress%'!$B7,EDSR!$L:$L,"&lt;="&amp;L$6)*0.5+SUMIFS(EDSR!$J:$J,EDSR!$A:$A,'Progress%'!$B7,EDSR!$O:$O,"&lt;="&amp;L$6)*0.2+SUMIFS(EDSR!$J:$J,EDSR!$A:$A,'Progress%'!$B7,EDSR!$R:$R,"&lt;="&amp;L$6)*0.1+SUMIFS(EDSR!$J:$J,EDSR!$A:$A,'Progress%'!$B7,EDSR!$U:$U,"&lt;="&amp;L$6)*0.2)/$C7</f>
        <v>0.13</v>
      </c>
      <c r="M8" s="14">
        <f>IF($C7&gt;0,SUMIFS(EDSR!$J:$J,EDSR!$A:$A,'Progress%'!$B7,EDSR!$L:$L,"&lt;="&amp;M$6)*0.5+SUMIFS(EDSR!$J:$J,EDSR!$A:$A,'Progress%'!$B7,EDSR!$O:$O,"&lt;="&amp;M$6)*0.2+SUMIFS(EDSR!$J:$J,EDSR!$A:$A,'Progress%'!$B7,EDSR!$R:$R,"&lt;="&amp;M$6)*0.1+SUMIFS(EDSR!$J:$J,EDSR!$A:$A,'Progress%'!$B7,EDSR!$U:$U,"&lt;="&amp;M$6)*0.2)/$C7</f>
        <v>0.14000000000000001</v>
      </c>
      <c r="N8" s="14">
        <f>IF($C7&gt;0,SUMIFS(EDSR!$J:$J,EDSR!$A:$A,'Progress%'!$B7,EDSR!$L:$L,"&lt;="&amp;N$6)*0.5+SUMIFS(EDSR!$J:$J,EDSR!$A:$A,'Progress%'!$B7,EDSR!$O:$O,"&lt;="&amp;N$6)*0.2+SUMIFS(EDSR!$J:$J,EDSR!$A:$A,'Progress%'!$B7,EDSR!$R:$R,"&lt;="&amp;N$6)*0.1+SUMIFS(EDSR!$J:$J,EDSR!$A:$A,'Progress%'!$B7,EDSR!$U:$U,"&lt;="&amp;N$6)*0.2)/$C7</f>
        <v>0.1657499999999999</v>
      </c>
      <c r="O8" s="14">
        <f>IF($C7&gt;0,SUMIFS(EDSR!$J:$J,EDSR!$A:$A,'Progress%'!$B7,EDSR!$L:$L,"&lt;="&amp;O$6)*0.5+SUMIFS(EDSR!$J:$J,EDSR!$A:$A,'Progress%'!$B7,EDSR!$O:$O,"&lt;="&amp;O$6)*0.2+SUMIFS(EDSR!$J:$J,EDSR!$A:$A,'Progress%'!$B7,EDSR!$R:$R,"&lt;="&amp;O$6)*0.1+SUMIFS(EDSR!$J:$J,EDSR!$A:$A,'Progress%'!$B7,EDSR!$U:$U,"&lt;="&amp;O$6)*0.2)/$C7</f>
        <v>0.21174999999999986</v>
      </c>
      <c r="P8" s="14">
        <f>IF($C7&gt;0,SUMIFS(EDSR!$J:$J,EDSR!$A:$A,'Progress%'!$B7,EDSR!$L:$L,"&lt;="&amp;P$6)*0.5+SUMIFS(EDSR!$J:$J,EDSR!$A:$A,'Progress%'!$B7,EDSR!$O:$O,"&lt;="&amp;P$6)*0.2+SUMIFS(EDSR!$J:$J,EDSR!$A:$A,'Progress%'!$B7,EDSR!$R:$R,"&lt;="&amp;P$6)*0.1+SUMIFS(EDSR!$J:$J,EDSR!$A:$A,'Progress%'!$B7,EDSR!$U:$U,"&lt;="&amp;P$6)*0.2)/$C7</f>
        <v>0.2469999999999998</v>
      </c>
      <c r="Q8" s="14">
        <f>IF($C7&gt;0,SUMIFS(EDSR!$J:$J,EDSR!$A:$A,'Progress%'!$B7,EDSR!$L:$L,"&lt;="&amp;Q$6)*0.5+SUMIFS(EDSR!$J:$J,EDSR!$A:$A,'Progress%'!$B7,EDSR!$O:$O,"&lt;="&amp;Q$6)*0.2+SUMIFS(EDSR!$J:$J,EDSR!$A:$A,'Progress%'!$B7,EDSR!$R:$R,"&lt;="&amp;Q$6)*0.1+SUMIFS(EDSR!$J:$J,EDSR!$A:$A,'Progress%'!$B7,EDSR!$U:$U,"&lt;="&amp;Q$6)*0.2)/$C7</f>
        <v>0.29524999999999962</v>
      </c>
      <c r="R8" s="14">
        <f>IF($C7&gt;0,SUMIFS(EDSR!$J:$J,EDSR!$A:$A,'Progress%'!$B7,EDSR!$L:$L,"&lt;="&amp;R$6)*0.5+SUMIFS(EDSR!$J:$J,EDSR!$A:$A,'Progress%'!$B7,EDSR!$O:$O,"&lt;="&amp;R$6)*0.2+SUMIFS(EDSR!$J:$J,EDSR!$A:$A,'Progress%'!$B7,EDSR!$R:$R,"&lt;="&amp;R$6)*0.1+SUMIFS(EDSR!$J:$J,EDSR!$A:$A,'Progress%'!$B7,EDSR!$U:$U,"&lt;="&amp;R$6)*0.2)/$C7</f>
        <v>0.34749999999999959</v>
      </c>
      <c r="S8" s="14">
        <f>IF($C7&gt;0,SUMIFS(EDSR!$J:$J,EDSR!$A:$A,'Progress%'!$B7,EDSR!$L:$L,"&lt;="&amp;S$6)*0.5+SUMIFS(EDSR!$J:$J,EDSR!$A:$A,'Progress%'!$B7,EDSR!$O:$O,"&lt;="&amp;S$6)*0.2+SUMIFS(EDSR!$J:$J,EDSR!$A:$A,'Progress%'!$B7,EDSR!$R:$R,"&lt;="&amp;S$6)*0.1+SUMIFS(EDSR!$J:$J,EDSR!$A:$A,'Progress%'!$B7,EDSR!$U:$U,"&lt;="&amp;S$6)*0.2)/$C7</f>
        <v>0.36149999999999954</v>
      </c>
      <c r="T8" s="14">
        <f>IF($C7&gt;0,SUMIFS(EDSR!$J:$J,EDSR!$A:$A,'Progress%'!$B7,EDSR!$L:$L,"&lt;="&amp;T$6)*0.5+SUMIFS(EDSR!$J:$J,EDSR!$A:$A,'Progress%'!$B7,EDSR!$O:$O,"&lt;="&amp;T$6)*0.2+SUMIFS(EDSR!$J:$J,EDSR!$A:$A,'Progress%'!$B7,EDSR!$R:$R,"&lt;="&amp;T$6)*0.1+SUMIFS(EDSR!$J:$J,EDSR!$A:$A,'Progress%'!$B7,EDSR!$U:$U,"&lt;="&amp;T$6)*0.2)/$C7</f>
        <v>0.41600000000000059</v>
      </c>
      <c r="U8" s="14">
        <f>IF($C7&gt;0,SUMIFS(EDSR!$J:$J,EDSR!$A:$A,'Progress%'!$B7,EDSR!$L:$L,"&lt;="&amp;U$6)*0.5+SUMIFS(EDSR!$J:$J,EDSR!$A:$A,'Progress%'!$B7,EDSR!$O:$O,"&lt;="&amp;U$6)*0.2+SUMIFS(EDSR!$J:$J,EDSR!$A:$A,'Progress%'!$B7,EDSR!$R:$R,"&lt;="&amp;U$6)*0.1+SUMIFS(EDSR!$J:$J,EDSR!$A:$A,'Progress%'!$B7,EDSR!$U:$U,"&lt;="&amp;U$6)*0.2)/$C7</f>
        <v>0.45700000000000146</v>
      </c>
      <c r="V8" s="14">
        <f>IF($C7&gt;0,SUMIFS(EDSR!$J:$J,EDSR!$A:$A,'Progress%'!$B7,EDSR!$L:$L,"&lt;="&amp;V$6)*0.5+SUMIFS(EDSR!$J:$J,EDSR!$A:$A,'Progress%'!$B7,EDSR!$O:$O,"&lt;="&amp;V$6)*0.2+SUMIFS(EDSR!$J:$J,EDSR!$A:$A,'Progress%'!$B7,EDSR!$R:$R,"&lt;="&amp;V$6)*0.1+SUMIFS(EDSR!$J:$J,EDSR!$A:$A,'Progress%'!$B7,EDSR!$U:$U,"&lt;="&amp;V$6)*0.2)/$C7</f>
        <v>0.49360000000000143</v>
      </c>
      <c r="W8" s="14">
        <f>IF($C7&gt;0,SUMIFS(EDSR!$J:$J,EDSR!$A:$A,'Progress%'!$B7,EDSR!$L:$L,"&lt;="&amp;W$6)*0.5+SUMIFS(EDSR!$J:$J,EDSR!$A:$A,'Progress%'!$B7,EDSR!$O:$O,"&lt;="&amp;W$6)*0.2+SUMIFS(EDSR!$J:$J,EDSR!$A:$A,'Progress%'!$B7,EDSR!$R:$R,"&lt;="&amp;W$6)*0.1+SUMIFS(EDSR!$J:$J,EDSR!$A:$A,'Progress%'!$B7,EDSR!$U:$U,"&lt;="&amp;W$6)*0.2)/$C7</f>
        <v>0.55760000000000109</v>
      </c>
      <c r="X8" s="14">
        <f>IF($C7&gt;0,SUMIFS(EDSR!$J:$J,EDSR!$A:$A,'Progress%'!$B7,EDSR!$L:$L,"&lt;="&amp;X$6)*0.5+SUMIFS(EDSR!$J:$J,EDSR!$A:$A,'Progress%'!$B7,EDSR!$O:$O,"&lt;="&amp;X$6)*0.2+SUMIFS(EDSR!$J:$J,EDSR!$A:$A,'Progress%'!$B7,EDSR!$R:$R,"&lt;="&amp;X$6)*0.1+SUMIFS(EDSR!$J:$J,EDSR!$A:$A,'Progress%'!$B7,EDSR!$U:$U,"&lt;="&amp;X$6)*0.2)/$C7</f>
        <v>0.6036999999999999</v>
      </c>
      <c r="Y8" s="14">
        <f>IF($C7&gt;0,SUMIFS(EDSR!$J:$J,EDSR!$A:$A,'Progress%'!$B7,EDSR!$L:$L,"&lt;="&amp;Y$6)*0.5+SUMIFS(EDSR!$J:$J,EDSR!$A:$A,'Progress%'!$B7,EDSR!$O:$O,"&lt;="&amp;Y$6)*0.2+SUMIFS(EDSR!$J:$J,EDSR!$A:$A,'Progress%'!$B7,EDSR!$R:$R,"&lt;="&amp;Y$6)*0.1+SUMIFS(EDSR!$J:$J,EDSR!$A:$A,'Progress%'!$B7,EDSR!$U:$U,"&lt;="&amp;Y$6)*0.2)/$C7</f>
        <v>0.62419999999999987</v>
      </c>
      <c r="Z8" s="14">
        <f>IF($C7&gt;0,SUMIFS(EDSR!$J:$J,EDSR!$A:$A,'Progress%'!$B7,EDSR!$L:$L,"&lt;="&amp;Z$6)*0.5+SUMIFS(EDSR!$J:$J,EDSR!$A:$A,'Progress%'!$B7,EDSR!$O:$O,"&lt;="&amp;Z$6)*0.2+SUMIFS(EDSR!$J:$J,EDSR!$A:$A,'Progress%'!$B7,EDSR!$R:$R,"&lt;="&amp;Z$6)*0.1+SUMIFS(EDSR!$J:$J,EDSR!$A:$A,'Progress%'!$B7,EDSR!$U:$U,"&lt;="&amp;Z$6)*0.2)/$C7</f>
        <v>0.6595500000000003</v>
      </c>
      <c r="AA8" s="14">
        <f>IF($C7&gt;0,SUMIFS(EDSR!$J:$J,EDSR!$A:$A,'Progress%'!$B7,EDSR!$L:$L,"&lt;="&amp;AA$6)*0.5+SUMIFS(EDSR!$J:$J,EDSR!$A:$A,'Progress%'!$B7,EDSR!$O:$O,"&lt;="&amp;AA$6)*0.2+SUMIFS(EDSR!$J:$J,EDSR!$A:$A,'Progress%'!$B7,EDSR!$R:$R,"&lt;="&amp;AA$6)*0.1+SUMIFS(EDSR!$J:$J,EDSR!$A:$A,'Progress%'!$B7,EDSR!$U:$U,"&lt;="&amp;AA$6)*0.2)/$C7</f>
        <v>0.67555000000000065</v>
      </c>
      <c r="AB8" s="14">
        <f>IF($C7&gt;0,SUMIFS(EDSR!$J:$J,EDSR!$A:$A,'Progress%'!$B7,EDSR!$L:$L,"&lt;="&amp;AB$6)*0.5+SUMIFS(EDSR!$J:$J,EDSR!$A:$A,'Progress%'!$B7,EDSR!$O:$O,"&lt;="&amp;AB$6)*0.2+SUMIFS(EDSR!$J:$J,EDSR!$A:$A,'Progress%'!$B7,EDSR!$R:$R,"&lt;="&amp;AB$6)*0.1+SUMIFS(EDSR!$J:$J,EDSR!$A:$A,'Progress%'!$B7,EDSR!$U:$U,"&lt;="&amp;AB$6)*0.2)/$C7</f>
        <v>0.7051000000000005</v>
      </c>
      <c r="AC8" s="14">
        <f>IF($C7&gt;0,SUMIFS(EDSR!$J:$J,EDSR!$A:$A,'Progress%'!$B7,EDSR!$L:$L,"&lt;="&amp;AC$6)*0.5+SUMIFS(EDSR!$J:$J,EDSR!$A:$A,'Progress%'!$B7,EDSR!$O:$O,"&lt;="&amp;AC$6)*0.2+SUMIFS(EDSR!$J:$J,EDSR!$A:$A,'Progress%'!$B7,EDSR!$R:$R,"&lt;="&amp;AC$6)*0.1+SUMIFS(EDSR!$J:$J,EDSR!$A:$A,'Progress%'!$B7,EDSR!$U:$U,"&lt;="&amp;AC$6)*0.2)/$C7</f>
        <v>0.73275000000000046</v>
      </c>
      <c r="AD8" s="14">
        <f>IF($C7&gt;0,SUMIFS(EDSR!$J:$J,EDSR!$A:$A,'Progress%'!$B7,EDSR!$L:$L,"&lt;="&amp;AD$6)*0.5+SUMIFS(EDSR!$J:$J,EDSR!$A:$A,'Progress%'!$B7,EDSR!$O:$O,"&lt;="&amp;AD$6)*0.2+SUMIFS(EDSR!$J:$J,EDSR!$A:$A,'Progress%'!$B7,EDSR!$R:$R,"&lt;="&amp;AD$6)*0.1+SUMIFS(EDSR!$J:$J,EDSR!$A:$A,'Progress%'!$B7,EDSR!$U:$U,"&lt;="&amp;AD$6)*0.2)/$C7</f>
        <v>0.76709999999999989</v>
      </c>
      <c r="AE8" s="14">
        <f>IF($C7&gt;0,SUMIFS(EDSR!$J:$J,EDSR!$A:$A,'Progress%'!$B7,EDSR!$L:$L,"&lt;="&amp;AE$6)*0.5+SUMIFS(EDSR!$J:$J,EDSR!$A:$A,'Progress%'!$B7,EDSR!$O:$O,"&lt;="&amp;AE$6)*0.2+SUMIFS(EDSR!$J:$J,EDSR!$A:$A,'Progress%'!$B7,EDSR!$R:$R,"&lt;="&amp;AE$6)*0.1+SUMIFS(EDSR!$J:$J,EDSR!$A:$A,'Progress%'!$B7,EDSR!$U:$U,"&lt;="&amp;AE$6)*0.2)/$C7</f>
        <v>0.78719999999999968</v>
      </c>
      <c r="AF8" s="14">
        <f>IF($C7&gt;0,SUMIFS(EDSR!$J:$J,EDSR!$A:$A,'Progress%'!$B7,EDSR!$L:$L,"&lt;="&amp;AF$6)*0.5+SUMIFS(EDSR!$J:$J,EDSR!$A:$A,'Progress%'!$B7,EDSR!$O:$O,"&lt;="&amp;AF$6)*0.2+SUMIFS(EDSR!$J:$J,EDSR!$A:$A,'Progress%'!$B7,EDSR!$R:$R,"&lt;="&amp;AF$6)*0.1+SUMIFS(EDSR!$J:$J,EDSR!$A:$A,'Progress%'!$B7,EDSR!$U:$U,"&lt;="&amp;AF$6)*0.2)/$C7</f>
        <v>0.81009999999999993</v>
      </c>
      <c r="AG8" s="14">
        <f>IF($C7&gt;0,SUMIFS(EDSR!$J:$J,EDSR!$A:$A,'Progress%'!$B7,EDSR!$L:$L,"&lt;="&amp;AG$6)*0.5+SUMIFS(EDSR!$J:$J,EDSR!$A:$A,'Progress%'!$B7,EDSR!$O:$O,"&lt;="&amp;AG$6)*0.2+SUMIFS(EDSR!$J:$J,EDSR!$A:$A,'Progress%'!$B7,EDSR!$R:$R,"&lt;="&amp;AG$6)*0.1+SUMIFS(EDSR!$J:$J,EDSR!$A:$A,'Progress%'!$B7,EDSR!$U:$U,"&lt;="&amp;AG$6)*0.2)/$C7</f>
        <v>0.82010000000000016</v>
      </c>
      <c r="AH8" s="14">
        <f>IF($C7&gt;0,SUMIFS(EDSR!$J:$J,EDSR!$A:$A,'Progress%'!$B7,EDSR!$L:$L,"&lt;="&amp;AH$6)*0.5+SUMIFS(EDSR!$J:$J,EDSR!$A:$A,'Progress%'!$B7,EDSR!$O:$O,"&lt;="&amp;AH$6)*0.2+SUMIFS(EDSR!$J:$J,EDSR!$A:$A,'Progress%'!$B7,EDSR!$R:$R,"&lt;="&amp;AH$6)*0.1+SUMIFS(EDSR!$J:$J,EDSR!$A:$A,'Progress%'!$B7,EDSR!$U:$U,"&lt;="&amp;AH$6)*0.2)/$C7</f>
        <v>0.84420000000000073</v>
      </c>
      <c r="AI8" s="14">
        <f>IF($C7&gt;0,SUMIFS(EDSR!$J:$J,EDSR!$A:$A,'Progress%'!$B7,EDSR!$L:$L,"&lt;="&amp;AI$6)*0.5+SUMIFS(EDSR!$J:$J,EDSR!$A:$A,'Progress%'!$B7,EDSR!$O:$O,"&lt;="&amp;AI$6)*0.2+SUMIFS(EDSR!$J:$J,EDSR!$A:$A,'Progress%'!$B7,EDSR!$R:$R,"&lt;="&amp;AI$6)*0.1+SUMIFS(EDSR!$J:$J,EDSR!$A:$A,'Progress%'!$B7,EDSR!$U:$U,"&lt;="&amp;AI$6)*0.2)/$C7</f>
        <v>0.85740000000000094</v>
      </c>
      <c r="AJ8" s="14">
        <f>IF($C7&gt;0,SUMIFS(EDSR!$J:$J,EDSR!$A:$A,'Progress%'!$B7,EDSR!$L:$L,"&lt;="&amp;AJ$6)*0.5+SUMIFS(EDSR!$J:$J,EDSR!$A:$A,'Progress%'!$B7,EDSR!$O:$O,"&lt;="&amp;AJ$6)*0.2+SUMIFS(EDSR!$J:$J,EDSR!$A:$A,'Progress%'!$B7,EDSR!$R:$R,"&lt;="&amp;AJ$6)*0.1+SUMIFS(EDSR!$J:$J,EDSR!$A:$A,'Progress%'!$B7,EDSR!$U:$U,"&lt;="&amp;AJ$6)*0.2)/$C7</f>
        <v>0.87350000000000083</v>
      </c>
      <c r="AK8" s="14">
        <f>IF($C7&gt;0,SUMIFS(EDSR!$J:$J,EDSR!$A:$A,'Progress%'!$B7,EDSR!$L:$L,"&lt;="&amp;AK$6)*0.5+SUMIFS(EDSR!$J:$J,EDSR!$A:$A,'Progress%'!$B7,EDSR!$O:$O,"&lt;="&amp;AK$6)*0.2+SUMIFS(EDSR!$J:$J,EDSR!$A:$A,'Progress%'!$B7,EDSR!$R:$R,"&lt;="&amp;AK$6)*0.1+SUMIFS(EDSR!$J:$J,EDSR!$A:$A,'Progress%'!$B7,EDSR!$U:$U,"&lt;="&amp;AK$6)*0.2)/$C7</f>
        <v>0.88020000000000065</v>
      </c>
      <c r="AL8" s="14">
        <f>IF($C7&gt;0,SUMIFS(EDSR!$J:$J,EDSR!$A:$A,'Progress%'!$B7,EDSR!$L:$L,"&lt;="&amp;AL$6)*0.5+SUMIFS(EDSR!$J:$J,EDSR!$A:$A,'Progress%'!$B7,EDSR!$O:$O,"&lt;="&amp;AL$6)*0.2+SUMIFS(EDSR!$J:$J,EDSR!$A:$A,'Progress%'!$B7,EDSR!$R:$R,"&lt;="&amp;AL$6)*0.1+SUMIFS(EDSR!$J:$J,EDSR!$A:$A,'Progress%'!$B7,EDSR!$U:$U,"&lt;="&amp;AL$6)*0.2)/$C7</f>
        <v>0.89040000000000019</v>
      </c>
      <c r="AM8" s="14">
        <f>IF($C7&gt;0,SUMIFS(EDSR!$J:$J,EDSR!$A:$A,'Progress%'!$B7,EDSR!$L:$L,"&lt;="&amp;AM$6)*0.5+SUMIFS(EDSR!$J:$J,EDSR!$A:$A,'Progress%'!$B7,EDSR!$O:$O,"&lt;="&amp;AM$6)*0.2+SUMIFS(EDSR!$J:$J,EDSR!$A:$A,'Progress%'!$B7,EDSR!$R:$R,"&lt;="&amp;AM$6)*0.1+SUMIFS(EDSR!$J:$J,EDSR!$A:$A,'Progress%'!$B7,EDSR!$U:$U,"&lt;="&amp;AM$6)*0.2)/$C7</f>
        <v>0.89100000000000024</v>
      </c>
      <c r="AN8" s="14">
        <f>IF($C7&gt;0,SUMIFS(EDSR!$J:$J,EDSR!$A:$A,'Progress%'!$B7,EDSR!$L:$L,"&lt;="&amp;AN$6)*0.5+SUMIFS(EDSR!$J:$J,EDSR!$A:$A,'Progress%'!$B7,EDSR!$O:$O,"&lt;="&amp;AN$6)*0.2+SUMIFS(EDSR!$J:$J,EDSR!$A:$A,'Progress%'!$B7,EDSR!$R:$R,"&lt;="&amp;AN$6)*0.1+SUMIFS(EDSR!$J:$J,EDSR!$A:$A,'Progress%'!$B7,EDSR!$U:$U,"&lt;="&amp;AN$6)*0.2)/$C7</f>
        <v>0.89200000000000013</v>
      </c>
      <c r="AO8" s="14">
        <f>IF($C7&gt;0,SUMIFS(EDSR!$J:$J,EDSR!$A:$A,'Progress%'!$B7,EDSR!$L:$L,"&lt;="&amp;AO$6)*0.5+SUMIFS(EDSR!$J:$J,EDSR!$A:$A,'Progress%'!$B7,EDSR!$O:$O,"&lt;="&amp;AO$6)*0.2+SUMIFS(EDSR!$J:$J,EDSR!$A:$A,'Progress%'!$B7,EDSR!$R:$R,"&lt;="&amp;AO$6)*0.1+SUMIFS(EDSR!$J:$J,EDSR!$A:$A,'Progress%'!$B7,EDSR!$U:$U,"&lt;="&amp;AO$6)*0.2)/$C7</f>
        <v>0.89300000000000024</v>
      </c>
      <c r="AP8" s="14">
        <f>IF($C7&gt;0,SUMIFS(EDSR!$J:$J,EDSR!$A:$A,'Progress%'!$B7,EDSR!$L:$L,"&lt;="&amp;AP$6)*0.5+SUMIFS(EDSR!$J:$J,EDSR!$A:$A,'Progress%'!$B7,EDSR!$O:$O,"&lt;="&amp;AP$6)*0.2+SUMIFS(EDSR!$J:$J,EDSR!$A:$A,'Progress%'!$B7,EDSR!$R:$R,"&lt;="&amp;AP$6)*0.1+SUMIFS(EDSR!$J:$J,EDSR!$A:$A,'Progress%'!$B7,EDSR!$U:$U,"&lt;="&amp;AP$6)*0.2)/$C7</f>
        <v>0.89600000000000024</v>
      </c>
      <c r="AQ8" s="14">
        <f>IF($C7&gt;0,SUMIFS(EDSR!$J:$J,EDSR!$A:$A,'Progress%'!$B7,EDSR!$L:$L,"&lt;="&amp;AQ$6)*0.5+SUMIFS(EDSR!$J:$J,EDSR!$A:$A,'Progress%'!$B7,EDSR!$O:$O,"&lt;="&amp;AQ$6)*0.2+SUMIFS(EDSR!$J:$J,EDSR!$A:$A,'Progress%'!$B7,EDSR!$R:$R,"&lt;="&amp;AQ$6)*0.1+SUMIFS(EDSR!$J:$J,EDSR!$A:$A,'Progress%'!$B7,EDSR!$U:$U,"&lt;="&amp;AQ$6)*0.2)/$C7</f>
        <v>0.89800000000000013</v>
      </c>
      <c r="AR8" s="14">
        <f>IF($C7&gt;0,SUMIFS(EDSR!$J:$J,EDSR!$A:$A,'Progress%'!$B7,EDSR!$L:$L,"&lt;="&amp;AR$6)*0.5+SUMIFS(EDSR!$J:$J,EDSR!$A:$A,'Progress%'!$B7,EDSR!$O:$O,"&lt;="&amp;AR$6)*0.2+SUMIFS(EDSR!$J:$J,EDSR!$A:$A,'Progress%'!$B7,EDSR!$R:$R,"&lt;="&amp;AR$6)*0.1+SUMIFS(EDSR!$J:$J,EDSR!$A:$A,'Progress%'!$B7,EDSR!$U:$U,"&lt;="&amp;AR$6)*0.2)/$C7</f>
        <v>0.90000000000000013</v>
      </c>
      <c r="AS8" s="14">
        <f>IF($C7&gt;0,SUMIFS(EDSR!$J:$J,EDSR!$A:$A,'Progress%'!$B7,EDSR!$L:$L,"&lt;="&amp;AS$6)*0.5+SUMIFS(EDSR!$J:$J,EDSR!$A:$A,'Progress%'!$B7,EDSR!$O:$O,"&lt;="&amp;AS$6)*0.2+SUMIFS(EDSR!$J:$J,EDSR!$A:$A,'Progress%'!$B7,EDSR!$R:$R,"&lt;="&amp;AS$6)*0.1+SUMIFS(EDSR!$J:$J,EDSR!$A:$A,'Progress%'!$B7,EDSR!$U:$U,"&lt;="&amp;AS$6)*0.2)/$C7</f>
        <v>0.90000000000000013</v>
      </c>
      <c r="AT8" s="14">
        <f>IF($C7&gt;0,SUMIFS(EDSR!$J:$J,EDSR!$A:$A,'Progress%'!$B7,EDSR!$L:$L,"&lt;="&amp;AT$6)*0.5+SUMIFS(EDSR!$J:$J,EDSR!$A:$A,'Progress%'!$B7,EDSR!$O:$O,"&lt;="&amp;AT$6)*0.2+SUMIFS(EDSR!$J:$J,EDSR!$A:$A,'Progress%'!$B7,EDSR!$R:$R,"&lt;="&amp;AT$6)*0.1+SUMIFS(EDSR!$J:$J,EDSR!$A:$A,'Progress%'!$B7,EDSR!$U:$U,"&lt;="&amp;AT$6)*0.2)/$C7</f>
        <v>0.90000000000000013</v>
      </c>
      <c r="AU8" s="14">
        <f>IF($C7&gt;0,SUMIFS(EDSR!$J:$J,EDSR!$A:$A,'Progress%'!$B7,EDSR!$L:$L,"&lt;="&amp;AU$6)*0.5+SUMIFS(EDSR!$J:$J,EDSR!$A:$A,'Progress%'!$B7,EDSR!$O:$O,"&lt;="&amp;AU$6)*0.2+SUMIFS(EDSR!$J:$J,EDSR!$A:$A,'Progress%'!$B7,EDSR!$R:$R,"&lt;="&amp;AU$6)*0.1+SUMIFS(EDSR!$J:$J,EDSR!$A:$A,'Progress%'!$B7,EDSR!$U:$U,"&lt;="&amp;AU$6)*0.2)/$C7</f>
        <v>0.90000000000000013</v>
      </c>
      <c r="AV8" s="14">
        <f>IF($C7&gt;0,SUMIFS(EDSR!$J:$J,EDSR!$A:$A,'Progress%'!$B7,EDSR!$L:$L,"&lt;="&amp;AV$6)*0.5+SUMIFS(EDSR!$J:$J,EDSR!$A:$A,'Progress%'!$B7,EDSR!$O:$O,"&lt;="&amp;AV$6)*0.2+SUMIFS(EDSR!$J:$J,EDSR!$A:$A,'Progress%'!$B7,EDSR!$R:$R,"&lt;="&amp;AV$6)*0.1+SUMIFS(EDSR!$J:$J,EDSR!$A:$A,'Progress%'!$B7,EDSR!$U:$U,"&lt;="&amp;AV$6)*0.2)/$C7</f>
        <v>0.90000000000000013</v>
      </c>
      <c r="AW8" s="14">
        <f>IF($C7&gt;0,SUMIFS(EDSR!$J:$J,EDSR!$A:$A,'Progress%'!$B7,EDSR!$L:$L,"&lt;="&amp;AW$6)*0.5+SUMIFS(EDSR!$J:$J,EDSR!$A:$A,'Progress%'!$B7,EDSR!$O:$O,"&lt;="&amp;AW$6)*0.2+SUMIFS(EDSR!$J:$J,EDSR!$A:$A,'Progress%'!$B7,EDSR!$R:$R,"&lt;="&amp;AW$6)*0.1+SUMIFS(EDSR!$J:$J,EDSR!$A:$A,'Progress%'!$B7,EDSR!$U:$U,"&lt;="&amp;AW$6)*0.2)/$C7</f>
        <v>0.90000000000000013</v>
      </c>
      <c r="AX8" s="14">
        <f>IF($C7&gt;0,SUMIFS(EDSR!$J:$J,EDSR!$A:$A,'Progress%'!$B7,EDSR!$L:$L,"&lt;="&amp;AX$6)*0.5+SUMIFS(EDSR!$J:$J,EDSR!$A:$A,'Progress%'!$B7,EDSR!$O:$O,"&lt;="&amp;AX$6)*0.2+SUMIFS(EDSR!$J:$J,EDSR!$A:$A,'Progress%'!$B7,EDSR!$R:$R,"&lt;="&amp;AX$6)*0.1+SUMIFS(EDSR!$J:$J,EDSR!$A:$A,'Progress%'!$B7,EDSR!$U:$U,"&lt;="&amp;AX$6)*0.2)/$C7</f>
        <v>0.90000000000000013</v>
      </c>
      <c r="AY8" s="14">
        <f>IF($C7&gt;0,SUMIFS(EDSR!$J:$J,EDSR!$A:$A,'Progress%'!$B7,EDSR!$L:$L,"&lt;="&amp;AY$6)*0.5+SUMIFS(EDSR!$J:$J,EDSR!$A:$A,'Progress%'!$B7,EDSR!$O:$O,"&lt;="&amp;AY$6)*0.2+SUMIFS(EDSR!$J:$J,EDSR!$A:$A,'Progress%'!$B7,EDSR!$R:$R,"&lt;="&amp;AY$6)*0.1+SUMIFS(EDSR!$J:$J,EDSR!$A:$A,'Progress%'!$B7,EDSR!$U:$U,"&lt;="&amp;AY$6)*0.2)/$C7</f>
        <v>0.90000000000000013</v>
      </c>
      <c r="AZ8" s="14">
        <f>IF($C7&gt;0,SUMIFS(EDSR!$J:$J,EDSR!$A:$A,'Progress%'!$B7,EDSR!$L:$L,"&lt;="&amp;AZ$6)*0.5+SUMIFS(EDSR!$J:$J,EDSR!$A:$A,'Progress%'!$B7,EDSR!$O:$O,"&lt;="&amp;AZ$6)*0.2+SUMIFS(EDSR!$J:$J,EDSR!$A:$A,'Progress%'!$B7,EDSR!$R:$R,"&lt;="&amp;AZ$6)*0.1+SUMIFS(EDSR!$J:$J,EDSR!$A:$A,'Progress%'!$B7,EDSR!$U:$U,"&lt;="&amp;AZ$6)*0.2)/$C7</f>
        <v>0.90000000000000013</v>
      </c>
      <c r="BA8" s="14">
        <f>IF($C7&gt;0,SUMIFS(EDSR!$J:$J,EDSR!$A:$A,'Progress%'!$B7,EDSR!$L:$L,"&lt;="&amp;BA$6)*0.5+SUMIFS(EDSR!$J:$J,EDSR!$A:$A,'Progress%'!$B7,EDSR!$O:$O,"&lt;="&amp;BA$6)*0.2+SUMIFS(EDSR!$J:$J,EDSR!$A:$A,'Progress%'!$B7,EDSR!$R:$R,"&lt;="&amp;BA$6)*0.1+SUMIFS(EDSR!$J:$J,EDSR!$A:$A,'Progress%'!$B7,EDSR!$U:$U,"&lt;="&amp;BA$6)*0.2)/$C7</f>
        <v>0.90000000000000013</v>
      </c>
      <c r="BB8" s="14">
        <f>IF($C7&gt;0,SUMIFS(EDSR!$J:$J,EDSR!$A:$A,'Progress%'!$B7,EDSR!$L:$L,"&lt;="&amp;BB$6)*0.5+SUMIFS(EDSR!$J:$J,EDSR!$A:$A,'Progress%'!$B7,EDSR!$O:$O,"&lt;="&amp;BB$6)*0.2+SUMIFS(EDSR!$J:$J,EDSR!$A:$A,'Progress%'!$B7,EDSR!$R:$R,"&lt;="&amp;BB$6)*0.1+SUMIFS(EDSR!$J:$J,EDSR!$A:$A,'Progress%'!$B7,EDSR!$U:$U,"&lt;="&amp;BB$6)*0.2)/$C7</f>
        <v>0.90000000000000013</v>
      </c>
      <c r="BC8" s="14">
        <f>IF($C7&gt;0,SUMIFS(EDSR!$J:$J,EDSR!$A:$A,'Progress%'!$B7,EDSR!$L:$L,"&lt;="&amp;BC$6)*0.5+SUMIFS(EDSR!$J:$J,EDSR!$A:$A,'Progress%'!$B7,EDSR!$O:$O,"&lt;="&amp;BC$6)*0.2+SUMIFS(EDSR!$J:$J,EDSR!$A:$A,'Progress%'!$B7,EDSR!$R:$R,"&lt;="&amp;BC$6)*0.1+SUMIFS(EDSR!$J:$J,EDSR!$A:$A,'Progress%'!$B7,EDSR!$U:$U,"&lt;="&amp;BC$6)*0.2)/$C7</f>
        <v>0.90000000000000013</v>
      </c>
      <c r="BD8" s="14">
        <f>IF($C7&gt;0,SUMIFS(EDSR!$J:$J,EDSR!$A:$A,'Progress%'!$B7,EDSR!$L:$L,"&lt;="&amp;BD$6)*0.5+SUMIFS(EDSR!$J:$J,EDSR!$A:$A,'Progress%'!$B7,EDSR!$O:$O,"&lt;="&amp;BD$6)*0.2+SUMIFS(EDSR!$J:$J,EDSR!$A:$A,'Progress%'!$B7,EDSR!$R:$R,"&lt;="&amp;BD$6)*0.1+SUMIFS(EDSR!$J:$J,EDSR!$A:$A,'Progress%'!$B7,EDSR!$U:$U,"&lt;="&amp;BD$6)*0.2)/$C7</f>
        <v>0.90000000000000013</v>
      </c>
      <c r="BE8" s="14">
        <f>IF($C7&gt;0,SUMIFS(EDSR!$J:$J,EDSR!$A:$A,'Progress%'!$B7,EDSR!$L:$L,"&lt;="&amp;BE$6)*0.5+SUMIFS(EDSR!$J:$J,EDSR!$A:$A,'Progress%'!$B7,EDSR!$O:$O,"&lt;="&amp;BE$6)*0.2+SUMIFS(EDSR!$J:$J,EDSR!$A:$A,'Progress%'!$B7,EDSR!$R:$R,"&lt;="&amp;BE$6)*0.1+SUMIFS(EDSR!$J:$J,EDSR!$A:$A,'Progress%'!$B7,EDSR!$U:$U,"&lt;="&amp;BE$6)*0.2)/$C7</f>
        <v>0.90000000000000013</v>
      </c>
      <c r="BF8" s="14">
        <f>IF($C7&gt;0,SUMIFS(EDSR!$J:$J,EDSR!$A:$A,'Progress%'!$B7,EDSR!$L:$L,"&lt;="&amp;BF$6)*0.5+SUMIFS(EDSR!$J:$J,EDSR!$A:$A,'Progress%'!$B7,EDSR!$O:$O,"&lt;="&amp;BF$6)*0.2+SUMIFS(EDSR!$J:$J,EDSR!$A:$A,'Progress%'!$B7,EDSR!$R:$R,"&lt;="&amp;BF$6)*0.1+SUMIFS(EDSR!$J:$J,EDSR!$A:$A,'Progress%'!$B7,EDSR!$U:$U,"&lt;="&amp;BF$6)*0.2)/$C7</f>
        <v>0.90000000000000013</v>
      </c>
      <c r="BG8" s="14">
        <f>IF($C7&gt;0,SUMIFS(EDSR!$J:$J,EDSR!$A:$A,'Progress%'!$B7,EDSR!$L:$L,"&lt;="&amp;BG$6)*0.5+SUMIFS(EDSR!$J:$J,EDSR!$A:$A,'Progress%'!$B7,EDSR!$O:$O,"&lt;="&amp;BG$6)*0.2+SUMIFS(EDSR!$J:$J,EDSR!$A:$A,'Progress%'!$B7,EDSR!$R:$R,"&lt;="&amp;BG$6)*0.1+SUMIFS(EDSR!$J:$J,EDSR!$A:$A,'Progress%'!$B7,EDSR!$U:$U,"&lt;="&amp;BG$6)*0.2)/$C7</f>
        <v>0.90000000000000013</v>
      </c>
      <c r="BH8" s="14">
        <f>IF($C7&gt;0,SUMIFS(EDSR!$J:$J,EDSR!$A:$A,'Progress%'!$B7,EDSR!$L:$L,"&lt;="&amp;BH$6)*0.5+SUMIFS(EDSR!$J:$J,EDSR!$A:$A,'Progress%'!$B7,EDSR!$O:$O,"&lt;="&amp;BH$6)*0.2+SUMIFS(EDSR!$J:$J,EDSR!$A:$A,'Progress%'!$B7,EDSR!$R:$R,"&lt;="&amp;BH$6)*0.1+SUMIFS(EDSR!$J:$J,EDSR!$A:$A,'Progress%'!$B7,EDSR!$U:$U,"&lt;="&amp;BH$6)*0.2)/$C7</f>
        <v>0.90000000000000013</v>
      </c>
      <c r="BI8" s="14">
        <f>IF($C7&gt;0,SUMIFS(EDSR!$J:$J,EDSR!$A:$A,'Progress%'!$B7,EDSR!$L:$L,"&lt;="&amp;BI$6)*0.5+SUMIFS(EDSR!$J:$J,EDSR!$A:$A,'Progress%'!$B7,EDSR!$O:$O,"&lt;="&amp;BI$6)*0.2+SUMIFS(EDSR!$J:$J,EDSR!$A:$A,'Progress%'!$B7,EDSR!$R:$R,"&lt;="&amp;BI$6)*0.1+SUMIFS(EDSR!$J:$J,EDSR!$A:$A,'Progress%'!$B7,EDSR!$U:$U,"&lt;="&amp;BI$6)*0.2)/$C7</f>
        <v>0.90000000000000013</v>
      </c>
      <c r="BJ8" s="14">
        <f>IF($C7&gt;0,SUMIFS(EDSR!$J:$J,EDSR!$A:$A,'Progress%'!$B7,EDSR!$L:$L,"&lt;="&amp;BJ$6)*0.5+SUMIFS(EDSR!$J:$J,EDSR!$A:$A,'Progress%'!$B7,EDSR!$O:$O,"&lt;="&amp;BJ$6)*0.2+SUMIFS(EDSR!$J:$J,EDSR!$A:$A,'Progress%'!$B7,EDSR!$R:$R,"&lt;="&amp;BJ$6)*0.1+SUMIFS(EDSR!$J:$J,EDSR!$A:$A,'Progress%'!$B7,EDSR!$U:$U,"&lt;="&amp;BJ$6)*0.2)/$C7</f>
        <v>0.90000000000000013</v>
      </c>
      <c r="BK8" s="14">
        <f>IF($C7&gt;0,SUMIFS(EDSR!$J:$J,EDSR!$A:$A,'Progress%'!$B7,EDSR!$L:$L,"&lt;="&amp;BK$6)*0.5+SUMIFS(EDSR!$J:$J,EDSR!$A:$A,'Progress%'!$B7,EDSR!$O:$O,"&lt;="&amp;BK$6)*0.2+SUMIFS(EDSR!$J:$J,EDSR!$A:$A,'Progress%'!$B7,EDSR!$R:$R,"&lt;="&amp;BK$6)*0.1+SUMIFS(EDSR!$J:$J,EDSR!$A:$A,'Progress%'!$B7,EDSR!$U:$U,"&lt;="&amp;BK$6)*0.2)/$C7</f>
        <v>0.90000000000000013</v>
      </c>
      <c r="BL8" s="14">
        <f>IF($C7&gt;0,SUMIFS(EDSR!$J:$J,EDSR!$A:$A,'Progress%'!$B7,EDSR!$L:$L,"&lt;="&amp;BL$6)*0.5+SUMIFS(EDSR!$J:$J,EDSR!$A:$A,'Progress%'!$B7,EDSR!$O:$O,"&lt;="&amp;BL$6)*0.2+SUMIFS(EDSR!$J:$J,EDSR!$A:$A,'Progress%'!$B7,EDSR!$R:$R,"&lt;="&amp;BL$6)*0.1+SUMIFS(EDSR!$J:$J,EDSR!$A:$A,'Progress%'!$B7,EDSR!$U:$U,"&lt;="&amp;BL$6)*0.2)/$C7</f>
        <v>0.90000000000000013</v>
      </c>
      <c r="BM8" s="14">
        <f>IF($C7&gt;0,SUMIFS(EDSR!$J:$J,EDSR!$A:$A,'Progress%'!$B7,EDSR!$L:$L,"&lt;="&amp;BM$6)*0.5+SUMIFS(EDSR!$J:$J,EDSR!$A:$A,'Progress%'!$B7,EDSR!$O:$O,"&lt;="&amp;BM$6)*0.2+SUMIFS(EDSR!$J:$J,EDSR!$A:$A,'Progress%'!$B7,EDSR!$R:$R,"&lt;="&amp;BM$6)*0.1+SUMIFS(EDSR!$J:$J,EDSR!$A:$A,'Progress%'!$B7,EDSR!$U:$U,"&lt;="&amp;BM$6)*0.2)/$C7</f>
        <v>0.90000000000000013</v>
      </c>
      <c r="BN8" s="14">
        <f>IF($C7&gt;0,SUMIFS(EDSR!$J:$J,EDSR!$A:$A,'Progress%'!$B7,EDSR!$L:$L,"&lt;="&amp;BN$6)*0.5+SUMIFS(EDSR!$J:$J,EDSR!$A:$A,'Progress%'!$B7,EDSR!$O:$O,"&lt;="&amp;BN$6)*0.2+SUMIFS(EDSR!$J:$J,EDSR!$A:$A,'Progress%'!$B7,EDSR!$R:$R,"&lt;="&amp;BN$6)*0.1+SUMIFS(EDSR!$J:$J,EDSR!$A:$A,'Progress%'!$B7,EDSR!$U:$U,"&lt;="&amp;BN$6)*0.2)/$C7</f>
        <v>0.90000000000000013</v>
      </c>
      <c r="BO8" s="14">
        <f>IF($C7&gt;0,SUMIFS(EDSR!$J:$J,EDSR!$A:$A,'Progress%'!$B7,EDSR!$L:$L,"&lt;="&amp;BO$6)*0.5+SUMIFS(EDSR!$J:$J,EDSR!$A:$A,'Progress%'!$B7,EDSR!$O:$O,"&lt;="&amp;BO$6)*0.2+SUMIFS(EDSR!$J:$J,EDSR!$A:$A,'Progress%'!$B7,EDSR!$R:$R,"&lt;="&amp;BO$6)*0.1+SUMIFS(EDSR!$J:$J,EDSR!$A:$A,'Progress%'!$B7,EDSR!$U:$U,"&lt;="&amp;BO$6)*0.2)/$C7</f>
        <v>0.90000000000000013</v>
      </c>
      <c r="BP8" s="14">
        <f>IF($C7&gt;0,SUMIFS(EDSR!$J:$J,EDSR!$A:$A,'Progress%'!$B7,EDSR!$L:$L,"&lt;="&amp;BP$6)*0.5+SUMIFS(EDSR!$J:$J,EDSR!$A:$A,'Progress%'!$B7,EDSR!$O:$O,"&lt;="&amp;BP$6)*0.2+SUMIFS(EDSR!$J:$J,EDSR!$A:$A,'Progress%'!$B7,EDSR!$R:$R,"&lt;="&amp;BP$6)*0.1+SUMIFS(EDSR!$J:$J,EDSR!$A:$A,'Progress%'!$B7,EDSR!$U:$U,"&lt;="&amp;BP$6)*0.2)/$C7</f>
        <v>0.90000000000000013</v>
      </c>
      <c r="BQ8" s="14">
        <f>IF($C7&gt;0,SUMIFS(EDSR!$J:$J,EDSR!$A:$A,'Progress%'!$B7,EDSR!$L:$L,"&lt;="&amp;BQ$6)*0.5+SUMIFS(EDSR!$J:$J,EDSR!$A:$A,'Progress%'!$B7,EDSR!$O:$O,"&lt;="&amp;BQ$6)*0.2+SUMIFS(EDSR!$J:$J,EDSR!$A:$A,'Progress%'!$B7,EDSR!$R:$R,"&lt;="&amp;BQ$6)*0.1+SUMIFS(EDSR!$J:$J,EDSR!$A:$A,'Progress%'!$B7,EDSR!$U:$U,"&lt;="&amp;BQ$6)*0.2)/$C7</f>
        <v>0.90000000000000013</v>
      </c>
      <c r="BR8" s="14">
        <f>IF($C7&gt;0,SUMIFS(EDSR!$J:$J,EDSR!$A:$A,'Progress%'!$B7,EDSR!$L:$L,"&lt;="&amp;BR$6)*0.5+SUMIFS(EDSR!$J:$J,EDSR!$A:$A,'Progress%'!$B7,EDSR!$O:$O,"&lt;="&amp;BR$6)*0.2+SUMIFS(EDSR!$J:$J,EDSR!$A:$A,'Progress%'!$B7,EDSR!$R:$R,"&lt;="&amp;BR$6)*0.1+SUMIFS(EDSR!$J:$J,EDSR!$A:$A,'Progress%'!$B7,EDSR!$U:$U,"&lt;="&amp;BR$6)*0.2)/$C7</f>
        <v>0.90000000000000013</v>
      </c>
      <c r="BS8" s="14">
        <f>IF($C7&gt;0,SUMIFS(EDSR!$J:$J,EDSR!$A:$A,'Progress%'!$B7,EDSR!$L:$L,"&lt;="&amp;BS$6)*0.5+SUMIFS(EDSR!$J:$J,EDSR!$A:$A,'Progress%'!$B7,EDSR!$O:$O,"&lt;="&amp;BS$6)*0.2+SUMIFS(EDSR!$J:$J,EDSR!$A:$A,'Progress%'!$B7,EDSR!$R:$R,"&lt;="&amp;BS$6)*0.1+SUMIFS(EDSR!$J:$J,EDSR!$A:$A,'Progress%'!$B7,EDSR!$U:$U,"&lt;="&amp;BS$6)*0.2)/$C7</f>
        <v>0.90000000000000013</v>
      </c>
      <c r="BT8" s="14">
        <f>IF($C7&gt;0,SUMIFS(EDSR!$J:$J,EDSR!$A:$A,'Progress%'!$B7,EDSR!$L:$L,"&lt;="&amp;BT$6)*0.5+SUMIFS(EDSR!$J:$J,EDSR!$A:$A,'Progress%'!$B7,EDSR!$O:$O,"&lt;="&amp;BT$6)*0.2+SUMIFS(EDSR!$J:$J,EDSR!$A:$A,'Progress%'!$B7,EDSR!$R:$R,"&lt;="&amp;BT$6)*0.1+SUMIFS(EDSR!$J:$J,EDSR!$A:$A,'Progress%'!$B7,EDSR!$U:$U,"&lt;="&amp;BT$6)*0.2)/$C7</f>
        <v>0.90000000000000013</v>
      </c>
      <c r="BU8" s="14">
        <f>IF($C7&gt;0,SUMIFS(EDSR!$J:$J,EDSR!$A:$A,'Progress%'!$B7,EDSR!$L:$L,"&lt;="&amp;BU$6)*0.5+SUMIFS(EDSR!$J:$J,EDSR!$A:$A,'Progress%'!$B7,EDSR!$O:$O,"&lt;="&amp;BU$6)*0.2+SUMIFS(EDSR!$J:$J,EDSR!$A:$A,'Progress%'!$B7,EDSR!$R:$R,"&lt;="&amp;BU$6)*0.1+SUMIFS(EDSR!$J:$J,EDSR!$A:$A,'Progress%'!$B7,EDSR!$U:$U,"&lt;="&amp;BU$6)*0.2)/$C7</f>
        <v>0.90000000000000013</v>
      </c>
      <c r="BV8" s="14">
        <f>IF($C7&gt;0,SUMIFS(EDSR!$J:$J,EDSR!$A:$A,'Progress%'!$B7,EDSR!$L:$L,"&lt;="&amp;BV$6)*0.5+SUMIFS(EDSR!$J:$J,EDSR!$A:$A,'Progress%'!$B7,EDSR!$O:$O,"&lt;="&amp;BV$6)*0.2+SUMIFS(EDSR!$J:$J,EDSR!$A:$A,'Progress%'!$B7,EDSR!$R:$R,"&lt;="&amp;BV$6)*0.1+SUMIFS(EDSR!$J:$J,EDSR!$A:$A,'Progress%'!$B7,EDSR!$U:$U,"&lt;="&amp;BV$6)*0.2)/$C7</f>
        <v>0.90000000000000013</v>
      </c>
      <c r="BW8" s="14">
        <f>IF($C7&gt;0,SUMIFS(EDSR!$J:$J,EDSR!$A:$A,'Progress%'!$B7,EDSR!$L:$L,"&lt;="&amp;BW$6)*0.5+SUMIFS(EDSR!$J:$J,EDSR!$A:$A,'Progress%'!$B7,EDSR!$O:$O,"&lt;="&amp;BW$6)*0.2+SUMIFS(EDSR!$J:$J,EDSR!$A:$A,'Progress%'!$B7,EDSR!$R:$R,"&lt;="&amp;BW$6)*0.1+SUMIFS(EDSR!$J:$J,EDSR!$A:$A,'Progress%'!$B7,EDSR!$U:$U,"&lt;="&amp;BW$6)*0.2)/$C7</f>
        <v>0.90000000000000013</v>
      </c>
      <c r="BX8" s="14">
        <f>IF($C7&gt;0,SUMIFS(EDSR!$J:$J,EDSR!$A:$A,'Progress%'!$B7,EDSR!$L:$L,"&lt;="&amp;BX$6)*0.5+SUMIFS(EDSR!$J:$J,EDSR!$A:$A,'Progress%'!$B7,EDSR!$O:$O,"&lt;="&amp;BX$6)*0.2+SUMIFS(EDSR!$J:$J,EDSR!$A:$A,'Progress%'!$B7,EDSR!$R:$R,"&lt;="&amp;BX$6)*0.1+SUMIFS(EDSR!$J:$J,EDSR!$A:$A,'Progress%'!$B7,EDSR!$U:$U,"&lt;="&amp;BX$6)*0.2)/$C7</f>
        <v>0.90000000000000013</v>
      </c>
      <c r="BY8" s="14">
        <f>IF($C7&gt;0,SUMIFS(EDSR!$J:$J,EDSR!$A:$A,'Progress%'!$B7,EDSR!$L:$L,"&lt;="&amp;BY$6)*0.5+SUMIFS(EDSR!$J:$J,EDSR!$A:$A,'Progress%'!$B7,EDSR!$O:$O,"&lt;="&amp;BY$6)*0.2+SUMIFS(EDSR!$J:$J,EDSR!$A:$A,'Progress%'!$B7,EDSR!$R:$R,"&lt;="&amp;BY$6)*0.1+SUMIFS(EDSR!$J:$J,EDSR!$A:$A,'Progress%'!$B7,EDSR!$U:$U,"&lt;="&amp;BY$6)*0.2)/$C7</f>
        <v>0.90000000000000013</v>
      </c>
      <c r="BZ8" s="14">
        <f>IF($C7&gt;0,SUMIFS(EDSR!$J:$J,EDSR!$A:$A,'Progress%'!$B7,EDSR!$L:$L,"&lt;="&amp;BZ$6)*0.5+SUMIFS(EDSR!$J:$J,EDSR!$A:$A,'Progress%'!$B7,EDSR!$O:$O,"&lt;="&amp;BZ$6)*0.2+SUMIFS(EDSR!$J:$J,EDSR!$A:$A,'Progress%'!$B7,EDSR!$R:$R,"&lt;="&amp;BZ$6)*0.1+SUMIFS(EDSR!$J:$J,EDSR!$A:$A,'Progress%'!$B7,EDSR!$U:$U,"&lt;="&amp;BZ$6)*0.2)/$C7</f>
        <v>0.90000000000000013</v>
      </c>
      <c r="CA8" s="14">
        <f>IF($C7&gt;0,SUMIFS(EDSR!$J:$J,EDSR!$A:$A,'Progress%'!$B7,EDSR!$L:$L,"&lt;="&amp;CA$6)*0.5+SUMIFS(EDSR!$J:$J,EDSR!$A:$A,'Progress%'!$B7,EDSR!$O:$O,"&lt;="&amp;CA$6)*0.2+SUMIFS(EDSR!$J:$J,EDSR!$A:$A,'Progress%'!$B7,EDSR!$R:$R,"&lt;="&amp;CA$6)*0.1+SUMIFS(EDSR!$J:$J,EDSR!$A:$A,'Progress%'!$B7,EDSR!$U:$U,"&lt;="&amp;CA$6)*0.2)/$C7</f>
        <v>0.90000000000000013</v>
      </c>
      <c r="CB8" s="14">
        <f>IF($C7&gt;0,SUMIFS(EDSR!$J:$J,EDSR!$A:$A,'Progress%'!$B7,EDSR!$L:$L,"&lt;="&amp;CB$6)*0.5+SUMIFS(EDSR!$J:$J,EDSR!$A:$A,'Progress%'!$B7,EDSR!$O:$O,"&lt;="&amp;CB$6)*0.2+SUMIFS(EDSR!$J:$J,EDSR!$A:$A,'Progress%'!$B7,EDSR!$R:$R,"&lt;="&amp;CB$6)*0.1+SUMIFS(EDSR!$J:$J,EDSR!$A:$A,'Progress%'!$B7,EDSR!$U:$U,"&lt;="&amp;CB$6)*0.2)/$C7</f>
        <v>0.90000000000000013</v>
      </c>
      <c r="CC8" s="14">
        <f>IF($C7&gt;0,SUMIFS(EDSR!$J:$J,EDSR!$A:$A,'Progress%'!$B7,EDSR!$L:$L,"&lt;="&amp;CC$6)*0.5+SUMIFS(EDSR!$J:$J,EDSR!$A:$A,'Progress%'!$B7,EDSR!$O:$O,"&lt;="&amp;CC$6)*0.2+SUMIFS(EDSR!$J:$J,EDSR!$A:$A,'Progress%'!$B7,EDSR!$R:$R,"&lt;="&amp;CC$6)*0.1+SUMIFS(EDSR!$J:$J,EDSR!$A:$A,'Progress%'!$B7,EDSR!$U:$U,"&lt;="&amp;CC$6)*0.2)/$C7</f>
        <v>0.90000000000000013</v>
      </c>
      <c r="CD8" s="14">
        <f>IF($C7&gt;0,SUMIFS(EDSR!$J:$J,EDSR!$A:$A,'Progress%'!$B7,EDSR!$L:$L,"&lt;="&amp;CD$6)*0.5+SUMIFS(EDSR!$J:$J,EDSR!$A:$A,'Progress%'!$B7,EDSR!$O:$O,"&lt;="&amp;CD$6)*0.2+SUMIFS(EDSR!$J:$J,EDSR!$A:$A,'Progress%'!$B7,EDSR!$R:$R,"&lt;="&amp;CD$6)*0.1+SUMIFS(EDSR!$J:$J,EDSR!$A:$A,'Progress%'!$B7,EDSR!$U:$U,"&lt;="&amp;CD$6)*0.2)/$C7</f>
        <v>0.90000000000000013</v>
      </c>
      <c r="CE8" s="14">
        <f>IF($C7&gt;0,SUMIFS(EDSR!$J:$J,EDSR!$A:$A,'Progress%'!$B7,EDSR!$L:$L,"&lt;="&amp;CE$6)*0.5+SUMIFS(EDSR!$J:$J,EDSR!$A:$A,'Progress%'!$B7,EDSR!$O:$O,"&lt;="&amp;CE$6)*0.2+SUMIFS(EDSR!$J:$J,EDSR!$A:$A,'Progress%'!$B7,EDSR!$R:$R,"&lt;="&amp;CE$6)*0.1+SUMIFS(EDSR!$J:$J,EDSR!$A:$A,'Progress%'!$B7,EDSR!$U:$U,"&lt;="&amp;CE$6)*0.2)/$C7</f>
        <v>0.90000000000000013</v>
      </c>
      <c r="CF8" s="14">
        <f>IF($C7&gt;0,SUMIFS(EDSR!$J:$J,EDSR!$A:$A,'Progress%'!$B7,EDSR!$L:$L,"&lt;="&amp;CF$6)*0.5+SUMIFS(EDSR!$J:$J,EDSR!$A:$A,'Progress%'!$B7,EDSR!$O:$O,"&lt;="&amp;CF$6)*0.2+SUMIFS(EDSR!$J:$J,EDSR!$A:$A,'Progress%'!$B7,EDSR!$R:$R,"&lt;="&amp;CF$6)*0.1+SUMIFS(EDSR!$J:$J,EDSR!$A:$A,'Progress%'!$B7,EDSR!$U:$U,"&lt;="&amp;CF$6)*0.2)/$C7</f>
        <v>0.90000000000000013</v>
      </c>
      <c r="CG8" s="14">
        <f>IF($C7&gt;0,SUMIFS(EDSR!$J:$J,EDSR!$A:$A,'Progress%'!$B7,EDSR!$L:$L,"&lt;="&amp;CG$6)*0.5+SUMIFS(EDSR!$J:$J,EDSR!$A:$A,'Progress%'!$B7,EDSR!$O:$O,"&lt;="&amp;CG$6)*0.2+SUMIFS(EDSR!$J:$J,EDSR!$A:$A,'Progress%'!$B7,EDSR!$R:$R,"&lt;="&amp;CG$6)*0.1+SUMIFS(EDSR!$J:$J,EDSR!$A:$A,'Progress%'!$B7,EDSR!$U:$U,"&lt;="&amp;CG$6)*0.2)/$C7</f>
        <v>0.90000000000000013</v>
      </c>
      <c r="CH8" s="14">
        <f>IF($C7&gt;0,SUMIFS(EDSR!$J:$J,EDSR!$A:$A,'Progress%'!$B7,EDSR!$L:$L,"&lt;="&amp;CH$6)*0.5+SUMIFS(EDSR!$J:$J,EDSR!$A:$A,'Progress%'!$B7,EDSR!$O:$O,"&lt;="&amp;CH$6)*0.2+SUMIFS(EDSR!$J:$J,EDSR!$A:$A,'Progress%'!$B7,EDSR!$R:$R,"&lt;="&amp;CH$6)*0.1+SUMIFS(EDSR!$J:$J,EDSR!$A:$A,'Progress%'!$B7,EDSR!$U:$U,"&lt;="&amp;CH$6)*0.2)/$C7</f>
        <v>0.90000000000000013</v>
      </c>
      <c r="CI8" s="14">
        <f>IF($C7&gt;0,SUMIFS(EDSR!$J:$J,EDSR!$A:$A,'Progress%'!$B7,EDSR!$L:$L,"&lt;="&amp;CI$6)*0.5+SUMIFS(EDSR!$J:$J,EDSR!$A:$A,'Progress%'!$B7,EDSR!$O:$O,"&lt;="&amp;CI$6)*0.2+SUMIFS(EDSR!$J:$J,EDSR!$A:$A,'Progress%'!$B7,EDSR!$R:$R,"&lt;="&amp;CI$6)*0.1+SUMIFS(EDSR!$J:$J,EDSR!$A:$A,'Progress%'!$B7,EDSR!$U:$U,"&lt;="&amp;CI$6)*0.2)/$C7</f>
        <v>0.90000000000000013</v>
      </c>
      <c r="CJ8" s="14">
        <f>IF($C7&gt;0,SUMIFS(EDSR!$J:$J,EDSR!$A:$A,'Progress%'!$B7,EDSR!$L:$L,"&lt;="&amp;CJ$6)*0.5+SUMIFS(EDSR!$J:$J,EDSR!$A:$A,'Progress%'!$B7,EDSR!$O:$O,"&lt;="&amp;CJ$6)*0.2+SUMIFS(EDSR!$J:$J,EDSR!$A:$A,'Progress%'!$B7,EDSR!$R:$R,"&lt;="&amp;CJ$6)*0.1+SUMIFS(EDSR!$J:$J,EDSR!$A:$A,'Progress%'!$B7,EDSR!$U:$U,"&lt;="&amp;CJ$6)*0.2)/$C7</f>
        <v>0.90000000000000013</v>
      </c>
      <c r="CK8" s="14">
        <f>IF($C7&gt;0,SUMIFS(EDSR!$J:$J,EDSR!$A:$A,'Progress%'!$B7,EDSR!$L:$L,"&lt;="&amp;CK$6)*0.5+SUMIFS(EDSR!$J:$J,EDSR!$A:$A,'Progress%'!$B7,EDSR!$O:$O,"&lt;="&amp;CK$6)*0.2+SUMIFS(EDSR!$J:$J,EDSR!$A:$A,'Progress%'!$B7,EDSR!$R:$R,"&lt;="&amp;CK$6)*0.1+SUMIFS(EDSR!$J:$J,EDSR!$A:$A,'Progress%'!$B7,EDSR!$U:$U,"&lt;="&amp;CK$6)*0.2)/$C7</f>
        <v>0.90000000000000013</v>
      </c>
      <c r="CL8" s="14">
        <f>IF($C7&gt;0,SUMIFS(EDSR!$J:$J,EDSR!$A:$A,'Progress%'!$B7,EDSR!$L:$L,"&lt;="&amp;CL$6)*0.5+SUMIFS(EDSR!$J:$J,EDSR!$A:$A,'Progress%'!$B7,EDSR!$O:$O,"&lt;="&amp;CL$6)*0.2+SUMIFS(EDSR!$J:$J,EDSR!$A:$A,'Progress%'!$B7,EDSR!$R:$R,"&lt;="&amp;CL$6)*0.1+SUMIFS(EDSR!$J:$J,EDSR!$A:$A,'Progress%'!$B7,EDSR!$U:$U,"&lt;="&amp;CL$6)*0.2)/$C7</f>
        <v>0.90000000000000013</v>
      </c>
      <c r="CM8" s="14">
        <f>IF($C7&gt;0,SUMIFS(EDSR!$J:$J,EDSR!$A:$A,'Progress%'!$B7,EDSR!$L:$L,"&lt;="&amp;CM$6)*0.5+SUMIFS(EDSR!$J:$J,EDSR!$A:$A,'Progress%'!$B7,EDSR!$O:$O,"&lt;="&amp;CM$6)*0.2+SUMIFS(EDSR!$J:$J,EDSR!$A:$A,'Progress%'!$B7,EDSR!$R:$R,"&lt;="&amp;CM$6)*0.1+SUMIFS(EDSR!$J:$J,EDSR!$A:$A,'Progress%'!$B7,EDSR!$U:$U,"&lt;="&amp;CM$6)*0.2)/$C7</f>
        <v>0.90000000000000013</v>
      </c>
      <c r="CN8" s="14">
        <f>IF($C7&gt;0,SUMIFS(EDSR!$J:$J,EDSR!$A:$A,'Progress%'!$B7,EDSR!$L:$L,"&lt;="&amp;CN$6)*0.5+SUMIFS(EDSR!$J:$J,EDSR!$A:$A,'Progress%'!$B7,EDSR!$O:$O,"&lt;="&amp;CN$6)*0.2+SUMIFS(EDSR!$J:$J,EDSR!$A:$A,'Progress%'!$B7,EDSR!$R:$R,"&lt;="&amp;CN$6)*0.1+SUMIFS(EDSR!$J:$J,EDSR!$A:$A,'Progress%'!$B7,EDSR!$U:$U,"&lt;="&amp;CN$6)*0.2)/$C7</f>
        <v>0.90000000000000013</v>
      </c>
      <c r="CO8" s="14">
        <f>IF($C7&gt;0,SUMIFS(EDSR!$J:$J,EDSR!$A:$A,'Progress%'!$B7,EDSR!$L:$L,"&lt;="&amp;CO$6)*0.5+SUMIFS(EDSR!$J:$J,EDSR!$A:$A,'Progress%'!$B7,EDSR!$O:$O,"&lt;="&amp;CO$6)*0.2+SUMIFS(EDSR!$J:$J,EDSR!$A:$A,'Progress%'!$B7,EDSR!$R:$R,"&lt;="&amp;CO$6)*0.1+SUMIFS(EDSR!$J:$J,EDSR!$A:$A,'Progress%'!$B7,EDSR!$U:$U,"&lt;="&amp;CO$6)*0.2)/$C7</f>
        <v>0.90000000000000013</v>
      </c>
      <c r="CP8" s="14">
        <f>IF($C7&gt;0,SUMIFS(EDSR!$J:$J,EDSR!$A:$A,'Progress%'!$B7,EDSR!$L:$L,"&lt;="&amp;CP$6)*0.5+SUMIFS(EDSR!$J:$J,EDSR!$A:$A,'Progress%'!$B7,EDSR!$O:$O,"&lt;="&amp;CP$6)*0.2+SUMIFS(EDSR!$J:$J,EDSR!$A:$A,'Progress%'!$B7,EDSR!$R:$R,"&lt;="&amp;CP$6)*0.1+SUMIFS(EDSR!$J:$J,EDSR!$A:$A,'Progress%'!$B7,EDSR!$U:$U,"&lt;="&amp;CP$6)*0.2)/$C7</f>
        <v>0.90000000000000013</v>
      </c>
      <c r="CQ8" s="14">
        <f>IF($C7&gt;0,SUMIFS(EDSR!$J:$J,EDSR!$A:$A,'Progress%'!$B7,EDSR!$L:$L,"&lt;="&amp;CQ$6)*0.5+SUMIFS(EDSR!$J:$J,EDSR!$A:$A,'Progress%'!$B7,EDSR!$O:$O,"&lt;="&amp;CQ$6)*0.2+SUMIFS(EDSR!$J:$J,EDSR!$A:$A,'Progress%'!$B7,EDSR!$R:$R,"&lt;="&amp;CQ$6)*0.1+SUMIFS(EDSR!$J:$J,EDSR!$A:$A,'Progress%'!$B7,EDSR!$U:$U,"&lt;="&amp;CQ$6)*0.2)/$C7</f>
        <v>0.90000000000000013</v>
      </c>
      <c r="CR8" s="14">
        <f>IF($C7&gt;0,SUMIFS(EDSR!$J:$J,EDSR!$A:$A,'Progress%'!$B7,EDSR!$L:$L,"&lt;="&amp;CR$6)*0.5+SUMIFS(EDSR!$J:$J,EDSR!$A:$A,'Progress%'!$B7,EDSR!$O:$O,"&lt;="&amp;CR$6)*0.2+SUMIFS(EDSR!$J:$J,EDSR!$A:$A,'Progress%'!$B7,EDSR!$R:$R,"&lt;="&amp;CR$6)*0.1+SUMIFS(EDSR!$J:$J,EDSR!$A:$A,'Progress%'!$B7,EDSR!$U:$U,"&lt;="&amp;CR$6)*0.2)/$C7</f>
        <v>0.90000000000000013</v>
      </c>
      <c r="CS8" s="14">
        <f>IF($C7&gt;0,SUMIFS(EDSR!$J:$J,EDSR!$A:$A,'Progress%'!$B7,EDSR!$L:$L,"&lt;="&amp;CS$6)*0.5+SUMIFS(EDSR!$J:$J,EDSR!$A:$A,'Progress%'!$B7,EDSR!$O:$O,"&lt;="&amp;CS$6)*0.2+SUMIFS(EDSR!$J:$J,EDSR!$A:$A,'Progress%'!$B7,EDSR!$R:$R,"&lt;="&amp;CS$6)*0.1+SUMIFS(EDSR!$J:$J,EDSR!$A:$A,'Progress%'!$B7,EDSR!$U:$U,"&lt;="&amp;CS$6)*0.2)/$C7</f>
        <v>0.90000000000000013</v>
      </c>
      <c r="CT8" s="14">
        <f>IF($C7&gt;0,SUMIFS(EDSR!$J:$J,EDSR!$A:$A,'Progress%'!$B7,EDSR!$L:$L,"&lt;="&amp;CT$6)*0.5+SUMIFS(EDSR!$J:$J,EDSR!$A:$A,'Progress%'!$B7,EDSR!$O:$O,"&lt;="&amp;CT$6)*0.2+SUMIFS(EDSR!$J:$J,EDSR!$A:$A,'Progress%'!$B7,EDSR!$R:$R,"&lt;="&amp;CT$6)*0.1+SUMIFS(EDSR!$J:$J,EDSR!$A:$A,'Progress%'!$B7,EDSR!$U:$U,"&lt;="&amp;CT$6)*0.2)/$C7</f>
        <v>0.90000000000000013</v>
      </c>
      <c r="CU8" s="14">
        <f>IF($C7&gt;0,SUMIFS(EDSR!$J:$J,EDSR!$A:$A,'Progress%'!$B7,EDSR!$L:$L,"&lt;="&amp;CU$6)*0.5+SUMIFS(EDSR!$J:$J,EDSR!$A:$A,'Progress%'!$B7,EDSR!$O:$O,"&lt;="&amp;CU$6)*0.2+SUMIFS(EDSR!$J:$J,EDSR!$A:$A,'Progress%'!$B7,EDSR!$R:$R,"&lt;="&amp;CU$6)*0.1+SUMIFS(EDSR!$J:$J,EDSR!$A:$A,'Progress%'!$B7,EDSR!$U:$U,"&lt;="&amp;CU$6)*0.2)/$C7</f>
        <v>0.90000000000000013</v>
      </c>
      <c r="CV8" s="14">
        <f>IF($C7&gt;0,SUMIFS(EDSR!$J:$J,EDSR!$A:$A,'Progress%'!$B7,EDSR!$L:$L,"&lt;="&amp;CV$6)*0.5+SUMIFS(EDSR!$J:$J,EDSR!$A:$A,'Progress%'!$B7,EDSR!$O:$O,"&lt;="&amp;CV$6)*0.2+SUMIFS(EDSR!$J:$J,EDSR!$A:$A,'Progress%'!$B7,EDSR!$R:$R,"&lt;="&amp;CV$6)*0.1+SUMIFS(EDSR!$J:$J,EDSR!$A:$A,'Progress%'!$B7,EDSR!$U:$U,"&lt;="&amp;CV$6)*0.2)/$C7</f>
        <v>0.90000000000000013</v>
      </c>
      <c r="CW8" s="14">
        <f>IF($C7&gt;0,SUMIFS(EDSR!$J:$J,EDSR!$A:$A,'Progress%'!$B7,EDSR!$L:$L,"&lt;="&amp;CW$6)*0.5+SUMIFS(EDSR!$J:$J,EDSR!$A:$A,'Progress%'!$B7,EDSR!$O:$O,"&lt;="&amp;CW$6)*0.2+SUMIFS(EDSR!$J:$J,EDSR!$A:$A,'Progress%'!$B7,EDSR!$R:$R,"&lt;="&amp;CW$6)*0.1+SUMIFS(EDSR!$J:$J,EDSR!$A:$A,'Progress%'!$B7,EDSR!$U:$U,"&lt;="&amp;CW$6)*0.2)/$C7</f>
        <v>0.90000000000000013</v>
      </c>
      <c r="CX8" s="14">
        <f>IF($C7&gt;0,SUMIFS(EDSR!$J:$J,EDSR!$A:$A,'Progress%'!$B7,EDSR!$L:$L,"&lt;="&amp;CX$6)*0.5+SUMIFS(EDSR!$J:$J,EDSR!$A:$A,'Progress%'!$B7,EDSR!$O:$O,"&lt;="&amp;CX$6)*0.2+SUMIFS(EDSR!$J:$J,EDSR!$A:$A,'Progress%'!$B7,EDSR!$R:$R,"&lt;="&amp;CX$6)*0.1+SUMIFS(EDSR!$J:$J,EDSR!$A:$A,'Progress%'!$B7,EDSR!$U:$U,"&lt;="&amp;CX$6)*0.2)/$C7</f>
        <v>0.90000000000000013</v>
      </c>
      <c r="CY8" s="14">
        <f>IF($C7&gt;0,SUMIFS(EDSR!$J:$J,EDSR!$A:$A,'Progress%'!$B7,EDSR!$L:$L,"&lt;="&amp;CY$6)*0.5+SUMIFS(EDSR!$J:$J,EDSR!$A:$A,'Progress%'!$B7,EDSR!$O:$O,"&lt;="&amp;CY$6)*0.2+SUMIFS(EDSR!$J:$J,EDSR!$A:$A,'Progress%'!$B7,EDSR!$R:$R,"&lt;="&amp;CY$6)*0.1+SUMIFS(EDSR!$J:$J,EDSR!$A:$A,'Progress%'!$B7,EDSR!$U:$U,"&lt;="&amp;CY$6)*0.2)/$C7</f>
        <v>0.90000000000000013</v>
      </c>
      <c r="CZ8" s="14">
        <f>IF($C7&gt;0,SUMIFS(EDSR!$J:$J,EDSR!$A:$A,'Progress%'!$B7,EDSR!$L:$L,"&lt;="&amp;CZ$6)*0.5+SUMIFS(EDSR!$J:$J,EDSR!$A:$A,'Progress%'!$B7,EDSR!$O:$O,"&lt;="&amp;CZ$6)*0.2+SUMIFS(EDSR!$J:$J,EDSR!$A:$A,'Progress%'!$B7,EDSR!$R:$R,"&lt;="&amp;CZ$6)*0.1+SUMIFS(EDSR!$J:$J,EDSR!$A:$A,'Progress%'!$B7,EDSR!$U:$U,"&lt;="&amp;CZ$6)*0.2)/$C7</f>
        <v>0.90000000000000013</v>
      </c>
      <c r="DA8" s="14">
        <f>IF($C7&gt;0,SUMIFS(EDSR!$J:$J,EDSR!$A:$A,'Progress%'!$B7,EDSR!$L:$L,"&lt;="&amp;DA$6)*0.5+SUMIFS(EDSR!$J:$J,EDSR!$A:$A,'Progress%'!$B7,EDSR!$O:$O,"&lt;="&amp;DA$6)*0.2+SUMIFS(EDSR!$J:$J,EDSR!$A:$A,'Progress%'!$B7,EDSR!$R:$R,"&lt;="&amp;DA$6)*0.1+SUMIFS(EDSR!$J:$J,EDSR!$A:$A,'Progress%'!$B7,EDSR!$U:$U,"&lt;="&amp;DA$6)*0.2)/$C7</f>
        <v>0.90000000000000013</v>
      </c>
      <c r="DB8" s="14">
        <f>IF($C7&gt;0,SUMIFS(EDSR!$J:$J,EDSR!$A:$A,'Progress%'!$B7,EDSR!$L:$L,"&lt;="&amp;DB$6)*0.5+SUMIFS(EDSR!$J:$J,EDSR!$A:$A,'Progress%'!$B7,EDSR!$O:$O,"&lt;="&amp;DB$6)*0.2+SUMIFS(EDSR!$J:$J,EDSR!$A:$A,'Progress%'!$B7,EDSR!$R:$R,"&lt;="&amp;DB$6)*0.1+SUMIFS(EDSR!$J:$J,EDSR!$A:$A,'Progress%'!$B7,EDSR!$U:$U,"&lt;="&amp;DB$6)*0.2)/$C7</f>
        <v>0.90000000000000013</v>
      </c>
      <c r="DC8" s="14">
        <f>IF($C7&gt;0,SUMIFS(EDSR!$J:$J,EDSR!$A:$A,'Progress%'!$B7,EDSR!$L:$L,"&lt;="&amp;DC$6)*0.5+SUMIFS(EDSR!$J:$J,EDSR!$A:$A,'Progress%'!$B7,EDSR!$O:$O,"&lt;="&amp;DC$6)*0.2+SUMIFS(EDSR!$J:$J,EDSR!$A:$A,'Progress%'!$B7,EDSR!$R:$R,"&lt;="&amp;DC$6)*0.1+SUMIFS(EDSR!$J:$J,EDSR!$A:$A,'Progress%'!$B7,EDSR!$U:$U,"&lt;="&amp;DC$6)*0.2)/$C7</f>
        <v>0.90000000000000013</v>
      </c>
      <c r="DD8" s="14">
        <f>IF($C7&gt;0,SUMIFS(EDSR!$J:$J,EDSR!$A:$A,'Progress%'!$B7,EDSR!$L:$L,"&lt;="&amp;DD$6)*0.5+SUMIFS(EDSR!$J:$J,EDSR!$A:$A,'Progress%'!$B7,EDSR!$O:$O,"&lt;="&amp;DD$6)*0.2+SUMIFS(EDSR!$J:$J,EDSR!$A:$A,'Progress%'!$B7,EDSR!$R:$R,"&lt;="&amp;DD$6)*0.1+SUMIFS(EDSR!$J:$J,EDSR!$A:$A,'Progress%'!$B7,EDSR!$U:$U,"&lt;="&amp;DD$6)*0.2)/$C7</f>
        <v>0.90000000000000013</v>
      </c>
      <c r="DE8" s="14">
        <f>IF($C7&gt;0,SUMIFS(EDSR!$J:$J,EDSR!$A:$A,'Progress%'!$B7,EDSR!$L:$L,"&lt;="&amp;DE$6)*0.5+SUMIFS(EDSR!$J:$J,EDSR!$A:$A,'Progress%'!$B7,EDSR!$O:$O,"&lt;="&amp;DE$6)*0.2+SUMIFS(EDSR!$J:$J,EDSR!$A:$A,'Progress%'!$B7,EDSR!$R:$R,"&lt;="&amp;DE$6)*0.1+SUMIFS(EDSR!$J:$J,EDSR!$A:$A,'Progress%'!$B7,EDSR!$U:$U,"&lt;="&amp;DE$6)*0.2)/$C7</f>
        <v>0.90000000000000013</v>
      </c>
      <c r="DF8" s="14">
        <f>IF($C7&gt;0,SUMIFS(EDSR!$J:$J,EDSR!$A:$A,'Progress%'!$B7,EDSR!$L:$L,"&lt;="&amp;DF$6)*0.5+SUMIFS(EDSR!$J:$J,EDSR!$A:$A,'Progress%'!$B7,EDSR!$O:$O,"&lt;="&amp;DF$6)*0.2+SUMIFS(EDSR!$J:$J,EDSR!$A:$A,'Progress%'!$B7,EDSR!$R:$R,"&lt;="&amp;DF$6)*0.1+SUMIFS(EDSR!$J:$J,EDSR!$A:$A,'Progress%'!$B7,EDSR!$U:$U,"&lt;="&amp;DF$6)*0.2)/$C7</f>
        <v>0.90000000000000013</v>
      </c>
      <c r="DG8" s="14">
        <f>IF($C7&gt;0,SUMIFS(EDSR!$J:$J,EDSR!$A:$A,'Progress%'!$B7,EDSR!$L:$L,"&lt;="&amp;DG$6)*0.5+SUMIFS(EDSR!$J:$J,EDSR!$A:$A,'Progress%'!$B7,EDSR!$O:$O,"&lt;="&amp;DG$6)*0.2+SUMIFS(EDSR!$J:$J,EDSR!$A:$A,'Progress%'!$B7,EDSR!$R:$R,"&lt;="&amp;DG$6)*0.1+SUMIFS(EDSR!$J:$J,EDSR!$A:$A,'Progress%'!$B7,EDSR!$U:$U,"&lt;="&amp;DG$6)*0.2)/$C7</f>
        <v>0.90000000000000013</v>
      </c>
      <c r="DH8" s="14">
        <f>IF($C7&gt;0,SUMIFS(EDSR!$J:$J,EDSR!$A:$A,'Progress%'!$B7,EDSR!$L:$L,"&lt;="&amp;DH$6)*0.5+SUMIFS(EDSR!$J:$J,EDSR!$A:$A,'Progress%'!$B7,EDSR!$O:$O,"&lt;="&amp;DH$6)*0.2+SUMIFS(EDSR!$J:$J,EDSR!$A:$A,'Progress%'!$B7,EDSR!$R:$R,"&lt;="&amp;DH$6)*0.1+SUMIFS(EDSR!$J:$J,EDSR!$A:$A,'Progress%'!$B7,EDSR!$U:$U,"&lt;="&amp;DH$6)*0.2)/$C7</f>
        <v>0.90000000000000013</v>
      </c>
      <c r="DI8" s="14">
        <f>IF($C7&gt;0,SUMIFS(EDSR!$J:$J,EDSR!$A:$A,'Progress%'!$B7,EDSR!$L:$L,"&lt;="&amp;DI$6)*0.5+SUMIFS(EDSR!$J:$J,EDSR!$A:$A,'Progress%'!$B7,EDSR!$O:$O,"&lt;="&amp;DI$6)*0.2+SUMIFS(EDSR!$J:$J,EDSR!$A:$A,'Progress%'!$B7,EDSR!$R:$R,"&lt;="&amp;DI$6)*0.1+SUMIFS(EDSR!$J:$J,EDSR!$A:$A,'Progress%'!$B7,EDSR!$U:$U,"&lt;="&amp;DI$6)*0.2)/$C7</f>
        <v>0.90000000000000013</v>
      </c>
      <c r="DJ8" s="14">
        <f>IF($C7&gt;0,SUMIFS(EDSR!$J:$J,EDSR!$A:$A,'Progress%'!$B7,EDSR!$L:$L,"&lt;="&amp;DJ$6)*0.5+SUMIFS(EDSR!$J:$J,EDSR!$A:$A,'Progress%'!$B7,EDSR!$O:$O,"&lt;="&amp;DJ$6)*0.2+SUMIFS(EDSR!$J:$J,EDSR!$A:$A,'Progress%'!$B7,EDSR!$R:$R,"&lt;="&amp;DJ$6)*0.1+SUMIFS(EDSR!$J:$J,EDSR!$A:$A,'Progress%'!$B7,EDSR!$U:$U,"&lt;="&amp;DJ$6)*0.2)/$C7</f>
        <v>0.90000000000000013</v>
      </c>
      <c r="DK8" s="14">
        <f>IF($C7&gt;0,SUMIFS(EDSR!$J:$J,EDSR!$A:$A,'Progress%'!$B7,EDSR!$L:$L,"&lt;="&amp;DK$6)*0.5+SUMIFS(EDSR!$J:$J,EDSR!$A:$A,'Progress%'!$B7,EDSR!$O:$O,"&lt;="&amp;DK$6)*0.2+SUMIFS(EDSR!$J:$J,EDSR!$A:$A,'Progress%'!$B7,EDSR!$R:$R,"&lt;="&amp;DK$6)*0.1+SUMIFS(EDSR!$J:$J,EDSR!$A:$A,'Progress%'!$B7,EDSR!$U:$U,"&lt;="&amp;DK$6)*0.2)/$C7</f>
        <v>0.90000000000000013</v>
      </c>
      <c r="DL8" s="14">
        <f>IF($C7&gt;0,SUMIFS(EDSR!$J:$J,EDSR!$A:$A,'Progress%'!$B7,EDSR!$L:$L,"&lt;="&amp;DL$6)*0.5+SUMIFS(EDSR!$J:$J,EDSR!$A:$A,'Progress%'!$B7,EDSR!$O:$O,"&lt;="&amp;DL$6)*0.2+SUMIFS(EDSR!$J:$J,EDSR!$A:$A,'Progress%'!$B7,EDSR!$R:$R,"&lt;="&amp;DL$6)*0.1+SUMIFS(EDSR!$J:$J,EDSR!$A:$A,'Progress%'!$B7,EDSR!$U:$U,"&lt;="&amp;DL$6)*0.2)/$C7</f>
        <v>0.90000000000000013</v>
      </c>
      <c r="DM8" s="14">
        <f>IF($C7&gt;0,SUMIFS(EDSR!$J:$J,EDSR!$A:$A,'Progress%'!$B7,EDSR!$L:$L,"&lt;="&amp;DM$6)*0.5+SUMIFS(EDSR!$J:$J,EDSR!$A:$A,'Progress%'!$B7,EDSR!$O:$O,"&lt;="&amp;DM$6)*0.2+SUMIFS(EDSR!$J:$J,EDSR!$A:$A,'Progress%'!$B7,EDSR!$R:$R,"&lt;="&amp;DM$6)*0.1+SUMIFS(EDSR!$J:$J,EDSR!$A:$A,'Progress%'!$B7,EDSR!$U:$U,"&lt;="&amp;DM$6)*0.2)/$C7</f>
        <v>0.90000000000000013</v>
      </c>
    </row>
    <row r="9" spans="1:117" x14ac:dyDescent="0.35">
      <c r="A9">
        <v>9</v>
      </c>
      <c r="B9" t="s">
        <v>61</v>
      </c>
      <c r="C9" s="60">
        <v>100</v>
      </c>
      <c r="D9" s="12">
        <v>1</v>
      </c>
      <c r="E9" s="13" t="s">
        <v>3</v>
      </c>
      <c r="F9" s="14">
        <f>IF($C9&gt;0,SUMIFS(EDSR!$J:$J,EDSR!$A:$A,'Progress%'!$B9,EDSR!$M:$M,"&lt;="&amp;F$6)*0.5+SUMIFS(EDSR!$J:$J,EDSR!$A:$A,'Progress%'!$B9,EDSR!$P:$P,"&lt;="&amp;F$6)*0.2+SUMIFS(EDSR!$J:$J,EDSR!$A:$A,'Progress%'!$B9,EDSR!$S:$S,"&lt;="&amp;F$6)*0.1+SUMIFS(EDSR!$J:$J,EDSR!$A:$A,'Progress%'!$B9,EDSR!$V:$V,"&lt;="&amp;F$6)*0.2)/$C9</f>
        <v>0</v>
      </c>
      <c r="G9" s="14">
        <f>IF($C9&gt;0,SUMIFS(EDSR!$J:$J,EDSR!$A:$A,'Progress%'!$B9,EDSR!$M:$M,"&lt;="&amp;G$6)*0.5+SUMIFS(EDSR!$J:$J,EDSR!$A:$A,'Progress%'!$B9,EDSR!$P:$P,"&lt;="&amp;G$6)*0.2+SUMIFS(EDSR!$J:$J,EDSR!$A:$A,'Progress%'!$B9,EDSR!$S:$S,"&lt;="&amp;G$6)*0.1+SUMIFS(EDSR!$J:$J,EDSR!$A:$A,'Progress%'!$B9,EDSR!$V:$V,"&lt;="&amp;G$6)*0.2)/$C9</f>
        <v>0</v>
      </c>
      <c r="H9" s="14">
        <f>IF($C9&gt;0,SUMIFS(EDSR!$J:$J,EDSR!$A:$A,'Progress%'!$B9,EDSR!$M:$M,"&lt;="&amp;H$6)*0.5+SUMIFS(EDSR!$J:$J,EDSR!$A:$A,'Progress%'!$B9,EDSR!$P:$P,"&lt;="&amp;H$6)*0.2+SUMIFS(EDSR!$J:$J,EDSR!$A:$A,'Progress%'!$B9,EDSR!$S:$S,"&lt;="&amp;H$6)*0.1+SUMIFS(EDSR!$J:$J,EDSR!$A:$A,'Progress%'!$B9,EDSR!$V:$V,"&lt;="&amp;H$6)*0.2)/$C9</f>
        <v>0</v>
      </c>
      <c r="I9" s="14">
        <f>IF($C9&gt;0,SUMIFS(EDSR!$J:$J,EDSR!$A:$A,'Progress%'!$B9,EDSR!$M:$M,"&lt;="&amp;I$6)*0.5+SUMIFS(EDSR!$J:$J,EDSR!$A:$A,'Progress%'!$B9,EDSR!$P:$P,"&lt;="&amp;I$6)*0.2+SUMIFS(EDSR!$J:$J,EDSR!$A:$A,'Progress%'!$B9,EDSR!$S:$S,"&lt;="&amp;I$6)*0.1+SUMIFS(EDSR!$J:$J,EDSR!$A:$A,'Progress%'!$B9,EDSR!$V:$V,"&lt;="&amp;I$6)*0.2)/$C9</f>
        <v>0.02</v>
      </c>
      <c r="J9" s="14">
        <f>IF($C9&gt;0,SUMIFS(EDSR!$J:$J,EDSR!$A:$A,'Progress%'!$B9,EDSR!$M:$M,"&lt;="&amp;J$6)*0.5+SUMIFS(EDSR!$J:$J,EDSR!$A:$A,'Progress%'!$B9,EDSR!$P:$P,"&lt;="&amp;J$6)*0.2+SUMIFS(EDSR!$J:$J,EDSR!$A:$A,'Progress%'!$B9,EDSR!$S:$S,"&lt;="&amp;J$6)*0.1+SUMIFS(EDSR!$J:$J,EDSR!$A:$A,'Progress%'!$B9,EDSR!$V:$V,"&lt;="&amp;J$6)*0.2)/$C9</f>
        <v>0.02</v>
      </c>
      <c r="K9" s="14">
        <f>IF($C9&gt;0,SUMIFS(EDSR!$J:$J,EDSR!$A:$A,'Progress%'!$B9,EDSR!$M:$M,"&lt;="&amp;K$6)*0.5+SUMIFS(EDSR!$J:$J,EDSR!$A:$A,'Progress%'!$B9,EDSR!$P:$P,"&lt;="&amp;K$6)*0.2+SUMIFS(EDSR!$J:$J,EDSR!$A:$A,'Progress%'!$B9,EDSR!$S:$S,"&lt;="&amp;K$6)*0.1+SUMIFS(EDSR!$J:$J,EDSR!$A:$A,'Progress%'!$B9,EDSR!$V:$V,"&lt;="&amp;K$6)*0.2)/$C9</f>
        <v>6.1250000000000034E-2</v>
      </c>
      <c r="L9" s="14">
        <f>IF($C9&gt;0,SUMIFS(EDSR!$J:$J,EDSR!$A:$A,'Progress%'!$B9,EDSR!$M:$M,"&lt;="&amp;L$6)*0.5+SUMIFS(EDSR!$J:$J,EDSR!$A:$A,'Progress%'!$B9,EDSR!$P:$P,"&lt;="&amp;L$6)*0.2+SUMIFS(EDSR!$J:$J,EDSR!$A:$A,'Progress%'!$B9,EDSR!$S:$S,"&lt;="&amp;L$6)*0.1+SUMIFS(EDSR!$J:$J,EDSR!$A:$A,'Progress%'!$B9,EDSR!$V:$V,"&lt;="&amp;L$6)*0.2)/$C9</f>
        <v>0.11124999999999989</v>
      </c>
      <c r="M9" s="14">
        <f>IF($C9&gt;0,SUMIFS(EDSR!$J:$J,EDSR!$A:$A,'Progress%'!$B9,EDSR!$M:$M,"&lt;="&amp;M$6)*0.5+SUMIFS(EDSR!$J:$J,EDSR!$A:$A,'Progress%'!$B9,EDSR!$P:$P,"&lt;="&amp;M$6)*0.2+SUMIFS(EDSR!$J:$J,EDSR!$A:$A,'Progress%'!$B9,EDSR!$S:$S,"&lt;="&amp;M$6)*0.1+SUMIFS(EDSR!$J:$J,EDSR!$A:$A,'Progress%'!$B9,EDSR!$V:$V,"&lt;="&amp;M$6)*0.2)/$C9</f>
        <v>0.13449999999999968</v>
      </c>
      <c r="N9" s="14">
        <f>IF($C9&gt;0,SUMIFS(EDSR!$J:$J,EDSR!$A:$A,'Progress%'!$B9,EDSR!$M:$M,"&lt;="&amp;N$6)*0.5+SUMIFS(EDSR!$J:$J,EDSR!$A:$A,'Progress%'!$B9,EDSR!$P:$P,"&lt;="&amp;N$6)*0.2+SUMIFS(EDSR!$J:$J,EDSR!$A:$A,'Progress%'!$B9,EDSR!$S:$S,"&lt;="&amp;N$6)*0.1+SUMIFS(EDSR!$J:$J,EDSR!$A:$A,'Progress%'!$B9,EDSR!$V:$V,"&lt;="&amp;N$6)*0.2)/$C9</f>
        <v>0.15449999999999967</v>
      </c>
      <c r="O9" s="14">
        <f>IF($C9&gt;0,SUMIFS(EDSR!$J:$J,EDSR!$A:$A,'Progress%'!$B9,EDSR!$M:$M,"&lt;="&amp;O$6)*0.5+SUMIFS(EDSR!$J:$J,EDSR!$A:$A,'Progress%'!$B9,EDSR!$P:$P,"&lt;="&amp;O$6)*0.2+SUMIFS(EDSR!$J:$J,EDSR!$A:$A,'Progress%'!$B9,EDSR!$S:$S,"&lt;="&amp;O$6)*0.1+SUMIFS(EDSR!$J:$J,EDSR!$A:$A,'Progress%'!$B9,EDSR!$V:$V,"&lt;="&amp;O$6)*0.2)/$C9</f>
        <v>0.18849999999999958</v>
      </c>
      <c r="P9" s="14">
        <f>IF($C9&gt;0,SUMIFS(EDSR!$J:$J,EDSR!$A:$A,'Progress%'!$B9,EDSR!$M:$M,"&lt;="&amp;P$6)*0.5+SUMIFS(EDSR!$J:$J,EDSR!$A:$A,'Progress%'!$B9,EDSR!$P:$P,"&lt;="&amp;P$6)*0.2+SUMIFS(EDSR!$J:$J,EDSR!$A:$A,'Progress%'!$B9,EDSR!$S:$S,"&lt;="&amp;P$6)*0.1+SUMIFS(EDSR!$J:$J,EDSR!$A:$A,'Progress%'!$B9,EDSR!$V:$V,"&lt;="&amp;P$6)*0.2)/$C9</f>
        <v>0.23774999999999971</v>
      </c>
      <c r="Q9" s="14">
        <f>IF($C9&gt;0,SUMIFS(EDSR!$J:$J,EDSR!$A:$A,'Progress%'!$B9,EDSR!$M:$M,"&lt;="&amp;Q$6)*0.5+SUMIFS(EDSR!$J:$J,EDSR!$A:$A,'Progress%'!$B9,EDSR!$P:$P,"&lt;="&amp;Q$6)*0.2+SUMIFS(EDSR!$J:$J,EDSR!$A:$A,'Progress%'!$B9,EDSR!$S:$S,"&lt;="&amp;Q$6)*0.1+SUMIFS(EDSR!$J:$J,EDSR!$A:$A,'Progress%'!$B9,EDSR!$V:$V,"&lt;="&amp;Q$6)*0.2)/$C9</f>
        <v>0.26749999999999985</v>
      </c>
      <c r="R9" s="14">
        <f>IF($C9&gt;0,SUMIFS(EDSR!$J:$J,EDSR!$A:$A,'Progress%'!$B9,EDSR!$M:$M,"&lt;="&amp;R$6)*0.5+SUMIFS(EDSR!$J:$J,EDSR!$A:$A,'Progress%'!$B9,EDSR!$P:$P,"&lt;="&amp;R$6)*0.2+SUMIFS(EDSR!$J:$J,EDSR!$A:$A,'Progress%'!$B9,EDSR!$S:$S,"&lt;="&amp;R$6)*0.1+SUMIFS(EDSR!$J:$J,EDSR!$A:$A,'Progress%'!$B9,EDSR!$V:$V,"&lt;="&amp;R$6)*0.2)/$C9</f>
        <v>0.3381499999999999</v>
      </c>
      <c r="S9" s="14">
        <f>IF($C9&gt;0,SUMIFS(EDSR!$J:$J,EDSR!$A:$A,'Progress%'!$B9,EDSR!$M:$M,"&lt;="&amp;S$6)*0.5+SUMIFS(EDSR!$J:$J,EDSR!$A:$A,'Progress%'!$B9,EDSR!$P:$P,"&lt;="&amp;S$6)*0.2+SUMIFS(EDSR!$J:$J,EDSR!$A:$A,'Progress%'!$B9,EDSR!$S:$S,"&lt;="&amp;S$6)*0.1+SUMIFS(EDSR!$J:$J,EDSR!$A:$A,'Progress%'!$B9,EDSR!$V:$V,"&lt;="&amp;S$6)*0.2)/$C9</f>
        <v>0.40154999999999952</v>
      </c>
      <c r="T9" s="14">
        <f>IF($C9&gt;0,SUMIFS(EDSR!$J:$J,EDSR!$A:$A,'Progress%'!$B9,EDSR!$M:$M,"&lt;="&amp;T$6)*0.5+SUMIFS(EDSR!$J:$J,EDSR!$A:$A,'Progress%'!$B9,EDSR!$P:$P,"&lt;="&amp;T$6)*0.2+SUMIFS(EDSR!$J:$J,EDSR!$A:$A,'Progress%'!$B9,EDSR!$S:$S,"&lt;="&amp;T$6)*0.1+SUMIFS(EDSR!$J:$J,EDSR!$A:$A,'Progress%'!$B9,EDSR!$V:$V,"&lt;="&amp;T$6)*0.2)/$C9</f>
        <v>0.44224999999999853</v>
      </c>
      <c r="U9" s="14">
        <f>IF($C9&gt;0,SUMIFS(EDSR!$J:$J,EDSR!$A:$A,'Progress%'!$B9,EDSR!$M:$M,"&lt;="&amp;U$6)*0.5+SUMIFS(EDSR!$J:$J,EDSR!$A:$A,'Progress%'!$B9,EDSR!$P:$P,"&lt;="&amp;U$6)*0.2+SUMIFS(EDSR!$J:$J,EDSR!$A:$A,'Progress%'!$B9,EDSR!$S:$S,"&lt;="&amp;U$6)*0.1+SUMIFS(EDSR!$J:$J,EDSR!$A:$A,'Progress%'!$B9,EDSR!$V:$V,"&lt;="&amp;U$6)*0.2)/$C9</f>
        <v>0.47714999999999996</v>
      </c>
      <c r="V9" s="14">
        <f>IF($C9&gt;0,SUMIFS(EDSR!$J:$J,EDSR!$A:$A,'Progress%'!$B9,EDSR!$M:$M,"&lt;="&amp;V$6)*0.5+SUMIFS(EDSR!$J:$J,EDSR!$A:$A,'Progress%'!$B9,EDSR!$P:$P,"&lt;="&amp;V$6)*0.2+SUMIFS(EDSR!$J:$J,EDSR!$A:$A,'Progress%'!$B9,EDSR!$S:$S,"&lt;="&amp;V$6)*0.1+SUMIFS(EDSR!$J:$J,EDSR!$A:$A,'Progress%'!$B9,EDSR!$V:$V,"&lt;="&amp;V$6)*0.2)/$C9</f>
        <v>0.49165000000000048</v>
      </c>
      <c r="W9" s="14">
        <f>IF($C9&gt;0,SUMIFS(EDSR!$J:$J,EDSR!$A:$A,'Progress%'!$B9,EDSR!$M:$M,"&lt;="&amp;W$6)*0.5+SUMIFS(EDSR!$J:$J,EDSR!$A:$A,'Progress%'!$B9,EDSR!$P:$P,"&lt;="&amp;W$6)*0.2+SUMIFS(EDSR!$J:$J,EDSR!$A:$A,'Progress%'!$B9,EDSR!$S:$S,"&lt;="&amp;W$6)*0.1+SUMIFS(EDSR!$J:$J,EDSR!$A:$A,'Progress%'!$B9,EDSR!$V:$V,"&lt;="&amp;W$6)*0.2)/$C9</f>
        <v>0.54065000000000052</v>
      </c>
      <c r="X9" s="14">
        <f>IF($C9&gt;0,SUMIFS(EDSR!$J:$J,EDSR!$A:$A,'Progress%'!$B9,EDSR!$M:$M,"&lt;="&amp;X$6)*0.5+SUMIFS(EDSR!$J:$J,EDSR!$A:$A,'Progress%'!$B9,EDSR!$P:$P,"&lt;="&amp;X$6)*0.2+SUMIFS(EDSR!$J:$J,EDSR!$A:$A,'Progress%'!$B9,EDSR!$S:$S,"&lt;="&amp;X$6)*0.1+SUMIFS(EDSR!$J:$J,EDSR!$A:$A,'Progress%'!$B9,EDSR!$V:$V,"&lt;="&amp;X$6)*0.2)/$C9</f>
        <v>0.59410000000000052</v>
      </c>
      <c r="Y9" s="14">
        <f>IF($C9&gt;0,SUMIFS(EDSR!$J:$J,EDSR!$A:$A,'Progress%'!$B9,EDSR!$M:$M,"&lt;="&amp;Y$6)*0.5+SUMIFS(EDSR!$J:$J,EDSR!$A:$A,'Progress%'!$B9,EDSR!$P:$P,"&lt;="&amp;Y$6)*0.2+SUMIFS(EDSR!$J:$J,EDSR!$A:$A,'Progress%'!$B9,EDSR!$S:$S,"&lt;="&amp;Y$6)*0.1+SUMIFS(EDSR!$J:$J,EDSR!$A:$A,'Progress%'!$B9,EDSR!$V:$V,"&lt;="&amp;Y$6)*0.2)/$C9</f>
        <v>0.62460000000000027</v>
      </c>
      <c r="Z9" s="14">
        <f>IF($C9&gt;0,SUMIFS(EDSR!$J:$J,EDSR!$A:$A,'Progress%'!$B9,EDSR!$M:$M,"&lt;="&amp;Z$6)*0.5+SUMIFS(EDSR!$J:$J,EDSR!$A:$A,'Progress%'!$B9,EDSR!$P:$P,"&lt;="&amp;Z$6)*0.2+SUMIFS(EDSR!$J:$J,EDSR!$A:$A,'Progress%'!$B9,EDSR!$S:$S,"&lt;="&amp;Z$6)*0.1+SUMIFS(EDSR!$J:$J,EDSR!$A:$A,'Progress%'!$B9,EDSR!$V:$V,"&lt;="&amp;Z$6)*0.2)/$C9</f>
        <v>0.65085000000000037</v>
      </c>
      <c r="AA9" s="14">
        <f>IF($C9&gt;0,SUMIFS(EDSR!$J:$J,EDSR!$A:$A,'Progress%'!$B9,EDSR!$M:$M,"&lt;="&amp;AA$6)*0.5+SUMIFS(EDSR!$J:$J,EDSR!$A:$A,'Progress%'!$B9,EDSR!$P:$P,"&lt;="&amp;AA$6)*0.2+SUMIFS(EDSR!$J:$J,EDSR!$A:$A,'Progress%'!$B9,EDSR!$S:$S,"&lt;="&amp;AA$6)*0.1+SUMIFS(EDSR!$J:$J,EDSR!$A:$A,'Progress%'!$B9,EDSR!$V:$V,"&lt;="&amp;AA$6)*0.2)/$C9</f>
        <v>0.67210000000000036</v>
      </c>
      <c r="AB9" s="14">
        <f>IF($C9&gt;0,SUMIFS(EDSR!$J:$J,EDSR!$A:$A,'Progress%'!$B9,EDSR!$M:$M,"&lt;="&amp;AB$6)*0.5+SUMIFS(EDSR!$J:$J,EDSR!$A:$A,'Progress%'!$B9,EDSR!$P:$P,"&lt;="&amp;AB$6)*0.2+SUMIFS(EDSR!$J:$J,EDSR!$A:$A,'Progress%'!$B9,EDSR!$S:$S,"&lt;="&amp;AB$6)*0.1+SUMIFS(EDSR!$J:$J,EDSR!$A:$A,'Progress%'!$B9,EDSR!$V:$V,"&lt;="&amp;AB$6)*0.2)/$C9</f>
        <v>0.67210000000000036</v>
      </c>
      <c r="AC9" s="14">
        <f>IF($C9&gt;0,SUMIFS(EDSR!$J:$J,EDSR!$A:$A,'Progress%'!$B9,EDSR!$M:$M,"&lt;="&amp;AC$6)*0.5+SUMIFS(EDSR!$J:$J,EDSR!$A:$A,'Progress%'!$B9,EDSR!$P:$P,"&lt;="&amp;AC$6)*0.2+SUMIFS(EDSR!$J:$J,EDSR!$A:$A,'Progress%'!$B9,EDSR!$S:$S,"&lt;="&amp;AC$6)*0.1+SUMIFS(EDSR!$J:$J,EDSR!$A:$A,'Progress%'!$B9,EDSR!$V:$V,"&lt;="&amp;AC$6)*0.2)/$C9</f>
        <v>0.67210000000000036</v>
      </c>
      <c r="AD9" s="14">
        <f>IF($C9&gt;0,SUMIFS(EDSR!$J:$J,EDSR!$A:$A,'Progress%'!$B9,EDSR!$M:$M,"&lt;="&amp;AD$6)*0.5+SUMIFS(EDSR!$J:$J,EDSR!$A:$A,'Progress%'!$B9,EDSR!$P:$P,"&lt;="&amp;AD$6)*0.2+SUMIFS(EDSR!$J:$J,EDSR!$A:$A,'Progress%'!$B9,EDSR!$S:$S,"&lt;="&amp;AD$6)*0.1+SUMIFS(EDSR!$J:$J,EDSR!$A:$A,'Progress%'!$B9,EDSR!$V:$V,"&lt;="&amp;AD$6)*0.2)/$C9</f>
        <v>0.67210000000000036</v>
      </c>
      <c r="AE9" s="14">
        <f>IF($C9&gt;0,SUMIFS(EDSR!$J:$J,EDSR!$A:$A,'Progress%'!$B9,EDSR!$M:$M,"&lt;="&amp;AE$6)*0.5+SUMIFS(EDSR!$J:$J,EDSR!$A:$A,'Progress%'!$B9,EDSR!$P:$P,"&lt;="&amp;AE$6)*0.2+SUMIFS(EDSR!$J:$J,EDSR!$A:$A,'Progress%'!$B9,EDSR!$S:$S,"&lt;="&amp;AE$6)*0.1+SUMIFS(EDSR!$J:$J,EDSR!$A:$A,'Progress%'!$B9,EDSR!$V:$V,"&lt;="&amp;AE$6)*0.2)/$C9</f>
        <v>0.67210000000000036</v>
      </c>
      <c r="AF9" s="14">
        <f>IF($C9&gt;0,SUMIFS(EDSR!$J:$J,EDSR!$A:$A,'Progress%'!$B9,EDSR!$M:$M,"&lt;="&amp;AF$6)*0.5+SUMIFS(EDSR!$J:$J,EDSR!$A:$A,'Progress%'!$B9,EDSR!$P:$P,"&lt;="&amp;AF$6)*0.2+SUMIFS(EDSR!$J:$J,EDSR!$A:$A,'Progress%'!$B9,EDSR!$S:$S,"&lt;="&amp;AF$6)*0.1+SUMIFS(EDSR!$J:$J,EDSR!$A:$A,'Progress%'!$B9,EDSR!$V:$V,"&lt;="&amp;AF$6)*0.2)/$C9</f>
        <v>0.67210000000000036</v>
      </c>
      <c r="AG9" s="14">
        <f>IF($C9&gt;0,SUMIFS(EDSR!$J:$J,EDSR!$A:$A,'Progress%'!$B9,EDSR!$M:$M,"&lt;="&amp;AG$6)*0.5+SUMIFS(EDSR!$J:$J,EDSR!$A:$A,'Progress%'!$B9,EDSR!$P:$P,"&lt;="&amp;AG$6)*0.2+SUMIFS(EDSR!$J:$J,EDSR!$A:$A,'Progress%'!$B9,EDSR!$S:$S,"&lt;="&amp;AG$6)*0.1+SUMIFS(EDSR!$J:$J,EDSR!$A:$A,'Progress%'!$B9,EDSR!$V:$V,"&lt;="&amp;AG$6)*0.2)/$C9</f>
        <v>0.67210000000000036</v>
      </c>
      <c r="AH9" s="14">
        <f>IF($C9&gt;0,SUMIFS(EDSR!$J:$J,EDSR!$A:$A,'Progress%'!$B9,EDSR!$M:$M,"&lt;="&amp;AH$6)*0.5+SUMIFS(EDSR!$J:$J,EDSR!$A:$A,'Progress%'!$B9,EDSR!$P:$P,"&lt;="&amp;AH$6)*0.2+SUMIFS(EDSR!$J:$J,EDSR!$A:$A,'Progress%'!$B9,EDSR!$S:$S,"&lt;="&amp;AH$6)*0.1+SUMIFS(EDSR!$J:$J,EDSR!$A:$A,'Progress%'!$B9,EDSR!$V:$V,"&lt;="&amp;AH$6)*0.2)/$C9</f>
        <v>0.67210000000000036</v>
      </c>
      <c r="AI9" s="14">
        <f>IF($C9&gt;0,SUMIFS(EDSR!$J:$J,EDSR!$A:$A,'Progress%'!$B9,EDSR!$M:$M,"&lt;="&amp;AI$6)*0.5+SUMIFS(EDSR!$J:$J,EDSR!$A:$A,'Progress%'!$B9,EDSR!$P:$P,"&lt;="&amp;AI$6)*0.2+SUMIFS(EDSR!$J:$J,EDSR!$A:$A,'Progress%'!$B9,EDSR!$S:$S,"&lt;="&amp;AI$6)*0.1+SUMIFS(EDSR!$J:$J,EDSR!$A:$A,'Progress%'!$B9,EDSR!$V:$V,"&lt;="&amp;AI$6)*0.2)/$C9</f>
        <v>0.67210000000000036</v>
      </c>
      <c r="AJ9" s="14">
        <f>IF($C9&gt;0,SUMIFS(EDSR!$J:$J,EDSR!$A:$A,'Progress%'!$B9,EDSR!$M:$M,"&lt;="&amp;AJ$6)*0.5+SUMIFS(EDSR!$J:$J,EDSR!$A:$A,'Progress%'!$B9,EDSR!$P:$P,"&lt;="&amp;AJ$6)*0.2+SUMIFS(EDSR!$J:$J,EDSR!$A:$A,'Progress%'!$B9,EDSR!$S:$S,"&lt;="&amp;AJ$6)*0.1+SUMIFS(EDSR!$J:$J,EDSR!$A:$A,'Progress%'!$B9,EDSR!$V:$V,"&lt;="&amp;AJ$6)*0.2)/$C9</f>
        <v>0.67210000000000036</v>
      </c>
      <c r="AK9" s="14">
        <f>IF($C9&gt;0,SUMIFS(EDSR!$J:$J,EDSR!$A:$A,'Progress%'!$B9,EDSR!$M:$M,"&lt;="&amp;AK$6)*0.5+SUMIFS(EDSR!$J:$J,EDSR!$A:$A,'Progress%'!$B9,EDSR!$P:$P,"&lt;="&amp;AK$6)*0.2+SUMIFS(EDSR!$J:$J,EDSR!$A:$A,'Progress%'!$B9,EDSR!$S:$S,"&lt;="&amp;AK$6)*0.1+SUMIFS(EDSR!$J:$J,EDSR!$A:$A,'Progress%'!$B9,EDSR!$V:$V,"&lt;="&amp;AK$6)*0.2)/$C9</f>
        <v>0.67210000000000036</v>
      </c>
      <c r="AL9" s="14">
        <f>IF($C9&gt;0,SUMIFS(EDSR!$J:$J,EDSR!$A:$A,'Progress%'!$B9,EDSR!$M:$M,"&lt;="&amp;AL$6)*0.5+SUMIFS(EDSR!$J:$J,EDSR!$A:$A,'Progress%'!$B9,EDSR!$P:$P,"&lt;="&amp;AL$6)*0.2+SUMIFS(EDSR!$J:$J,EDSR!$A:$A,'Progress%'!$B9,EDSR!$S:$S,"&lt;="&amp;AL$6)*0.1+SUMIFS(EDSR!$J:$J,EDSR!$A:$A,'Progress%'!$B9,EDSR!$V:$V,"&lt;="&amp;AL$6)*0.2)/$C9</f>
        <v>0.67210000000000036</v>
      </c>
      <c r="AM9" s="14">
        <f>IF($C9&gt;0,SUMIFS(EDSR!$J:$J,EDSR!$A:$A,'Progress%'!$B9,EDSR!$M:$M,"&lt;="&amp;AM$6)*0.5+SUMIFS(EDSR!$J:$J,EDSR!$A:$A,'Progress%'!$B9,EDSR!$P:$P,"&lt;="&amp;AM$6)*0.2+SUMIFS(EDSR!$J:$J,EDSR!$A:$A,'Progress%'!$B9,EDSR!$S:$S,"&lt;="&amp;AM$6)*0.1+SUMIFS(EDSR!$J:$J,EDSR!$A:$A,'Progress%'!$B9,EDSR!$V:$V,"&lt;="&amp;AM$6)*0.2)/$C9</f>
        <v>0.67210000000000036</v>
      </c>
      <c r="AN9" s="14">
        <f>IF($C9&gt;0,SUMIFS(EDSR!$J:$J,EDSR!$A:$A,'Progress%'!$B9,EDSR!$M:$M,"&lt;="&amp;AN$6)*0.5+SUMIFS(EDSR!$J:$J,EDSR!$A:$A,'Progress%'!$B9,EDSR!$P:$P,"&lt;="&amp;AN$6)*0.2+SUMIFS(EDSR!$J:$J,EDSR!$A:$A,'Progress%'!$B9,EDSR!$S:$S,"&lt;="&amp;AN$6)*0.1+SUMIFS(EDSR!$J:$J,EDSR!$A:$A,'Progress%'!$B9,EDSR!$V:$V,"&lt;="&amp;AN$6)*0.2)/$C9</f>
        <v>0.67210000000000036</v>
      </c>
      <c r="AO9" s="14">
        <f>IF($C9&gt;0,SUMIFS(EDSR!$J:$J,EDSR!$A:$A,'Progress%'!$B9,EDSR!$M:$M,"&lt;="&amp;AO$6)*0.5+SUMIFS(EDSR!$J:$J,EDSR!$A:$A,'Progress%'!$B9,EDSR!$P:$P,"&lt;="&amp;AO$6)*0.2+SUMIFS(EDSR!$J:$J,EDSR!$A:$A,'Progress%'!$B9,EDSR!$S:$S,"&lt;="&amp;AO$6)*0.1+SUMIFS(EDSR!$J:$J,EDSR!$A:$A,'Progress%'!$B9,EDSR!$V:$V,"&lt;="&amp;AO$6)*0.2)/$C9</f>
        <v>0.67210000000000036</v>
      </c>
      <c r="AP9" s="14">
        <f>IF($C9&gt;0,SUMIFS(EDSR!$J:$J,EDSR!$A:$A,'Progress%'!$B9,EDSR!$M:$M,"&lt;="&amp;AP$6)*0.5+SUMIFS(EDSR!$J:$J,EDSR!$A:$A,'Progress%'!$B9,EDSR!$P:$P,"&lt;="&amp;AP$6)*0.2+SUMIFS(EDSR!$J:$J,EDSR!$A:$A,'Progress%'!$B9,EDSR!$S:$S,"&lt;="&amp;AP$6)*0.1+SUMIFS(EDSR!$J:$J,EDSR!$A:$A,'Progress%'!$B9,EDSR!$V:$V,"&lt;="&amp;AP$6)*0.2)/$C9</f>
        <v>0.67210000000000036</v>
      </c>
      <c r="AQ9" s="14">
        <f>IF($C9&gt;0,SUMIFS(EDSR!$J:$J,EDSR!$A:$A,'Progress%'!$B9,EDSR!$M:$M,"&lt;="&amp;AQ$6)*0.5+SUMIFS(EDSR!$J:$J,EDSR!$A:$A,'Progress%'!$B9,EDSR!$P:$P,"&lt;="&amp;AQ$6)*0.2+SUMIFS(EDSR!$J:$J,EDSR!$A:$A,'Progress%'!$B9,EDSR!$S:$S,"&lt;="&amp;AQ$6)*0.1+SUMIFS(EDSR!$J:$J,EDSR!$A:$A,'Progress%'!$B9,EDSR!$V:$V,"&lt;="&amp;AQ$6)*0.2)/$C9</f>
        <v>0.67210000000000036</v>
      </c>
      <c r="AR9" s="14">
        <f>IF($C9&gt;0,SUMIFS(EDSR!$J:$J,EDSR!$A:$A,'Progress%'!$B9,EDSR!$M:$M,"&lt;="&amp;AR$6)*0.5+SUMIFS(EDSR!$J:$J,EDSR!$A:$A,'Progress%'!$B9,EDSR!$P:$P,"&lt;="&amp;AR$6)*0.2+SUMIFS(EDSR!$J:$J,EDSR!$A:$A,'Progress%'!$B9,EDSR!$S:$S,"&lt;="&amp;AR$6)*0.1+SUMIFS(EDSR!$J:$J,EDSR!$A:$A,'Progress%'!$B9,EDSR!$V:$V,"&lt;="&amp;AR$6)*0.2)/$C9</f>
        <v>0.67210000000000036</v>
      </c>
      <c r="AS9" s="14">
        <f>IF($C9&gt;0,SUMIFS(EDSR!$J:$J,EDSR!$A:$A,'Progress%'!$B9,EDSR!$M:$M,"&lt;="&amp;AS$6)*0.5+SUMIFS(EDSR!$J:$J,EDSR!$A:$A,'Progress%'!$B9,EDSR!$P:$P,"&lt;="&amp;AS$6)*0.2+SUMIFS(EDSR!$J:$J,EDSR!$A:$A,'Progress%'!$B9,EDSR!$S:$S,"&lt;="&amp;AS$6)*0.1+SUMIFS(EDSR!$J:$J,EDSR!$A:$A,'Progress%'!$B9,EDSR!$V:$V,"&lt;="&amp;AS$6)*0.2)/$C9</f>
        <v>0.67210000000000036</v>
      </c>
      <c r="AT9" s="14">
        <f>IF($C9&gt;0,SUMIFS(EDSR!$J:$J,EDSR!$A:$A,'Progress%'!$B9,EDSR!$M:$M,"&lt;="&amp;AT$6)*0.5+SUMIFS(EDSR!$J:$J,EDSR!$A:$A,'Progress%'!$B9,EDSR!$P:$P,"&lt;="&amp;AT$6)*0.2+SUMIFS(EDSR!$J:$J,EDSR!$A:$A,'Progress%'!$B9,EDSR!$S:$S,"&lt;="&amp;AT$6)*0.1+SUMIFS(EDSR!$J:$J,EDSR!$A:$A,'Progress%'!$B9,EDSR!$V:$V,"&lt;="&amp;AT$6)*0.2)/$C9</f>
        <v>0.67210000000000036</v>
      </c>
      <c r="AU9" s="14">
        <f>IF($C9&gt;0,SUMIFS(EDSR!$J:$J,EDSR!$A:$A,'Progress%'!$B9,EDSR!$M:$M,"&lt;="&amp;AU$6)*0.5+SUMIFS(EDSR!$J:$J,EDSR!$A:$A,'Progress%'!$B9,EDSR!$P:$P,"&lt;="&amp;AU$6)*0.2+SUMIFS(EDSR!$J:$J,EDSR!$A:$A,'Progress%'!$B9,EDSR!$S:$S,"&lt;="&amp;AU$6)*0.1+SUMIFS(EDSR!$J:$J,EDSR!$A:$A,'Progress%'!$B9,EDSR!$V:$V,"&lt;="&amp;AU$6)*0.2)/$C9</f>
        <v>0.67210000000000036</v>
      </c>
      <c r="AV9" s="14">
        <f>IF($C9&gt;0,SUMIFS(EDSR!$J:$J,EDSR!$A:$A,'Progress%'!$B9,EDSR!$M:$M,"&lt;="&amp;AV$6)*0.5+SUMIFS(EDSR!$J:$J,EDSR!$A:$A,'Progress%'!$B9,EDSR!$P:$P,"&lt;="&amp;AV$6)*0.2+SUMIFS(EDSR!$J:$J,EDSR!$A:$A,'Progress%'!$B9,EDSR!$S:$S,"&lt;="&amp;AV$6)*0.1+SUMIFS(EDSR!$J:$J,EDSR!$A:$A,'Progress%'!$B9,EDSR!$V:$V,"&lt;="&amp;AV$6)*0.2)/$C9</f>
        <v>0.67210000000000036</v>
      </c>
      <c r="AW9" s="14">
        <f>IF($C9&gt;0,SUMIFS(EDSR!$J:$J,EDSR!$A:$A,'Progress%'!$B9,EDSR!$M:$M,"&lt;="&amp;AW$6)*0.5+SUMIFS(EDSR!$J:$J,EDSR!$A:$A,'Progress%'!$B9,EDSR!$P:$P,"&lt;="&amp;AW$6)*0.2+SUMIFS(EDSR!$J:$J,EDSR!$A:$A,'Progress%'!$B9,EDSR!$S:$S,"&lt;="&amp;AW$6)*0.1+SUMIFS(EDSR!$J:$J,EDSR!$A:$A,'Progress%'!$B9,EDSR!$V:$V,"&lt;="&amp;AW$6)*0.2)/$C9</f>
        <v>0.67210000000000036</v>
      </c>
      <c r="AX9" s="14">
        <f>IF($C9&gt;0,SUMIFS(EDSR!$J:$J,EDSR!$A:$A,'Progress%'!$B9,EDSR!$M:$M,"&lt;="&amp;AX$6)*0.5+SUMIFS(EDSR!$J:$J,EDSR!$A:$A,'Progress%'!$B9,EDSR!$P:$P,"&lt;="&amp;AX$6)*0.2+SUMIFS(EDSR!$J:$J,EDSR!$A:$A,'Progress%'!$B9,EDSR!$S:$S,"&lt;="&amp;AX$6)*0.1+SUMIFS(EDSR!$J:$J,EDSR!$A:$A,'Progress%'!$B9,EDSR!$V:$V,"&lt;="&amp;AX$6)*0.2)/$C9</f>
        <v>0.67210000000000036</v>
      </c>
      <c r="AY9" s="14">
        <f>IF($C9&gt;0,SUMIFS(EDSR!$J:$J,EDSR!$A:$A,'Progress%'!$B9,EDSR!$M:$M,"&lt;="&amp;AY$6)*0.5+SUMIFS(EDSR!$J:$J,EDSR!$A:$A,'Progress%'!$B9,EDSR!$P:$P,"&lt;="&amp;AY$6)*0.2+SUMIFS(EDSR!$J:$J,EDSR!$A:$A,'Progress%'!$B9,EDSR!$S:$S,"&lt;="&amp;AY$6)*0.1+SUMIFS(EDSR!$J:$J,EDSR!$A:$A,'Progress%'!$B9,EDSR!$V:$V,"&lt;="&amp;AY$6)*0.2)/$C9</f>
        <v>0.67210000000000036</v>
      </c>
      <c r="AZ9" s="14">
        <f>IF($C9&gt;0,SUMIFS(EDSR!$J:$J,EDSR!$A:$A,'Progress%'!$B9,EDSR!$M:$M,"&lt;="&amp;AZ$6)*0.5+SUMIFS(EDSR!$J:$J,EDSR!$A:$A,'Progress%'!$B9,EDSR!$P:$P,"&lt;="&amp;AZ$6)*0.2+SUMIFS(EDSR!$J:$J,EDSR!$A:$A,'Progress%'!$B9,EDSR!$S:$S,"&lt;="&amp;AZ$6)*0.1+SUMIFS(EDSR!$J:$J,EDSR!$A:$A,'Progress%'!$B9,EDSR!$V:$V,"&lt;="&amp;AZ$6)*0.2)/$C9</f>
        <v>0.67210000000000036</v>
      </c>
      <c r="BA9" s="14">
        <f>IF($C9&gt;0,SUMIFS(EDSR!$J:$J,EDSR!$A:$A,'Progress%'!$B9,EDSR!$M:$M,"&lt;="&amp;BA$6)*0.5+SUMIFS(EDSR!$J:$J,EDSR!$A:$A,'Progress%'!$B9,EDSR!$P:$P,"&lt;="&amp;BA$6)*0.2+SUMIFS(EDSR!$J:$J,EDSR!$A:$A,'Progress%'!$B9,EDSR!$S:$S,"&lt;="&amp;BA$6)*0.1+SUMIFS(EDSR!$J:$J,EDSR!$A:$A,'Progress%'!$B9,EDSR!$V:$V,"&lt;="&amp;BA$6)*0.2)/$C9</f>
        <v>0.67210000000000036</v>
      </c>
      <c r="BB9" s="14">
        <f>IF($C9&gt;0,SUMIFS(EDSR!$J:$J,EDSR!$A:$A,'Progress%'!$B9,EDSR!$M:$M,"&lt;="&amp;BB$6)*0.5+SUMIFS(EDSR!$J:$J,EDSR!$A:$A,'Progress%'!$B9,EDSR!$P:$P,"&lt;="&amp;BB$6)*0.2+SUMIFS(EDSR!$J:$J,EDSR!$A:$A,'Progress%'!$B9,EDSR!$S:$S,"&lt;="&amp;BB$6)*0.1+SUMIFS(EDSR!$J:$J,EDSR!$A:$A,'Progress%'!$B9,EDSR!$V:$V,"&lt;="&amp;BB$6)*0.2)/$C9</f>
        <v>0.67210000000000036</v>
      </c>
      <c r="BC9" s="14">
        <f>IF($C9&gt;0,SUMIFS(EDSR!$J:$J,EDSR!$A:$A,'Progress%'!$B9,EDSR!$M:$M,"&lt;="&amp;BC$6)*0.5+SUMIFS(EDSR!$J:$J,EDSR!$A:$A,'Progress%'!$B9,EDSR!$P:$P,"&lt;="&amp;BC$6)*0.2+SUMIFS(EDSR!$J:$J,EDSR!$A:$A,'Progress%'!$B9,EDSR!$S:$S,"&lt;="&amp;BC$6)*0.1+SUMIFS(EDSR!$J:$J,EDSR!$A:$A,'Progress%'!$B9,EDSR!$V:$V,"&lt;="&amp;BC$6)*0.2)/$C9</f>
        <v>0.67210000000000036</v>
      </c>
      <c r="BD9" s="14">
        <f>IF($C9&gt;0,SUMIFS(EDSR!$J:$J,EDSR!$A:$A,'Progress%'!$B9,EDSR!$M:$M,"&lt;="&amp;BD$6)*0.5+SUMIFS(EDSR!$J:$J,EDSR!$A:$A,'Progress%'!$B9,EDSR!$P:$P,"&lt;="&amp;BD$6)*0.2+SUMIFS(EDSR!$J:$J,EDSR!$A:$A,'Progress%'!$B9,EDSR!$S:$S,"&lt;="&amp;BD$6)*0.1+SUMIFS(EDSR!$J:$J,EDSR!$A:$A,'Progress%'!$B9,EDSR!$V:$V,"&lt;="&amp;BD$6)*0.2)/$C9</f>
        <v>0.67210000000000036</v>
      </c>
      <c r="BE9" s="14">
        <f>IF($C9&gt;0,SUMIFS(EDSR!$J:$J,EDSR!$A:$A,'Progress%'!$B9,EDSR!$M:$M,"&lt;="&amp;BE$6)*0.5+SUMIFS(EDSR!$J:$J,EDSR!$A:$A,'Progress%'!$B9,EDSR!$P:$P,"&lt;="&amp;BE$6)*0.2+SUMIFS(EDSR!$J:$J,EDSR!$A:$A,'Progress%'!$B9,EDSR!$S:$S,"&lt;="&amp;BE$6)*0.1+SUMIFS(EDSR!$J:$J,EDSR!$A:$A,'Progress%'!$B9,EDSR!$V:$V,"&lt;="&amp;BE$6)*0.2)/$C9</f>
        <v>0.67210000000000036</v>
      </c>
      <c r="BF9" s="14">
        <f>IF($C9&gt;0,SUMIFS(EDSR!$J:$J,EDSR!$A:$A,'Progress%'!$B9,EDSR!$M:$M,"&lt;="&amp;BF$6)*0.5+SUMIFS(EDSR!$J:$J,EDSR!$A:$A,'Progress%'!$B9,EDSR!$P:$P,"&lt;="&amp;BF$6)*0.2+SUMIFS(EDSR!$J:$J,EDSR!$A:$A,'Progress%'!$B9,EDSR!$S:$S,"&lt;="&amp;BF$6)*0.1+SUMIFS(EDSR!$J:$J,EDSR!$A:$A,'Progress%'!$B9,EDSR!$V:$V,"&lt;="&amp;BF$6)*0.2)/$C9</f>
        <v>0.67210000000000036</v>
      </c>
      <c r="BG9" s="14">
        <f>IF($C9&gt;0,SUMIFS(EDSR!$J:$J,EDSR!$A:$A,'Progress%'!$B9,EDSR!$M:$M,"&lt;="&amp;BG$6)*0.5+SUMIFS(EDSR!$J:$J,EDSR!$A:$A,'Progress%'!$B9,EDSR!$P:$P,"&lt;="&amp;BG$6)*0.2+SUMIFS(EDSR!$J:$J,EDSR!$A:$A,'Progress%'!$B9,EDSR!$S:$S,"&lt;="&amp;BG$6)*0.1+SUMIFS(EDSR!$J:$J,EDSR!$A:$A,'Progress%'!$B9,EDSR!$V:$V,"&lt;="&amp;BG$6)*0.2)/$C9</f>
        <v>0.67210000000000036</v>
      </c>
      <c r="BH9" s="14">
        <f>IF($C9&gt;0,SUMIFS(EDSR!$J:$J,EDSR!$A:$A,'Progress%'!$B9,EDSR!$M:$M,"&lt;="&amp;BH$6)*0.5+SUMIFS(EDSR!$J:$J,EDSR!$A:$A,'Progress%'!$B9,EDSR!$P:$P,"&lt;="&amp;BH$6)*0.2+SUMIFS(EDSR!$J:$J,EDSR!$A:$A,'Progress%'!$B9,EDSR!$S:$S,"&lt;="&amp;BH$6)*0.1+SUMIFS(EDSR!$J:$J,EDSR!$A:$A,'Progress%'!$B9,EDSR!$V:$V,"&lt;="&amp;BH$6)*0.2)/$C9</f>
        <v>0.67210000000000036</v>
      </c>
      <c r="BI9" s="14">
        <f>IF($C9&gt;0,SUMIFS(EDSR!$J:$J,EDSR!$A:$A,'Progress%'!$B9,EDSR!$M:$M,"&lt;="&amp;BI$6)*0.5+SUMIFS(EDSR!$J:$J,EDSR!$A:$A,'Progress%'!$B9,EDSR!$P:$P,"&lt;="&amp;BI$6)*0.2+SUMIFS(EDSR!$J:$J,EDSR!$A:$A,'Progress%'!$B9,EDSR!$S:$S,"&lt;="&amp;BI$6)*0.1+SUMIFS(EDSR!$J:$J,EDSR!$A:$A,'Progress%'!$B9,EDSR!$V:$V,"&lt;="&amp;BI$6)*0.2)/$C9</f>
        <v>0.67210000000000036</v>
      </c>
      <c r="BJ9" s="14">
        <f>IF($C9&gt;0,SUMIFS(EDSR!$J:$J,EDSR!$A:$A,'Progress%'!$B9,EDSR!$M:$M,"&lt;="&amp;BJ$6)*0.5+SUMIFS(EDSR!$J:$J,EDSR!$A:$A,'Progress%'!$B9,EDSR!$P:$P,"&lt;="&amp;BJ$6)*0.2+SUMIFS(EDSR!$J:$J,EDSR!$A:$A,'Progress%'!$B9,EDSR!$S:$S,"&lt;="&amp;BJ$6)*0.1+SUMIFS(EDSR!$J:$J,EDSR!$A:$A,'Progress%'!$B9,EDSR!$V:$V,"&lt;="&amp;BJ$6)*0.2)/$C9</f>
        <v>0.67210000000000036</v>
      </c>
      <c r="BK9" s="14">
        <f>IF($C9&gt;0,SUMIFS(EDSR!$J:$J,EDSR!$A:$A,'Progress%'!$B9,EDSR!$M:$M,"&lt;="&amp;BK$6)*0.5+SUMIFS(EDSR!$J:$J,EDSR!$A:$A,'Progress%'!$B9,EDSR!$P:$P,"&lt;="&amp;BK$6)*0.2+SUMIFS(EDSR!$J:$J,EDSR!$A:$A,'Progress%'!$B9,EDSR!$S:$S,"&lt;="&amp;BK$6)*0.1+SUMIFS(EDSR!$J:$J,EDSR!$A:$A,'Progress%'!$B9,EDSR!$V:$V,"&lt;="&amp;BK$6)*0.2)/$C9</f>
        <v>0.67210000000000036</v>
      </c>
      <c r="BL9" s="14">
        <f>IF($C9&gt;0,SUMIFS(EDSR!$J:$J,EDSR!$A:$A,'Progress%'!$B9,EDSR!$M:$M,"&lt;="&amp;BL$6)*0.5+SUMIFS(EDSR!$J:$J,EDSR!$A:$A,'Progress%'!$B9,EDSR!$P:$P,"&lt;="&amp;BL$6)*0.2+SUMIFS(EDSR!$J:$J,EDSR!$A:$A,'Progress%'!$B9,EDSR!$S:$S,"&lt;="&amp;BL$6)*0.1+SUMIFS(EDSR!$J:$J,EDSR!$A:$A,'Progress%'!$B9,EDSR!$V:$V,"&lt;="&amp;BL$6)*0.2)/$C9</f>
        <v>0.67210000000000036</v>
      </c>
      <c r="BM9" s="14">
        <f>IF($C9&gt;0,SUMIFS(EDSR!$J:$J,EDSR!$A:$A,'Progress%'!$B9,EDSR!$M:$M,"&lt;="&amp;BM$6)*0.5+SUMIFS(EDSR!$J:$J,EDSR!$A:$A,'Progress%'!$B9,EDSR!$P:$P,"&lt;="&amp;BM$6)*0.2+SUMIFS(EDSR!$J:$J,EDSR!$A:$A,'Progress%'!$B9,EDSR!$S:$S,"&lt;="&amp;BM$6)*0.1+SUMIFS(EDSR!$J:$J,EDSR!$A:$A,'Progress%'!$B9,EDSR!$V:$V,"&lt;="&amp;BM$6)*0.2)/$C9</f>
        <v>0.67210000000000036</v>
      </c>
      <c r="BN9" s="14">
        <f>IF($C9&gt;0,SUMIFS(EDSR!$J:$J,EDSR!$A:$A,'Progress%'!$B9,EDSR!$M:$M,"&lt;="&amp;BN$6)*0.5+SUMIFS(EDSR!$J:$J,EDSR!$A:$A,'Progress%'!$B9,EDSR!$P:$P,"&lt;="&amp;BN$6)*0.2+SUMIFS(EDSR!$J:$J,EDSR!$A:$A,'Progress%'!$B9,EDSR!$S:$S,"&lt;="&amp;BN$6)*0.1+SUMIFS(EDSR!$J:$J,EDSR!$A:$A,'Progress%'!$B9,EDSR!$V:$V,"&lt;="&amp;BN$6)*0.2)/$C9</f>
        <v>0.67210000000000036</v>
      </c>
      <c r="BO9" s="14">
        <f>IF($C9&gt;0,SUMIFS(EDSR!$J:$J,EDSR!$A:$A,'Progress%'!$B9,EDSR!$M:$M,"&lt;="&amp;BO$6)*0.5+SUMIFS(EDSR!$J:$J,EDSR!$A:$A,'Progress%'!$B9,EDSR!$P:$P,"&lt;="&amp;BO$6)*0.2+SUMIFS(EDSR!$J:$J,EDSR!$A:$A,'Progress%'!$B9,EDSR!$S:$S,"&lt;="&amp;BO$6)*0.1+SUMIFS(EDSR!$J:$J,EDSR!$A:$A,'Progress%'!$B9,EDSR!$V:$V,"&lt;="&amp;BO$6)*0.2)/$C9</f>
        <v>0.67210000000000036</v>
      </c>
      <c r="BP9" s="14">
        <f>IF($C9&gt;0,SUMIFS(EDSR!$J:$J,EDSR!$A:$A,'Progress%'!$B9,EDSR!$M:$M,"&lt;="&amp;BP$6)*0.5+SUMIFS(EDSR!$J:$J,EDSR!$A:$A,'Progress%'!$B9,EDSR!$P:$P,"&lt;="&amp;BP$6)*0.2+SUMIFS(EDSR!$J:$J,EDSR!$A:$A,'Progress%'!$B9,EDSR!$S:$S,"&lt;="&amp;BP$6)*0.1+SUMIFS(EDSR!$J:$J,EDSR!$A:$A,'Progress%'!$B9,EDSR!$V:$V,"&lt;="&amp;BP$6)*0.2)/$C9</f>
        <v>0.67210000000000036</v>
      </c>
      <c r="BQ9" s="14">
        <f>IF($C9&gt;0,SUMIFS(EDSR!$J:$J,EDSR!$A:$A,'Progress%'!$B9,EDSR!$M:$M,"&lt;="&amp;BQ$6)*0.5+SUMIFS(EDSR!$J:$J,EDSR!$A:$A,'Progress%'!$B9,EDSR!$P:$P,"&lt;="&amp;BQ$6)*0.2+SUMIFS(EDSR!$J:$J,EDSR!$A:$A,'Progress%'!$B9,EDSR!$S:$S,"&lt;="&amp;BQ$6)*0.1+SUMIFS(EDSR!$J:$J,EDSR!$A:$A,'Progress%'!$B9,EDSR!$V:$V,"&lt;="&amp;BQ$6)*0.2)/$C9</f>
        <v>0.67210000000000036</v>
      </c>
      <c r="BR9" s="14">
        <f>IF($C9&gt;0,SUMIFS(EDSR!$J:$J,EDSR!$A:$A,'Progress%'!$B9,EDSR!$M:$M,"&lt;="&amp;BR$6)*0.5+SUMIFS(EDSR!$J:$J,EDSR!$A:$A,'Progress%'!$B9,EDSR!$P:$P,"&lt;="&amp;BR$6)*0.2+SUMIFS(EDSR!$J:$J,EDSR!$A:$A,'Progress%'!$B9,EDSR!$S:$S,"&lt;="&amp;BR$6)*0.1+SUMIFS(EDSR!$J:$J,EDSR!$A:$A,'Progress%'!$B9,EDSR!$V:$V,"&lt;="&amp;BR$6)*0.2)/$C9</f>
        <v>0.67210000000000036</v>
      </c>
      <c r="BS9" s="14">
        <f>IF($C9&gt;0,SUMIFS(EDSR!$J:$J,EDSR!$A:$A,'Progress%'!$B9,EDSR!$M:$M,"&lt;="&amp;BS$6)*0.5+SUMIFS(EDSR!$J:$J,EDSR!$A:$A,'Progress%'!$B9,EDSR!$P:$P,"&lt;="&amp;BS$6)*0.2+SUMIFS(EDSR!$J:$J,EDSR!$A:$A,'Progress%'!$B9,EDSR!$S:$S,"&lt;="&amp;BS$6)*0.1+SUMIFS(EDSR!$J:$J,EDSR!$A:$A,'Progress%'!$B9,EDSR!$V:$V,"&lt;="&amp;BS$6)*0.2)/$C9</f>
        <v>0.67210000000000036</v>
      </c>
      <c r="BT9" s="14">
        <f>IF($C9&gt;0,SUMIFS(EDSR!$J:$J,EDSR!$A:$A,'Progress%'!$B9,EDSR!$M:$M,"&lt;="&amp;BT$6)*0.5+SUMIFS(EDSR!$J:$J,EDSR!$A:$A,'Progress%'!$B9,EDSR!$P:$P,"&lt;="&amp;BT$6)*0.2+SUMIFS(EDSR!$J:$J,EDSR!$A:$A,'Progress%'!$B9,EDSR!$S:$S,"&lt;="&amp;BT$6)*0.1+SUMIFS(EDSR!$J:$J,EDSR!$A:$A,'Progress%'!$B9,EDSR!$V:$V,"&lt;="&amp;BT$6)*0.2)/$C9</f>
        <v>0.67210000000000036</v>
      </c>
      <c r="BU9" s="14">
        <f>IF($C9&gt;0,SUMIFS(EDSR!$J:$J,EDSR!$A:$A,'Progress%'!$B9,EDSR!$M:$M,"&lt;="&amp;BU$6)*0.5+SUMIFS(EDSR!$J:$J,EDSR!$A:$A,'Progress%'!$B9,EDSR!$P:$P,"&lt;="&amp;BU$6)*0.2+SUMIFS(EDSR!$J:$J,EDSR!$A:$A,'Progress%'!$B9,EDSR!$S:$S,"&lt;="&amp;BU$6)*0.1+SUMIFS(EDSR!$J:$J,EDSR!$A:$A,'Progress%'!$B9,EDSR!$V:$V,"&lt;="&amp;BU$6)*0.2)/$C9</f>
        <v>0.67210000000000036</v>
      </c>
      <c r="BV9" s="14">
        <f>IF($C9&gt;0,SUMIFS(EDSR!$J:$J,EDSR!$A:$A,'Progress%'!$B9,EDSR!$M:$M,"&lt;="&amp;BV$6)*0.5+SUMIFS(EDSR!$J:$J,EDSR!$A:$A,'Progress%'!$B9,EDSR!$P:$P,"&lt;="&amp;BV$6)*0.2+SUMIFS(EDSR!$J:$J,EDSR!$A:$A,'Progress%'!$B9,EDSR!$S:$S,"&lt;="&amp;BV$6)*0.1+SUMIFS(EDSR!$J:$J,EDSR!$A:$A,'Progress%'!$B9,EDSR!$V:$V,"&lt;="&amp;BV$6)*0.2)/$C9</f>
        <v>0.67210000000000036</v>
      </c>
      <c r="BW9" s="14">
        <f>IF($C9&gt;0,SUMIFS(EDSR!$J:$J,EDSR!$A:$A,'Progress%'!$B9,EDSR!$M:$M,"&lt;="&amp;BW$6)*0.5+SUMIFS(EDSR!$J:$J,EDSR!$A:$A,'Progress%'!$B9,EDSR!$P:$P,"&lt;="&amp;BW$6)*0.2+SUMIFS(EDSR!$J:$J,EDSR!$A:$A,'Progress%'!$B9,EDSR!$S:$S,"&lt;="&amp;BW$6)*0.1+SUMIFS(EDSR!$J:$J,EDSR!$A:$A,'Progress%'!$B9,EDSR!$V:$V,"&lt;="&amp;BW$6)*0.2)/$C9</f>
        <v>0.67210000000000036</v>
      </c>
      <c r="BX9" s="14">
        <f>IF($C9&gt;0,SUMIFS(EDSR!$J:$J,EDSR!$A:$A,'Progress%'!$B9,EDSR!$M:$M,"&lt;="&amp;BX$6)*0.5+SUMIFS(EDSR!$J:$J,EDSR!$A:$A,'Progress%'!$B9,EDSR!$P:$P,"&lt;="&amp;BX$6)*0.2+SUMIFS(EDSR!$J:$J,EDSR!$A:$A,'Progress%'!$B9,EDSR!$S:$S,"&lt;="&amp;BX$6)*0.1+SUMIFS(EDSR!$J:$J,EDSR!$A:$A,'Progress%'!$B9,EDSR!$V:$V,"&lt;="&amp;BX$6)*0.2)/$C9</f>
        <v>0.67210000000000036</v>
      </c>
      <c r="BY9" s="14">
        <f>IF($C9&gt;0,SUMIFS(EDSR!$J:$J,EDSR!$A:$A,'Progress%'!$B9,EDSR!$M:$M,"&lt;="&amp;BY$6)*0.5+SUMIFS(EDSR!$J:$J,EDSR!$A:$A,'Progress%'!$B9,EDSR!$P:$P,"&lt;="&amp;BY$6)*0.2+SUMIFS(EDSR!$J:$J,EDSR!$A:$A,'Progress%'!$B9,EDSR!$S:$S,"&lt;="&amp;BY$6)*0.1+SUMIFS(EDSR!$J:$J,EDSR!$A:$A,'Progress%'!$B9,EDSR!$V:$V,"&lt;="&amp;BY$6)*0.2)/$C9</f>
        <v>0.67210000000000036</v>
      </c>
      <c r="BZ9" s="14">
        <f>IF($C9&gt;0,SUMIFS(EDSR!$J:$J,EDSR!$A:$A,'Progress%'!$B9,EDSR!$M:$M,"&lt;="&amp;BZ$6)*0.5+SUMIFS(EDSR!$J:$J,EDSR!$A:$A,'Progress%'!$B9,EDSR!$P:$P,"&lt;="&amp;BZ$6)*0.2+SUMIFS(EDSR!$J:$J,EDSR!$A:$A,'Progress%'!$B9,EDSR!$S:$S,"&lt;="&amp;BZ$6)*0.1+SUMIFS(EDSR!$J:$J,EDSR!$A:$A,'Progress%'!$B9,EDSR!$V:$V,"&lt;="&amp;BZ$6)*0.2)/$C9</f>
        <v>0.67210000000000036</v>
      </c>
      <c r="CA9" s="14">
        <f>IF($C9&gt;0,SUMIFS(EDSR!$J:$J,EDSR!$A:$A,'Progress%'!$B9,EDSR!$M:$M,"&lt;="&amp;CA$6)*0.5+SUMIFS(EDSR!$J:$J,EDSR!$A:$A,'Progress%'!$B9,EDSR!$P:$P,"&lt;="&amp;CA$6)*0.2+SUMIFS(EDSR!$J:$J,EDSR!$A:$A,'Progress%'!$B9,EDSR!$S:$S,"&lt;="&amp;CA$6)*0.1+SUMIFS(EDSR!$J:$J,EDSR!$A:$A,'Progress%'!$B9,EDSR!$V:$V,"&lt;="&amp;CA$6)*0.2)/$C9</f>
        <v>0.67210000000000036</v>
      </c>
      <c r="CB9" s="14">
        <f>IF($C9&gt;0,SUMIFS(EDSR!$J:$J,EDSR!$A:$A,'Progress%'!$B9,EDSR!$M:$M,"&lt;="&amp;CB$6)*0.5+SUMIFS(EDSR!$J:$J,EDSR!$A:$A,'Progress%'!$B9,EDSR!$P:$P,"&lt;="&amp;CB$6)*0.2+SUMIFS(EDSR!$J:$J,EDSR!$A:$A,'Progress%'!$B9,EDSR!$S:$S,"&lt;="&amp;CB$6)*0.1+SUMIFS(EDSR!$J:$J,EDSR!$A:$A,'Progress%'!$B9,EDSR!$V:$V,"&lt;="&amp;CB$6)*0.2)/$C9</f>
        <v>0.67210000000000036</v>
      </c>
      <c r="CC9" s="14">
        <f>IF($C9&gt;0,SUMIFS(EDSR!$J:$J,EDSR!$A:$A,'Progress%'!$B9,EDSR!$M:$M,"&lt;="&amp;CC$6)*0.5+SUMIFS(EDSR!$J:$J,EDSR!$A:$A,'Progress%'!$B9,EDSR!$P:$P,"&lt;="&amp;CC$6)*0.2+SUMIFS(EDSR!$J:$J,EDSR!$A:$A,'Progress%'!$B9,EDSR!$S:$S,"&lt;="&amp;CC$6)*0.1+SUMIFS(EDSR!$J:$J,EDSR!$A:$A,'Progress%'!$B9,EDSR!$V:$V,"&lt;="&amp;CC$6)*0.2)/$C9</f>
        <v>0.67210000000000036</v>
      </c>
      <c r="CD9" s="14">
        <f>IF($C9&gt;0,SUMIFS(EDSR!$J:$J,EDSR!$A:$A,'Progress%'!$B9,EDSR!$M:$M,"&lt;="&amp;CD$6)*0.5+SUMIFS(EDSR!$J:$J,EDSR!$A:$A,'Progress%'!$B9,EDSR!$P:$P,"&lt;="&amp;CD$6)*0.2+SUMIFS(EDSR!$J:$J,EDSR!$A:$A,'Progress%'!$B9,EDSR!$S:$S,"&lt;="&amp;CD$6)*0.1+SUMIFS(EDSR!$J:$J,EDSR!$A:$A,'Progress%'!$B9,EDSR!$V:$V,"&lt;="&amp;CD$6)*0.2)/$C9</f>
        <v>0.67210000000000036</v>
      </c>
      <c r="CE9" s="14">
        <f>IF($C9&gt;0,SUMIFS(EDSR!$J:$J,EDSR!$A:$A,'Progress%'!$B9,EDSR!$M:$M,"&lt;="&amp;CE$6)*0.5+SUMIFS(EDSR!$J:$J,EDSR!$A:$A,'Progress%'!$B9,EDSR!$P:$P,"&lt;="&amp;CE$6)*0.2+SUMIFS(EDSR!$J:$J,EDSR!$A:$A,'Progress%'!$B9,EDSR!$S:$S,"&lt;="&amp;CE$6)*0.1+SUMIFS(EDSR!$J:$J,EDSR!$A:$A,'Progress%'!$B9,EDSR!$V:$V,"&lt;="&amp;CE$6)*0.2)/$C9</f>
        <v>0.67210000000000036</v>
      </c>
      <c r="CF9" s="14">
        <f>IF($C9&gt;0,SUMIFS(EDSR!$J:$J,EDSR!$A:$A,'Progress%'!$B9,EDSR!$M:$M,"&lt;="&amp;CF$6)*0.5+SUMIFS(EDSR!$J:$J,EDSR!$A:$A,'Progress%'!$B9,EDSR!$P:$P,"&lt;="&amp;CF$6)*0.2+SUMIFS(EDSR!$J:$J,EDSR!$A:$A,'Progress%'!$B9,EDSR!$S:$S,"&lt;="&amp;CF$6)*0.1+SUMIFS(EDSR!$J:$J,EDSR!$A:$A,'Progress%'!$B9,EDSR!$V:$V,"&lt;="&amp;CF$6)*0.2)/$C9</f>
        <v>0.67210000000000036</v>
      </c>
      <c r="CG9" s="14">
        <f>IF($C9&gt;0,SUMIFS(EDSR!$J:$J,EDSR!$A:$A,'Progress%'!$B9,EDSR!$M:$M,"&lt;="&amp;CG$6)*0.5+SUMIFS(EDSR!$J:$J,EDSR!$A:$A,'Progress%'!$B9,EDSR!$P:$P,"&lt;="&amp;CG$6)*0.2+SUMIFS(EDSR!$J:$J,EDSR!$A:$A,'Progress%'!$B9,EDSR!$S:$S,"&lt;="&amp;CG$6)*0.1+SUMIFS(EDSR!$J:$J,EDSR!$A:$A,'Progress%'!$B9,EDSR!$V:$V,"&lt;="&amp;CG$6)*0.2)/$C9</f>
        <v>0.67210000000000036</v>
      </c>
      <c r="CH9" s="14">
        <f>IF($C9&gt;0,SUMIFS(EDSR!$J:$J,EDSR!$A:$A,'Progress%'!$B9,EDSR!$M:$M,"&lt;="&amp;CH$6)*0.5+SUMIFS(EDSR!$J:$J,EDSR!$A:$A,'Progress%'!$B9,EDSR!$P:$P,"&lt;="&amp;CH$6)*0.2+SUMIFS(EDSR!$J:$J,EDSR!$A:$A,'Progress%'!$B9,EDSR!$S:$S,"&lt;="&amp;CH$6)*0.1+SUMIFS(EDSR!$J:$J,EDSR!$A:$A,'Progress%'!$B9,EDSR!$V:$V,"&lt;="&amp;CH$6)*0.2)/$C9</f>
        <v>0.67210000000000036</v>
      </c>
      <c r="CI9" s="14">
        <f>IF($C9&gt;0,SUMIFS(EDSR!$J:$J,EDSR!$A:$A,'Progress%'!$B9,EDSR!$M:$M,"&lt;="&amp;CI$6)*0.5+SUMIFS(EDSR!$J:$J,EDSR!$A:$A,'Progress%'!$B9,EDSR!$P:$P,"&lt;="&amp;CI$6)*0.2+SUMIFS(EDSR!$J:$J,EDSR!$A:$A,'Progress%'!$B9,EDSR!$S:$S,"&lt;="&amp;CI$6)*0.1+SUMIFS(EDSR!$J:$J,EDSR!$A:$A,'Progress%'!$B9,EDSR!$V:$V,"&lt;="&amp;CI$6)*0.2)/$C9</f>
        <v>0.67210000000000036</v>
      </c>
      <c r="CJ9" s="14">
        <f>IF($C9&gt;0,SUMIFS(EDSR!$J:$J,EDSR!$A:$A,'Progress%'!$B9,EDSR!$M:$M,"&lt;="&amp;CJ$6)*0.5+SUMIFS(EDSR!$J:$J,EDSR!$A:$A,'Progress%'!$B9,EDSR!$P:$P,"&lt;="&amp;CJ$6)*0.2+SUMIFS(EDSR!$J:$J,EDSR!$A:$A,'Progress%'!$B9,EDSR!$S:$S,"&lt;="&amp;CJ$6)*0.1+SUMIFS(EDSR!$J:$J,EDSR!$A:$A,'Progress%'!$B9,EDSR!$V:$V,"&lt;="&amp;CJ$6)*0.2)/$C9</f>
        <v>0.67210000000000036</v>
      </c>
      <c r="CK9" s="14">
        <f>IF($C9&gt;0,SUMIFS(EDSR!$J:$J,EDSR!$A:$A,'Progress%'!$B9,EDSR!$M:$M,"&lt;="&amp;CK$6)*0.5+SUMIFS(EDSR!$J:$J,EDSR!$A:$A,'Progress%'!$B9,EDSR!$P:$P,"&lt;="&amp;CK$6)*0.2+SUMIFS(EDSR!$J:$J,EDSR!$A:$A,'Progress%'!$B9,EDSR!$S:$S,"&lt;="&amp;CK$6)*0.1+SUMIFS(EDSR!$J:$J,EDSR!$A:$A,'Progress%'!$B9,EDSR!$V:$V,"&lt;="&amp;CK$6)*0.2)/$C9</f>
        <v>0.67210000000000036</v>
      </c>
      <c r="CL9" s="14">
        <f>IF($C9&gt;0,SUMIFS(EDSR!$J:$J,EDSR!$A:$A,'Progress%'!$B9,EDSR!$M:$M,"&lt;="&amp;CL$6)*0.5+SUMIFS(EDSR!$J:$J,EDSR!$A:$A,'Progress%'!$B9,EDSR!$P:$P,"&lt;="&amp;CL$6)*0.2+SUMIFS(EDSR!$J:$J,EDSR!$A:$A,'Progress%'!$B9,EDSR!$S:$S,"&lt;="&amp;CL$6)*0.1+SUMIFS(EDSR!$J:$J,EDSR!$A:$A,'Progress%'!$B9,EDSR!$V:$V,"&lt;="&amp;CL$6)*0.2)/$C9</f>
        <v>0.67210000000000036</v>
      </c>
      <c r="CM9" s="14">
        <f>IF($C9&gt;0,SUMIFS(EDSR!$J:$J,EDSR!$A:$A,'Progress%'!$B9,EDSR!$M:$M,"&lt;="&amp;CM$6)*0.5+SUMIFS(EDSR!$J:$J,EDSR!$A:$A,'Progress%'!$B9,EDSR!$P:$P,"&lt;="&amp;CM$6)*0.2+SUMIFS(EDSR!$J:$J,EDSR!$A:$A,'Progress%'!$B9,EDSR!$S:$S,"&lt;="&amp;CM$6)*0.1+SUMIFS(EDSR!$J:$J,EDSR!$A:$A,'Progress%'!$B9,EDSR!$V:$V,"&lt;="&amp;CM$6)*0.2)/$C9</f>
        <v>0.67210000000000036</v>
      </c>
      <c r="CN9" s="14">
        <f>IF($C9&gt;0,SUMIFS(EDSR!$J:$J,EDSR!$A:$A,'Progress%'!$B9,EDSR!$M:$M,"&lt;="&amp;CN$6)*0.5+SUMIFS(EDSR!$J:$J,EDSR!$A:$A,'Progress%'!$B9,EDSR!$P:$P,"&lt;="&amp;CN$6)*0.2+SUMIFS(EDSR!$J:$J,EDSR!$A:$A,'Progress%'!$B9,EDSR!$S:$S,"&lt;="&amp;CN$6)*0.1+SUMIFS(EDSR!$J:$J,EDSR!$A:$A,'Progress%'!$B9,EDSR!$V:$V,"&lt;="&amp;CN$6)*0.2)/$C9</f>
        <v>0.67210000000000036</v>
      </c>
      <c r="CO9" s="14">
        <f>IF($C9&gt;0,SUMIFS(EDSR!$J:$J,EDSR!$A:$A,'Progress%'!$B9,EDSR!$M:$M,"&lt;="&amp;CO$6)*0.5+SUMIFS(EDSR!$J:$J,EDSR!$A:$A,'Progress%'!$B9,EDSR!$P:$P,"&lt;="&amp;CO$6)*0.2+SUMIFS(EDSR!$J:$J,EDSR!$A:$A,'Progress%'!$B9,EDSR!$S:$S,"&lt;="&amp;CO$6)*0.1+SUMIFS(EDSR!$J:$J,EDSR!$A:$A,'Progress%'!$B9,EDSR!$V:$V,"&lt;="&amp;CO$6)*0.2)/$C9</f>
        <v>0.67210000000000036</v>
      </c>
      <c r="CP9" s="14">
        <f>IF($C9&gt;0,SUMIFS(EDSR!$J:$J,EDSR!$A:$A,'Progress%'!$B9,EDSR!$M:$M,"&lt;="&amp;CP$6)*0.5+SUMIFS(EDSR!$J:$J,EDSR!$A:$A,'Progress%'!$B9,EDSR!$P:$P,"&lt;="&amp;CP$6)*0.2+SUMIFS(EDSR!$J:$J,EDSR!$A:$A,'Progress%'!$B9,EDSR!$S:$S,"&lt;="&amp;CP$6)*0.1+SUMIFS(EDSR!$J:$J,EDSR!$A:$A,'Progress%'!$B9,EDSR!$V:$V,"&lt;="&amp;CP$6)*0.2)/$C9</f>
        <v>0.67210000000000036</v>
      </c>
      <c r="CQ9" s="14">
        <f>IF($C9&gt;0,SUMIFS(EDSR!$J:$J,EDSR!$A:$A,'Progress%'!$B9,EDSR!$M:$M,"&lt;="&amp;CQ$6)*0.5+SUMIFS(EDSR!$J:$J,EDSR!$A:$A,'Progress%'!$B9,EDSR!$P:$P,"&lt;="&amp;CQ$6)*0.2+SUMIFS(EDSR!$J:$J,EDSR!$A:$A,'Progress%'!$B9,EDSR!$S:$S,"&lt;="&amp;CQ$6)*0.1+SUMIFS(EDSR!$J:$J,EDSR!$A:$A,'Progress%'!$B9,EDSR!$V:$V,"&lt;="&amp;CQ$6)*0.2)/$C9</f>
        <v>0.67210000000000036</v>
      </c>
      <c r="CR9" s="14">
        <f>IF($C9&gt;0,SUMIFS(EDSR!$J:$J,EDSR!$A:$A,'Progress%'!$B9,EDSR!$M:$M,"&lt;="&amp;CR$6)*0.5+SUMIFS(EDSR!$J:$J,EDSR!$A:$A,'Progress%'!$B9,EDSR!$P:$P,"&lt;="&amp;CR$6)*0.2+SUMIFS(EDSR!$J:$J,EDSR!$A:$A,'Progress%'!$B9,EDSR!$S:$S,"&lt;="&amp;CR$6)*0.1+SUMIFS(EDSR!$J:$J,EDSR!$A:$A,'Progress%'!$B9,EDSR!$V:$V,"&lt;="&amp;CR$6)*0.2)/$C9</f>
        <v>0.67210000000000036</v>
      </c>
      <c r="CS9" s="14">
        <f>IF($C9&gt;0,SUMIFS(EDSR!$J:$J,EDSR!$A:$A,'Progress%'!$B9,EDSR!$M:$M,"&lt;="&amp;CS$6)*0.5+SUMIFS(EDSR!$J:$J,EDSR!$A:$A,'Progress%'!$B9,EDSR!$P:$P,"&lt;="&amp;CS$6)*0.2+SUMIFS(EDSR!$J:$J,EDSR!$A:$A,'Progress%'!$B9,EDSR!$S:$S,"&lt;="&amp;CS$6)*0.1+SUMIFS(EDSR!$J:$J,EDSR!$A:$A,'Progress%'!$B9,EDSR!$V:$V,"&lt;="&amp;CS$6)*0.2)/$C9</f>
        <v>0.67210000000000036</v>
      </c>
      <c r="CT9" s="14">
        <f>IF($C9&gt;0,SUMIFS(EDSR!$J:$J,EDSR!$A:$A,'Progress%'!$B9,EDSR!$M:$M,"&lt;="&amp;CT$6)*0.5+SUMIFS(EDSR!$J:$J,EDSR!$A:$A,'Progress%'!$B9,EDSR!$P:$P,"&lt;="&amp;CT$6)*0.2+SUMIFS(EDSR!$J:$J,EDSR!$A:$A,'Progress%'!$B9,EDSR!$S:$S,"&lt;="&amp;CT$6)*0.1+SUMIFS(EDSR!$J:$J,EDSR!$A:$A,'Progress%'!$B9,EDSR!$V:$V,"&lt;="&amp;CT$6)*0.2)/$C9</f>
        <v>0.67210000000000036</v>
      </c>
      <c r="CU9" s="14">
        <f>IF($C9&gt;0,SUMIFS(EDSR!$J:$J,EDSR!$A:$A,'Progress%'!$B9,EDSR!$M:$M,"&lt;="&amp;CU$6)*0.5+SUMIFS(EDSR!$J:$J,EDSR!$A:$A,'Progress%'!$B9,EDSR!$P:$P,"&lt;="&amp;CU$6)*0.2+SUMIFS(EDSR!$J:$J,EDSR!$A:$A,'Progress%'!$B9,EDSR!$S:$S,"&lt;="&amp;CU$6)*0.1+SUMIFS(EDSR!$J:$J,EDSR!$A:$A,'Progress%'!$B9,EDSR!$V:$V,"&lt;="&amp;CU$6)*0.2)/$C9</f>
        <v>0.67210000000000036</v>
      </c>
      <c r="CV9" s="14">
        <f>IF($C9&gt;0,SUMIFS(EDSR!$J:$J,EDSR!$A:$A,'Progress%'!$B9,EDSR!$M:$M,"&lt;="&amp;CV$6)*0.5+SUMIFS(EDSR!$J:$J,EDSR!$A:$A,'Progress%'!$B9,EDSR!$P:$P,"&lt;="&amp;CV$6)*0.2+SUMIFS(EDSR!$J:$J,EDSR!$A:$A,'Progress%'!$B9,EDSR!$S:$S,"&lt;="&amp;CV$6)*0.1+SUMIFS(EDSR!$J:$J,EDSR!$A:$A,'Progress%'!$B9,EDSR!$V:$V,"&lt;="&amp;CV$6)*0.2)/$C9</f>
        <v>0.67210000000000036</v>
      </c>
      <c r="CW9" s="14">
        <f>IF($C9&gt;0,SUMIFS(EDSR!$J:$J,EDSR!$A:$A,'Progress%'!$B9,EDSR!$M:$M,"&lt;="&amp;CW$6)*0.5+SUMIFS(EDSR!$J:$J,EDSR!$A:$A,'Progress%'!$B9,EDSR!$P:$P,"&lt;="&amp;CW$6)*0.2+SUMIFS(EDSR!$J:$J,EDSR!$A:$A,'Progress%'!$B9,EDSR!$S:$S,"&lt;="&amp;CW$6)*0.1+SUMIFS(EDSR!$J:$J,EDSR!$A:$A,'Progress%'!$B9,EDSR!$V:$V,"&lt;="&amp;CW$6)*0.2)/$C9</f>
        <v>0.67210000000000036</v>
      </c>
      <c r="CX9" s="14">
        <f>IF($C9&gt;0,SUMIFS(EDSR!$J:$J,EDSR!$A:$A,'Progress%'!$B9,EDSR!$M:$M,"&lt;="&amp;CX$6)*0.5+SUMIFS(EDSR!$J:$J,EDSR!$A:$A,'Progress%'!$B9,EDSR!$P:$P,"&lt;="&amp;CX$6)*0.2+SUMIFS(EDSR!$J:$J,EDSR!$A:$A,'Progress%'!$B9,EDSR!$S:$S,"&lt;="&amp;CX$6)*0.1+SUMIFS(EDSR!$J:$J,EDSR!$A:$A,'Progress%'!$B9,EDSR!$V:$V,"&lt;="&amp;CX$6)*0.2)/$C9</f>
        <v>0.67210000000000036</v>
      </c>
      <c r="CY9" s="14">
        <f>IF($C9&gt;0,SUMIFS(EDSR!$J:$J,EDSR!$A:$A,'Progress%'!$B9,EDSR!$M:$M,"&lt;="&amp;CY$6)*0.5+SUMIFS(EDSR!$J:$J,EDSR!$A:$A,'Progress%'!$B9,EDSR!$P:$P,"&lt;="&amp;CY$6)*0.2+SUMIFS(EDSR!$J:$J,EDSR!$A:$A,'Progress%'!$B9,EDSR!$S:$S,"&lt;="&amp;CY$6)*0.1+SUMIFS(EDSR!$J:$J,EDSR!$A:$A,'Progress%'!$B9,EDSR!$V:$V,"&lt;="&amp;CY$6)*0.2)/$C9</f>
        <v>0.67210000000000036</v>
      </c>
      <c r="CZ9" s="14">
        <f>IF($C9&gt;0,SUMIFS(EDSR!$J:$J,EDSR!$A:$A,'Progress%'!$B9,EDSR!$M:$M,"&lt;="&amp;CZ$6)*0.5+SUMIFS(EDSR!$J:$J,EDSR!$A:$A,'Progress%'!$B9,EDSR!$P:$P,"&lt;="&amp;CZ$6)*0.2+SUMIFS(EDSR!$J:$J,EDSR!$A:$A,'Progress%'!$B9,EDSR!$S:$S,"&lt;="&amp;CZ$6)*0.1+SUMIFS(EDSR!$J:$J,EDSR!$A:$A,'Progress%'!$B9,EDSR!$V:$V,"&lt;="&amp;CZ$6)*0.2)/$C9</f>
        <v>0.67210000000000036</v>
      </c>
      <c r="DA9" s="14">
        <f>IF($C9&gt;0,SUMIFS(EDSR!$J:$J,EDSR!$A:$A,'Progress%'!$B9,EDSR!$M:$M,"&lt;="&amp;DA$6)*0.5+SUMIFS(EDSR!$J:$J,EDSR!$A:$A,'Progress%'!$B9,EDSR!$P:$P,"&lt;="&amp;DA$6)*0.2+SUMIFS(EDSR!$J:$J,EDSR!$A:$A,'Progress%'!$B9,EDSR!$S:$S,"&lt;="&amp;DA$6)*0.1+SUMIFS(EDSR!$J:$J,EDSR!$A:$A,'Progress%'!$B9,EDSR!$V:$V,"&lt;="&amp;DA$6)*0.2)/$C9</f>
        <v>0.67210000000000036</v>
      </c>
      <c r="DB9" s="14">
        <f>IF($C9&gt;0,SUMIFS(EDSR!$J:$J,EDSR!$A:$A,'Progress%'!$B9,EDSR!$M:$M,"&lt;="&amp;DB$6)*0.5+SUMIFS(EDSR!$J:$J,EDSR!$A:$A,'Progress%'!$B9,EDSR!$P:$P,"&lt;="&amp;DB$6)*0.2+SUMIFS(EDSR!$J:$J,EDSR!$A:$A,'Progress%'!$B9,EDSR!$S:$S,"&lt;="&amp;DB$6)*0.1+SUMIFS(EDSR!$J:$J,EDSR!$A:$A,'Progress%'!$B9,EDSR!$V:$V,"&lt;="&amp;DB$6)*0.2)/$C9</f>
        <v>0.67210000000000036</v>
      </c>
      <c r="DC9" s="14">
        <f>IF($C9&gt;0,SUMIFS(EDSR!$J:$J,EDSR!$A:$A,'Progress%'!$B9,EDSR!$M:$M,"&lt;="&amp;DC$6)*0.5+SUMIFS(EDSR!$J:$J,EDSR!$A:$A,'Progress%'!$B9,EDSR!$P:$P,"&lt;="&amp;DC$6)*0.2+SUMIFS(EDSR!$J:$J,EDSR!$A:$A,'Progress%'!$B9,EDSR!$S:$S,"&lt;="&amp;DC$6)*0.1+SUMIFS(EDSR!$J:$J,EDSR!$A:$A,'Progress%'!$B9,EDSR!$V:$V,"&lt;="&amp;DC$6)*0.2)/$C9</f>
        <v>0.67210000000000036</v>
      </c>
      <c r="DD9" s="14">
        <f>IF($C9&gt;0,SUMIFS(EDSR!$J:$J,EDSR!$A:$A,'Progress%'!$B9,EDSR!$M:$M,"&lt;="&amp;DD$6)*0.5+SUMIFS(EDSR!$J:$J,EDSR!$A:$A,'Progress%'!$B9,EDSR!$P:$P,"&lt;="&amp;DD$6)*0.2+SUMIFS(EDSR!$J:$J,EDSR!$A:$A,'Progress%'!$B9,EDSR!$S:$S,"&lt;="&amp;DD$6)*0.1+SUMIFS(EDSR!$J:$J,EDSR!$A:$A,'Progress%'!$B9,EDSR!$V:$V,"&lt;="&amp;DD$6)*0.2)/$C9</f>
        <v>0.67210000000000036</v>
      </c>
      <c r="DE9" s="14">
        <f>IF($C9&gt;0,SUMIFS(EDSR!$J:$J,EDSR!$A:$A,'Progress%'!$B9,EDSR!$M:$M,"&lt;="&amp;DE$6)*0.5+SUMIFS(EDSR!$J:$J,EDSR!$A:$A,'Progress%'!$B9,EDSR!$P:$P,"&lt;="&amp;DE$6)*0.2+SUMIFS(EDSR!$J:$J,EDSR!$A:$A,'Progress%'!$B9,EDSR!$S:$S,"&lt;="&amp;DE$6)*0.1+SUMIFS(EDSR!$J:$J,EDSR!$A:$A,'Progress%'!$B9,EDSR!$V:$V,"&lt;="&amp;DE$6)*0.2)/$C9</f>
        <v>0.67210000000000036</v>
      </c>
      <c r="DF9" s="14">
        <f>IF($C9&gt;0,SUMIFS(EDSR!$J:$J,EDSR!$A:$A,'Progress%'!$B9,EDSR!$M:$M,"&lt;="&amp;DF$6)*0.5+SUMIFS(EDSR!$J:$J,EDSR!$A:$A,'Progress%'!$B9,EDSR!$P:$P,"&lt;="&amp;DF$6)*0.2+SUMIFS(EDSR!$J:$J,EDSR!$A:$A,'Progress%'!$B9,EDSR!$S:$S,"&lt;="&amp;DF$6)*0.1+SUMIFS(EDSR!$J:$J,EDSR!$A:$A,'Progress%'!$B9,EDSR!$V:$V,"&lt;="&amp;DF$6)*0.2)/$C9</f>
        <v>0.67210000000000036</v>
      </c>
      <c r="DG9" s="14">
        <f>IF($C9&gt;0,SUMIFS(EDSR!$J:$J,EDSR!$A:$A,'Progress%'!$B9,EDSR!$M:$M,"&lt;="&amp;DG$6)*0.5+SUMIFS(EDSR!$J:$J,EDSR!$A:$A,'Progress%'!$B9,EDSR!$P:$P,"&lt;="&amp;DG$6)*0.2+SUMIFS(EDSR!$J:$J,EDSR!$A:$A,'Progress%'!$B9,EDSR!$S:$S,"&lt;="&amp;DG$6)*0.1+SUMIFS(EDSR!$J:$J,EDSR!$A:$A,'Progress%'!$B9,EDSR!$V:$V,"&lt;="&amp;DG$6)*0.2)/$C9</f>
        <v>0.67210000000000036</v>
      </c>
      <c r="DH9" s="14">
        <f>IF($C9&gt;0,SUMIFS(EDSR!$J:$J,EDSR!$A:$A,'Progress%'!$B9,EDSR!$M:$M,"&lt;="&amp;DH$6)*0.5+SUMIFS(EDSR!$J:$J,EDSR!$A:$A,'Progress%'!$B9,EDSR!$P:$P,"&lt;="&amp;DH$6)*0.2+SUMIFS(EDSR!$J:$J,EDSR!$A:$A,'Progress%'!$B9,EDSR!$S:$S,"&lt;="&amp;DH$6)*0.1+SUMIFS(EDSR!$J:$J,EDSR!$A:$A,'Progress%'!$B9,EDSR!$V:$V,"&lt;="&amp;DH$6)*0.2)/$C9</f>
        <v>0.67210000000000036</v>
      </c>
      <c r="DI9" s="14">
        <f>IF($C9&gt;0,SUMIFS(EDSR!$J:$J,EDSR!$A:$A,'Progress%'!$B9,EDSR!$M:$M,"&lt;="&amp;DI$6)*0.5+SUMIFS(EDSR!$J:$J,EDSR!$A:$A,'Progress%'!$B9,EDSR!$P:$P,"&lt;="&amp;DI$6)*0.2+SUMIFS(EDSR!$J:$J,EDSR!$A:$A,'Progress%'!$B9,EDSR!$S:$S,"&lt;="&amp;DI$6)*0.1+SUMIFS(EDSR!$J:$J,EDSR!$A:$A,'Progress%'!$B9,EDSR!$V:$V,"&lt;="&amp;DI$6)*0.2)/$C9</f>
        <v>0.67210000000000036</v>
      </c>
      <c r="DJ9" s="14">
        <f>IF($C9&gt;0,SUMIFS(EDSR!$J:$J,EDSR!$A:$A,'Progress%'!$B9,EDSR!$M:$M,"&lt;="&amp;DJ$6)*0.5+SUMIFS(EDSR!$J:$J,EDSR!$A:$A,'Progress%'!$B9,EDSR!$P:$P,"&lt;="&amp;DJ$6)*0.2+SUMIFS(EDSR!$J:$J,EDSR!$A:$A,'Progress%'!$B9,EDSR!$S:$S,"&lt;="&amp;DJ$6)*0.1+SUMIFS(EDSR!$J:$J,EDSR!$A:$A,'Progress%'!$B9,EDSR!$V:$V,"&lt;="&amp;DJ$6)*0.2)/$C9</f>
        <v>0.67210000000000036</v>
      </c>
      <c r="DK9" s="14">
        <f>IF($C9&gt;0,SUMIFS(EDSR!$J:$J,EDSR!$A:$A,'Progress%'!$B9,EDSR!$M:$M,"&lt;="&amp;DK$6)*0.5+SUMIFS(EDSR!$J:$J,EDSR!$A:$A,'Progress%'!$B9,EDSR!$P:$P,"&lt;="&amp;DK$6)*0.2+SUMIFS(EDSR!$J:$J,EDSR!$A:$A,'Progress%'!$B9,EDSR!$S:$S,"&lt;="&amp;DK$6)*0.1+SUMIFS(EDSR!$J:$J,EDSR!$A:$A,'Progress%'!$B9,EDSR!$V:$V,"&lt;="&amp;DK$6)*0.2)/$C9</f>
        <v>0.67210000000000036</v>
      </c>
      <c r="DL9" s="14">
        <f>IF($C9&gt;0,SUMIFS(EDSR!$J:$J,EDSR!$A:$A,'Progress%'!$B9,EDSR!$M:$M,"&lt;="&amp;DL$6)*0.5+SUMIFS(EDSR!$J:$J,EDSR!$A:$A,'Progress%'!$B9,EDSR!$P:$P,"&lt;="&amp;DL$6)*0.2+SUMIFS(EDSR!$J:$J,EDSR!$A:$A,'Progress%'!$B9,EDSR!$S:$S,"&lt;="&amp;DL$6)*0.1+SUMIFS(EDSR!$J:$J,EDSR!$A:$A,'Progress%'!$B9,EDSR!$V:$V,"&lt;="&amp;DL$6)*0.2)/$C9</f>
        <v>0.67210000000000036</v>
      </c>
      <c r="DM9" s="14">
        <f>IF($C9&gt;0,SUMIFS(EDSR!$J:$J,EDSR!$A:$A,'Progress%'!$B9,EDSR!$M:$M,"&lt;="&amp;DM$6)*0.5+SUMIFS(EDSR!$J:$J,EDSR!$A:$A,'Progress%'!$B9,EDSR!$P:$P,"&lt;="&amp;DM$6)*0.2+SUMIFS(EDSR!$J:$J,EDSR!$A:$A,'Progress%'!$B9,EDSR!$S:$S,"&lt;="&amp;DM$6)*0.1+SUMIFS(EDSR!$J:$J,EDSR!$A:$A,'Progress%'!$B9,EDSR!$V:$V,"&lt;="&amp;DM$6)*0.2)/$C9</f>
        <v>0.67210000000000036</v>
      </c>
    </row>
    <row r="10" spans="1:117" x14ac:dyDescent="0.35">
      <c r="A10">
        <v>10</v>
      </c>
      <c r="O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DF22"/>
  <sheetViews>
    <sheetView topLeftCell="A6" zoomScale="50" zoomScaleNormal="50" zoomScaleSheetLayoutView="40" workbookViewId="0">
      <selection activeCell="Y14" sqref="Y14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109" width="4.54296875" style="22" customWidth="1"/>
    <col min="110" max="110" width="3.54296875" style="22" customWidth="1"/>
    <col min="111" max="16384" width="9.36328125" style="22"/>
  </cols>
  <sheetData>
    <row r="2" spans="1:110" ht="15" thickBot="1" x14ac:dyDescent="0.4"/>
    <row r="3" spans="1:110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5"/>
    </row>
    <row r="4" spans="1:110" ht="45" x14ac:dyDescent="0.35">
      <c r="B4" s="26"/>
      <c r="C4" s="208" t="s">
        <v>244</v>
      </c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208"/>
      <c r="BX4" s="208"/>
      <c r="BY4" s="208"/>
      <c r="BZ4" s="208"/>
      <c r="CA4" s="208"/>
      <c r="CB4" s="208"/>
      <c r="CC4" s="208"/>
      <c r="CD4" s="208"/>
      <c r="CE4" s="208"/>
      <c r="CF4" s="208"/>
      <c r="CG4" s="208"/>
      <c r="CH4" s="208"/>
      <c r="CI4" s="208"/>
      <c r="CJ4" s="208"/>
      <c r="CK4" s="208"/>
      <c r="CL4" s="208"/>
      <c r="CM4" s="208"/>
      <c r="CN4" s="208"/>
      <c r="CO4" s="208"/>
      <c r="CP4" s="208"/>
      <c r="CQ4" s="208"/>
      <c r="CR4" s="208"/>
      <c r="CS4" s="208"/>
      <c r="CT4" s="208"/>
      <c r="CU4" s="208"/>
      <c r="CV4" s="208"/>
      <c r="CW4" s="208"/>
      <c r="CX4" s="208"/>
      <c r="CY4" s="208"/>
      <c r="CZ4" s="208"/>
      <c r="DA4" s="208"/>
      <c r="DB4" s="208"/>
      <c r="DC4" s="208"/>
      <c r="DD4" s="208"/>
      <c r="DE4" s="208"/>
      <c r="DF4" s="27"/>
    </row>
    <row r="5" spans="1:110" ht="45" x14ac:dyDescent="0.35">
      <c r="B5" s="26"/>
      <c r="C5" s="209" t="s">
        <v>56</v>
      </c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7"/>
    </row>
    <row r="6" spans="1:110" s="29" customFormat="1" ht="250.25" customHeight="1" x14ac:dyDescent="0.25">
      <c r="B6" s="30"/>
      <c r="DF6" s="28"/>
    </row>
    <row r="7" spans="1:110" s="29" customFormat="1" ht="250.25" customHeight="1" x14ac:dyDescent="0.25">
      <c r="B7" s="30"/>
      <c r="DF7" s="28"/>
    </row>
    <row r="8" spans="1:110" s="29" customFormat="1" ht="160.5" customHeight="1" x14ac:dyDescent="0.25">
      <c r="B8" s="30"/>
      <c r="DF8" s="28"/>
    </row>
    <row r="9" spans="1:110" s="31" customFormat="1" ht="29.25" customHeight="1" x14ac:dyDescent="0.25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32"/>
    </row>
    <row r="10" spans="1:110" s="29" customFormat="1" ht="31.5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57">
        <v>99</v>
      </c>
      <c r="CT10" s="57">
        <v>100</v>
      </c>
      <c r="CU10" s="57">
        <v>101</v>
      </c>
      <c r="CV10" s="57">
        <v>102</v>
      </c>
      <c r="CW10" s="57">
        <v>103</v>
      </c>
      <c r="CX10" s="57">
        <v>104</v>
      </c>
      <c r="CY10" s="57">
        <v>105</v>
      </c>
      <c r="CZ10" s="57">
        <v>106</v>
      </c>
      <c r="DA10" s="57">
        <v>107</v>
      </c>
      <c r="DB10" s="57">
        <v>108</v>
      </c>
      <c r="DC10" s="57">
        <v>109</v>
      </c>
      <c r="DD10" s="57">
        <v>110</v>
      </c>
      <c r="DE10" s="57">
        <v>111</v>
      </c>
      <c r="DF10" s="28"/>
    </row>
    <row r="11" spans="1:110" s="34" customFormat="1" ht="120" customHeight="1" thickTop="1" thickBot="1" x14ac:dyDescent="0.4">
      <c r="A11" s="59" t="s">
        <v>61</v>
      </c>
      <c r="B11" s="58"/>
      <c r="C11" s="51" t="s">
        <v>19</v>
      </c>
      <c r="D11" s="52">
        <v>46101</v>
      </c>
      <c r="E11" s="52">
        <v>46108</v>
      </c>
      <c r="F11" s="52">
        <v>46115</v>
      </c>
      <c r="G11" s="52">
        <v>46122</v>
      </c>
      <c r="H11" s="52">
        <v>46129</v>
      </c>
      <c r="I11" s="52">
        <v>46136</v>
      </c>
      <c r="J11" s="52">
        <v>46143</v>
      </c>
      <c r="K11" s="52">
        <v>46150</v>
      </c>
      <c r="L11" s="52">
        <v>46157</v>
      </c>
      <c r="M11" s="52">
        <v>46164</v>
      </c>
      <c r="N11" s="52">
        <v>46171</v>
      </c>
      <c r="O11" s="52">
        <v>46178</v>
      </c>
      <c r="P11" s="52">
        <v>46185</v>
      </c>
      <c r="Q11" s="52">
        <v>46192</v>
      </c>
      <c r="R11" s="52">
        <v>46199</v>
      </c>
      <c r="S11" s="52">
        <v>46206</v>
      </c>
      <c r="T11" s="52">
        <v>46213</v>
      </c>
      <c r="U11" s="52">
        <v>46220</v>
      </c>
      <c r="V11" s="52">
        <v>46227</v>
      </c>
      <c r="W11" s="52">
        <v>46234</v>
      </c>
      <c r="X11" s="52">
        <v>46241</v>
      </c>
      <c r="Y11" s="52">
        <v>46248</v>
      </c>
      <c r="Z11" s="52">
        <v>46255</v>
      </c>
      <c r="AA11" s="52">
        <v>46262</v>
      </c>
      <c r="AB11" s="52">
        <v>46269</v>
      </c>
      <c r="AC11" s="52">
        <v>46276</v>
      </c>
      <c r="AD11" s="52">
        <v>46283</v>
      </c>
      <c r="AE11" s="52">
        <v>46290</v>
      </c>
      <c r="AF11" s="52">
        <v>46297</v>
      </c>
      <c r="AG11" s="52">
        <v>46304</v>
      </c>
      <c r="AH11" s="52">
        <v>46311</v>
      </c>
      <c r="AI11" s="52">
        <v>46318</v>
      </c>
      <c r="AJ11" s="52">
        <v>46325</v>
      </c>
      <c r="AK11" s="52">
        <v>46332</v>
      </c>
      <c r="AL11" s="52">
        <v>46339</v>
      </c>
      <c r="AM11" s="52">
        <v>46346</v>
      </c>
      <c r="AN11" s="52">
        <v>46353</v>
      </c>
      <c r="AO11" s="52">
        <v>46360</v>
      </c>
      <c r="AP11" s="52">
        <v>46367</v>
      </c>
      <c r="AQ11" s="52">
        <v>46374</v>
      </c>
      <c r="AR11" s="52">
        <v>46381</v>
      </c>
      <c r="AS11" s="52">
        <v>46388</v>
      </c>
      <c r="AT11" s="52">
        <v>46395</v>
      </c>
      <c r="AU11" s="52">
        <v>46402</v>
      </c>
      <c r="AV11" s="52">
        <v>46409</v>
      </c>
      <c r="AW11" s="52">
        <v>46416</v>
      </c>
      <c r="AX11" s="52">
        <v>46423</v>
      </c>
      <c r="AY11" s="52">
        <v>46430</v>
      </c>
      <c r="AZ11" s="52">
        <v>46437</v>
      </c>
      <c r="BA11" s="52">
        <v>46444</v>
      </c>
      <c r="BB11" s="52">
        <v>46451</v>
      </c>
      <c r="BC11" s="52">
        <v>46458</v>
      </c>
      <c r="BD11" s="52">
        <v>46465</v>
      </c>
      <c r="BE11" s="52">
        <v>46472</v>
      </c>
      <c r="BF11" s="52">
        <v>46479</v>
      </c>
      <c r="BG11" s="52">
        <v>46486</v>
      </c>
      <c r="BH11" s="52">
        <v>46493</v>
      </c>
      <c r="BI11" s="52">
        <v>46500</v>
      </c>
      <c r="BJ11" s="52">
        <v>46507</v>
      </c>
      <c r="BK11" s="52">
        <v>46514</v>
      </c>
      <c r="BL11" s="52">
        <v>46521</v>
      </c>
      <c r="BM11" s="52">
        <v>46528</v>
      </c>
      <c r="BN11" s="52">
        <v>46535</v>
      </c>
      <c r="BO11" s="52">
        <v>46542</v>
      </c>
      <c r="BP11" s="52">
        <v>46549</v>
      </c>
      <c r="BQ11" s="52">
        <v>46556</v>
      </c>
      <c r="BR11" s="52">
        <v>46563</v>
      </c>
      <c r="BS11" s="52">
        <v>46570</v>
      </c>
      <c r="BT11" s="52">
        <v>46577</v>
      </c>
      <c r="BU11" s="52">
        <v>46584</v>
      </c>
      <c r="BV11" s="52">
        <v>46591</v>
      </c>
      <c r="BW11" s="52">
        <v>46598</v>
      </c>
      <c r="BX11" s="52">
        <v>46605</v>
      </c>
      <c r="BY11" s="52">
        <v>46612</v>
      </c>
      <c r="BZ11" s="52">
        <v>46619</v>
      </c>
      <c r="CA11" s="52">
        <v>46626</v>
      </c>
      <c r="CB11" s="52">
        <v>46633</v>
      </c>
      <c r="CC11" s="52">
        <v>46640</v>
      </c>
      <c r="CD11" s="52">
        <v>46647</v>
      </c>
      <c r="CE11" s="52">
        <v>46654</v>
      </c>
      <c r="CF11" s="52">
        <v>46661</v>
      </c>
      <c r="CG11" s="52">
        <v>46668</v>
      </c>
      <c r="CH11" s="52">
        <v>46675</v>
      </c>
      <c r="CI11" s="52">
        <v>46682</v>
      </c>
      <c r="CJ11" s="52">
        <v>46689</v>
      </c>
      <c r="CK11" s="52">
        <v>46696</v>
      </c>
      <c r="CL11" s="52">
        <v>46703</v>
      </c>
      <c r="CM11" s="52">
        <v>46710</v>
      </c>
      <c r="CN11" s="52">
        <v>46717</v>
      </c>
      <c r="CO11" s="52">
        <v>46724</v>
      </c>
      <c r="CP11" s="52">
        <v>46731</v>
      </c>
      <c r="CQ11" s="52">
        <v>46738</v>
      </c>
      <c r="CR11" s="52">
        <v>46745</v>
      </c>
      <c r="CS11" s="52">
        <v>46752</v>
      </c>
      <c r="CT11" s="52">
        <v>46759</v>
      </c>
      <c r="CU11" s="52">
        <v>46766</v>
      </c>
      <c r="CV11" s="52">
        <v>46773</v>
      </c>
      <c r="CW11" s="52">
        <v>46780</v>
      </c>
      <c r="CX11" s="52">
        <v>46787</v>
      </c>
      <c r="CY11" s="52">
        <v>46794</v>
      </c>
      <c r="CZ11" s="52">
        <v>46801</v>
      </c>
      <c r="DA11" s="52">
        <v>46808</v>
      </c>
      <c r="DB11" s="52">
        <v>46815</v>
      </c>
      <c r="DC11" s="52">
        <v>46822</v>
      </c>
      <c r="DD11" s="52">
        <v>46829</v>
      </c>
      <c r="DE11" s="52">
        <v>46836</v>
      </c>
      <c r="DF11" s="33"/>
    </row>
    <row r="12" spans="1:110" s="40" customFormat="1" ht="75" customHeight="1" x14ac:dyDescent="0.35">
      <c r="A12" s="35">
        <f>_xlfn.XLOOKUP(A11,Cut_Off!E:E,Cut_Off!F:F,0)</f>
        <v>7</v>
      </c>
      <c r="B12" s="36"/>
      <c r="C12" s="37" t="s">
        <v>245</v>
      </c>
      <c r="D12" s="38" cm="1">
        <f t="array" ref="D12">INDEX('Progress%'!$A$1:$DG$10,'S-Curves'!$A12,'S-Curves'!D$10)</f>
        <v>0</v>
      </c>
      <c r="E12" s="38" cm="1">
        <f t="array" ref="E12">INDEX('Progress%'!$A$1:$DG$10,'S-Curves'!$A12,'S-Curves'!E$10)</f>
        <v>0</v>
      </c>
      <c r="F12" s="38" cm="1">
        <f t="array" ref="F12">INDEX('Progress%'!$A$1:$DG$10,'S-Curves'!$A12,'S-Curves'!F$10)</f>
        <v>5.0000000000000001E-3</v>
      </c>
      <c r="G12" s="38" cm="1">
        <f t="array" ref="G12">INDEX('Progress%'!$A$1:$DG$10,'S-Curves'!$A12,'S-Curves'!G$10)</f>
        <v>7.0000000000000007E-2</v>
      </c>
      <c r="H12" s="38" cm="1">
        <f t="array" ref="H12">INDEX('Progress%'!$A$1:$DG$10,'S-Curves'!$A12,'S-Curves'!H$10)</f>
        <v>7.0000000000000007E-2</v>
      </c>
      <c r="I12" s="38" cm="1">
        <f t="array" ref="I12">INDEX('Progress%'!$A$1:$DG$10,'S-Curves'!$A12,'S-Curves'!I$10)</f>
        <v>9.7500000000000003E-2</v>
      </c>
      <c r="J12" s="38" cm="1">
        <f t="array" ref="J12">INDEX('Progress%'!$A$1:$DG$10,'S-Curves'!$A12,'S-Curves'!J$10)</f>
        <v>0.13</v>
      </c>
      <c r="K12" s="38" cm="1">
        <f t="array" ref="K12">INDEX('Progress%'!$A$1:$DG$10,'S-Curves'!$A12,'S-Curves'!K$10)</f>
        <v>0.14000000000000001</v>
      </c>
      <c r="L12" s="38" cm="1">
        <f t="array" ref="L12">INDEX('Progress%'!$A$1:$DG$10,'S-Curves'!$A12,'S-Curves'!L$10)</f>
        <v>0.1657499999999999</v>
      </c>
      <c r="M12" s="38" cm="1">
        <f t="array" ref="M12">INDEX('Progress%'!$A$1:$DG$10,'S-Curves'!$A12,'S-Curves'!M$10)</f>
        <v>0.21174999999999986</v>
      </c>
      <c r="N12" s="38" cm="1">
        <f t="array" ref="N12">INDEX('Progress%'!$A$1:$DG$10,'S-Curves'!$A12,'S-Curves'!N$10)</f>
        <v>0.2469999999999998</v>
      </c>
      <c r="O12" s="38" cm="1">
        <f t="array" ref="O12">INDEX('Progress%'!$A$1:$DG$10,'S-Curves'!$A12,'S-Curves'!O$10)</f>
        <v>0.29524999999999962</v>
      </c>
      <c r="P12" s="38" cm="1">
        <f t="array" ref="P12">INDEX('Progress%'!$A$1:$DG$10,'S-Curves'!$A12,'S-Curves'!P$10)</f>
        <v>0.34749999999999959</v>
      </c>
      <c r="Q12" s="38" cm="1">
        <f t="array" ref="Q12">INDEX('Progress%'!$A$1:$DG$10,'S-Curves'!$A12,'S-Curves'!Q$10)</f>
        <v>0.36149999999999954</v>
      </c>
      <c r="R12" s="38" cm="1">
        <f t="array" ref="R12">INDEX('Progress%'!$A$1:$DG$10,'S-Curves'!$A12,'S-Curves'!R$10)</f>
        <v>0.41600000000000059</v>
      </c>
      <c r="S12" s="38" cm="1">
        <f t="array" ref="S12">INDEX('Progress%'!$A$1:$DG$10,'S-Curves'!$A12,'S-Curves'!S$10)</f>
        <v>0.45700000000000146</v>
      </c>
      <c r="T12" s="38" cm="1">
        <f t="array" ref="T12">INDEX('Progress%'!$A$1:$DG$10,'S-Curves'!$A12,'S-Curves'!T$10)</f>
        <v>0.49360000000000143</v>
      </c>
      <c r="U12" s="38" cm="1">
        <f t="array" ref="U12">INDEX('Progress%'!$A$1:$DG$10,'S-Curves'!$A12,'S-Curves'!U$10)</f>
        <v>0.55760000000000109</v>
      </c>
      <c r="V12" s="38" cm="1">
        <f t="array" ref="V12">INDEX('Progress%'!$A$1:$DG$10,'S-Curves'!$A12,'S-Curves'!V$10)</f>
        <v>0.6036999999999999</v>
      </c>
      <c r="W12" s="38" cm="1">
        <f t="array" ref="W12">INDEX('Progress%'!$A$1:$DG$10,'S-Curves'!$A12,'S-Curves'!W$10)</f>
        <v>0.62419999999999987</v>
      </c>
      <c r="X12" s="38" cm="1">
        <f t="array" ref="X12">INDEX('Progress%'!$A$1:$DG$10,'S-Curves'!$A12,'S-Curves'!X$10)</f>
        <v>0.6595500000000003</v>
      </c>
      <c r="Y12" s="38" cm="1">
        <f t="array" ref="Y12">INDEX('Progress%'!$A$1:$DG$10,'S-Curves'!$A12,'S-Curves'!Y$10)</f>
        <v>0.67555000000000065</v>
      </c>
      <c r="Z12" s="38" cm="1">
        <f t="array" ref="Z12">INDEX('Progress%'!$A$1:$DG$10,'S-Curves'!$A12,'S-Curves'!Z$10)</f>
        <v>0.7051000000000005</v>
      </c>
      <c r="AA12" s="38" cm="1">
        <f t="array" ref="AA12">INDEX('Progress%'!$A$1:$DG$10,'S-Curves'!$A12,'S-Curves'!AA$10)</f>
        <v>0.73275000000000046</v>
      </c>
      <c r="AB12" s="38" cm="1">
        <f t="array" ref="AB12">INDEX('Progress%'!$A$1:$DG$10,'S-Curves'!$A12,'S-Curves'!AB$10)</f>
        <v>0.76709999999999989</v>
      </c>
      <c r="AC12" s="38" cm="1">
        <f t="array" ref="AC12">INDEX('Progress%'!$A$1:$DG$10,'S-Curves'!$A12,'S-Curves'!AC$10)</f>
        <v>0.78719999999999968</v>
      </c>
      <c r="AD12" s="38" cm="1">
        <f t="array" ref="AD12">INDEX('Progress%'!$A$1:$DG$10,'S-Curves'!$A12,'S-Curves'!AD$10)</f>
        <v>0.81009999999999993</v>
      </c>
      <c r="AE12" s="38" cm="1">
        <f t="array" ref="AE12">INDEX('Progress%'!$A$1:$DG$10,'S-Curves'!$A12,'S-Curves'!AE$10)</f>
        <v>0.82010000000000016</v>
      </c>
      <c r="AF12" s="38" cm="1">
        <f t="array" ref="AF12">INDEX('Progress%'!$A$1:$DG$10,'S-Curves'!$A12,'S-Curves'!AF$10)</f>
        <v>0.84420000000000073</v>
      </c>
      <c r="AG12" s="38" cm="1">
        <f t="array" ref="AG12">INDEX('Progress%'!$A$1:$DG$10,'S-Curves'!$A12,'S-Curves'!AG$10)</f>
        <v>0.85740000000000094</v>
      </c>
      <c r="AH12" s="38" cm="1">
        <f t="array" ref="AH12">INDEX('Progress%'!$A$1:$DG$10,'S-Curves'!$A12,'S-Curves'!AH$10)</f>
        <v>0.87350000000000083</v>
      </c>
      <c r="AI12" s="38" cm="1">
        <f t="array" ref="AI12">INDEX('Progress%'!$A$1:$DG$10,'S-Curves'!$A12,'S-Curves'!AI$10)</f>
        <v>0.88020000000000065</v>
      </c>
      <c r="AJ12" s="38" cm="1">
        <f t="array" ref="AJ12">INDEX('Progress%'!$A$1:$DG$10,'S-Curves'!$A12,'S-Curves'!AJ$10)</f>
        <v>0.89040000000000019</v>
      </c>
      <c r="AK12" s="38" cm="1">
        <f t="array" ref="AK12">INDEX('Progress%'!$A$1:$DG$10,'S-Curves'!$A12,'S-Curves'!AK$10)</f>
        <v>0.89100000000000024</v>
      </c>
      <c r="AL12" s="38" cm="1">
        <f t="array" ref="AL12">INDEX('Progress%'!$A$1:$DG$10,'S-Curves'!$A12,'S-Curves'!AL$10)</f>
        <v>0.89200000000000013</v>
      </c>
      <c r="AM12" s="38" cm="1">
        <f t="array" ref="AM12">INDEX('Progress%'!$A$1:$DG$10,'S-Curves'!$A12,'S-Curves'!AM$10)</f>
        <v>0.89300000000000024</v>
      </c>
      <c r="AN12" s="38" cm="1">
        <f t="array" ref="AN12">INDEX('Progress%'!$A$1:$DG$10,'S-Curves'!$A12,'S-Curves'!AN$10)</f>
        <v>0.89600000000000024</v>
      </c>
      <c r="AO12" s="38" cm="1">
        <f t="array" ref="AO12">INDEX('Progress%'!$A$1:$DG$10,'S-Curves'!$A12,'S-Curves'!AO$10)</f>
        <v>0.89800000000000013</v>
      </c>
      <c r="AP12" s="38" cm="1">
        <f t="array" ref="AP12">INDEX('Progress%'!$A$1:$DG$10,'S-Curves'!$A12,'S-Curves'!AP$10)</f>
        <v>0.90000000000000013</v>
      </c>
      <c r="AQ12" s="38" cm="1">
        <f t="array" ref="AQ12">INDEX('Progress%'!$A$1:$DG$10,'S-Curves'!$A12,'S-Curves'!AQ$10)</f>
        <v>0.90000000000000013</v>
      </c>
      <c r="AR12" s="38" cm="1">
        <f t="array" ref="AR12">INDEX('Progress%'!$A$1:$DG$10,'S-Curves'!$A12,'S-Curves'!AR$10)</f>
        <v>0.90000000000000013</v>
      </c>
      <c r="AS12" s="38" cm="1">
        <f t="array" ref="AS12">INDEX('Progress%'!$A$1:$DG$10,'S-Curves'!$A12,'S-Curves'!AS$10)</f>
        <v>0.90000000000000013</v>
      </c>
      <c r="AT12" s="38" cm="1">
        <f t="array" ref="AT12">INDEX('Progress%'!$A$1:$DG$10,'S-Curves'!$A12,'S-Curves'!AT$10)</f>
        <v>0.90000000000000013</v>
      </c>
      <c r="AU12" s="38" cm="1">
        <f t="array" ref="AU12">INDEX('Progress%'!$A$1:$DG$10,'S-Curves'!$A12,'S-Curves'!AU$10)</f>
        <v>0.90000000000000013</v>
      </c>
      <c r="AV12" s="38" cm="1">
        <f t="array" ref="AV12">INDEX('Progress%'!$A$1:$DG$10,'S-Curves'!$A12,'S-Curves'!AV$10)</f>
        <v>0.90000000000000013</v>
      </c>
      <c r="AW12" s="38" cm="1">
        <f t="array" ref="AW12">INDEX('Progress%'!$A$1:$DG$10,'S-Curves'!$A12,'S-Curves'!AW$10)</f>
        <v>0.90000000000000013</v>
      </c>
      <c r="AX12" s="38" cm="1">
        <f t="array" ref="AX12">INDEX('Progress%'!$A$1:$DG$10,'S-Curves'!$A12,'S-Curves'!AX$10)</f>
        <v>0.90000000000000013</v>
      </c>
      <c r="AY12" s="38" cm="1">
        <f t="array" ref="AY12">INDEX('Progress%'!$A$1:$DG$10,'S-Curves'!$A12,'S-Curves'!AY$10)</f>
        <v>0.90000000000000013</v>
      </c>
      <c r="AZ12" s="38" cm="1">
        <f t="array" ref="AZ12">INDEX('Progress%'!$A$1:$DG$10,'S-Curves'!$A12,'S-Curves'!AZ$10)</f>
        <v>0.90000000000000013</v>
      </c>
      <c r="BA12" s="38" cm="1">
        <f t="array" ref="BA12">INDEX('Progress%'!$A$1:$DG$10,'S-Curves'!$A12,'S-Curves'!BA$10)</f>
        <v>0.90000000000000013</v>
      </c>
      <c r="BB12" s="38" cm="1">
        <f t="array" ref="BB12">INDEX('Progress%'!$A$1:$DG$10,'S-Curves'!$A12,'S-Curves'!BB$10)</f>
        <v>0.90000000000000013</v>
      </c>
      <c r="BC12" s="38" cm="1">
        <f t="array" ref="BC12">INDEX('Progress%'!$A$1:$DG$10,'S-Curves'!$A12,'S-Curves'!BC$10)</f>
        <v>0.90000000000000013</v>
      </c>
      <c r="BD12" s="38" cm="1">
        <f t="array" ref="BD12">INDEX('Progress%'!$A$1:$DG$10,'S-Curves'!$A12,'S-Curves'!BD$10)</f>
        <v>0.90000000000000013</v>
      </c>
      <c r="BE12" s="38" cm="1">
        <f t="array" ref="BE12">INDEX('Progress%'!$A$1:$DG$10,'S-Curves'!$A12,'S-Curves'!BE$10)</f>
        <v>0.90000000000000013</v>
      </c>
      <c r="BF12" s="38" cm="1">
        <f t="array" ref="BF12">INDEX('Progress%'!$A$1:$DG$10,'S-Curves'!$A12,'S-Curves'!BF$10)</f>
        <v>0.90000000000000013</v>
      </c>
      <c r="BG12" s="38" cm="1">
        <f t="array" ref="BG12">INDEX('Progress%'!$A$1:$DG$10,'S-Curves'!$A12,'S-Curves'!BG$10)</f>
        <v>0.90000000000000013</v>
      </c>
      <c r="BH12" s="38" cm="1">
        <f t="array" ref="BH12">INDEX('Progress%'!$A$1:$DG$10,'S-Curves'!$A12,'S-Curves'!BH$10)</f>
        <v>0.90000000000000013</v>
      </c>
      <c r="BI12" s="38" cm="1">
        <f t="array" ref="BI12">INDEX('Progress%'!$A$1:$DG$10,'S-Curves'!$A12,'S-Curves'!BI$10)</f>
        <v>0.90000000000000013</v>
      </c>
      <c r="BJ12" s="38" cm="1">
        <f t="array" ref="BJ12">INDEX('Progress%'!$A$1:$DG$10,'S-Curves'!$A12,'S-Curves'!BJ$10)</f>
        <v>0.90000000000000013</v>
      </c>
      <c r="BK12" s="38" cm="1">
        <f t="array" ref="BK12">INDEX('Progress%'!$A$1:$DG$10,'S-Curves'!$A12,'S-Curves'!BK$10)</f>
        <v>0.90000000000000013</v>
      </c>
      <c r="BL12" s="38" cm="1">
        <f t="array" ref="BL12">INDEX('Progress%'!$A$1:$DG$10,'S-Curves'!$A12,'S-Curves'!BL$10)</f>
        <v>0.90000000000000013</v>
      </c>
      <c r="BM12" s="38" cm="1">
        <f t="array" ref="BM12">INDEX('Progress%'!$A$1:$DG$10,'S-Curves'!$A12,'S-Curves'!BM$10)</f>
        <v>0.90000000000000013</v>
      </c>
      <c r="BN12" s="38" cm="1">
        <f t="array" ref="BN12">INDEX('Progress%'!$A$1:$DG$10,'S-Curves'!$A12,'S-Curves'!BN$10)</f>
        <v>0.90000000000000013</v>
      </c>
      <c r="BO12" s="38" cm="1">
        <f t="array" ref="BO12">INDEX('Progress%'!$A$1:$DG$10,'S-Curves'!$A12,'S-Curves'!BO$10)</f>
        <v>0.90000000000000013</v>
      </c>
      <c r="BP12" s="38" cm="1">
        <f t="array" ref="BP12">INDEX('Progress%'!$A$1:$DG$10,'S-Curves'!$A12,'S-Curves'!BP$10)</f>
        <v>0.90000000000000013</v>
      </c>
      <c r="BQ12" s="38" cm="1">
        <f t="array" ref="BQ12">INDEX('Progress%'!$A$1:$DG$10,'S-Curves'!$A12,'S-Curves'!BQ$10)</f>
        <v>0.90000000000000013</v>
      </c>
      <c r="BR12" s="38" cm="1">
        <f t="array" ref="BR12">INDEX('Progress%'!$A$1:$DG$10,'S-Curves'!$A12,'S-Curves'!BR$10)</f>
        <v>0.90000000000000013</v>
      </c>
      <c r="BS12" s="38" cm="1">
        <f t="array" ref="BS12">INDEX('Progress%'!$A$1:$DG$10,'S-Curves'!$A12,'S-Curves'!BS$10)</f>
        <v>0.90000000000000013</v>
      </c>
      <c r="BT12" s="38" cm="1">
        <f t="array" ref="BT12">INDEX('Progress%'!$A$1:$DG$10,'S-Curves'!$A12,'S-Curves'!BT$10)</f>
        <v>0.90000000000000013</v>
      </c>
      <c r="BU12" s="38" cm="1">
        <f t="array" ref="BU12">INDEX('Progress%'!$A$1:$DG$10,'S-Curves'!$A12,'S-Curves'!BU$10)</f>
        <v>0.90000000000000013</v>
      </c>
      <c r="BV12" s="38" cm="1">
        <f t="array" ref="BV12">INDEX('Progress%'!$A$1:$DG$10,'S-Curves'!$A12,'S-Curves'!BV$10)</f>
        <v>0.90000000000000013</v>
      </c>
      <c r="BW12" s="38" cm="1">
        <f t="array" ref="BW12">INDEX('Progress%'!$A$1:$DG$10,'S-Curves'!$A12,'S-Curves'!BW$10)</f>
        <v>0.90000000000000013</v>
      </c>
      <c r="BX12" s="38" cm="1">
        <f t="array" ref="BX12">INDEX('Progress%'!$A$1:$DG$10,'S-Curves'!$A12,'S-Curves'!BX$10)</f>
        <v>0.90000000000000013</v>
      </c>
      <c r="BY12" s="38" cm="1">
        <f t="array" ref="BY12">INDEX('Progress%'!$A$1:$DG$10,'S-Curves'!$A12,'S-Curves'!BY$10)</f>
        <v>0.90000000000000013</v>
      </c>
      <c r="BZ12" s="38" cm="1">
        <f t="array" ref="BZ12">INDEX('Progress%'!$A$1:$DG$10,'S-Curves'!$A12,'S-Curves'!BZ$10)</f>
        <v>0.90000000000000013</v>
      </c>
      <c r="CA12" s="38" cm="1">
        <f t="array" ref="CA12">INDEX('Progress%'!$A$1:$DG$10,'S-Curves'!$A12,'S-Curves'!CA$10)</f>
        <v>0.90000000000000013</v>
      </c>
      <c r="CB12" s="38" cm="1">
        <f t="array" ref="CB12">INDEX('Progress%'!$A$1:$DG$10,'S-Curves'!$A12,'S-Curves'!CB$10)</f>
        <v>0.90000000000000013</v>
      </c>
      <c r="CC12" s="38" cm="1">
        <f t="array" ref="CC12">INDEX('Progress%'!$A$1:$DG$10,'S-Curves'!$A12,'S-Curves'!CC$10)</f>
        <v>0.90000000000000013</v>
      </c>
      <c r="CD12" s="38" cm="1">
        <f t="array" ref="CD12">INDEX('Progress%'!$A$1:$DG$10,'S-Curves'!$A12,'S-Curves'!CD$10)</f>
        <v>0.90000000000000013</v>
      </c>
      <c r="CE12" s="38" cm="1">
        <f t="array" ref="CE12">INDEX('Progress%'!$A$1:$DG$10,'S-Curves'!$A12,'S-Curves'!CE$10)</f>
        <v>0.90000000000000013</v>
      </c>
      <c r="CF12" s="38" cm="1">
        <f t="array" ref="CF12">INDEX('Progress%'!$A$1:$DG$10,'S-Curves'!$A12,'S-Curves'!CF$10)</f>
        <v>0.90000000000000013</v>
      </c>
      <c r="CG12" s="38" cm="1">
        <f t="array" ref="CG12">INDEX('Progress%'!$A$1:$DG$10,'S-Curves'!$A12,'S-Curves'!CG$10)</f>
        <v>0.90000000000000013</v>
      </c>
      <c r="CH12" s="38" cm="1">
        <f t="array" ref="CH12">INDEX('Progress%'!$A$1:$DG$10,'S-Curves'!$A12,'S-Curves'!CH$10)</f>
        <v>0.90000000000000013</v>
      </c>
      <c r="CI12" s="38" cm="1">
        <f t="array" ref="CI12">INDEX('Progress%'!$A$1:$DG$10,'S-Curves'!$A12,'S-Curves'!CI$10)</f>
        <v>0.90000000000000013</v>
      </c>
      <c r="CJ12" s="38" cm="1">
        <f t="array" ref="CJ12">INDEX('Progress%'!$A$1:$DG$10,'S-Curves'!$A12,'S-Curves'!CJ$10)</f>
        <v>0.90000000000000013</v>
      </c>
      <c r="CK12" s="38" cm="1">
        <f t="array" ref="CK12">INDEX('Progress%'!$A$1:$DG$10,'S-Curves'!$A12,'S-Curves'!CK$10)</f>
        <v>0.90000000000000013</v>
      </c>
      <c r="CL12" s="38" cm="1">
        <f t="array" ref="CL12">INDEX('Progress%'!$A$1:$DG$10,'S-Curves'!$A12,'S-Curves'!CL$10)</f>
        <v>0.90000000000000013</v>
      </c>
      <c r="CM12" s="38" cm="1">
        <f t="array" ref="CM12">INDEX('Progress%'!$A$1:$DG$10,'S-Curves'!$A12,'S-Curves'!CM$10)</f>
        <v>0.90000000000000013</v>
      </c>
      <c r="CN12" s="38" cm="1">
        <f t="array" ref="CN12">INDEX('Progress%'!$A$1:$DG$10,'S-Curves'!$A12,'S-Curves'!CN$10)</f>
        <v>0.90000000000000013</v>
      </c>
      <c r="CO12" s="38" cm="1">
        <f t="array" ref="CO12">INDEX('Progress%'!$A$1:$DG$10,'S-Curves'!$A12,'S-Curves'!CO$10)</f>
        <v>0.90000000000000013</v>
      </c>
      <c r="CP12" s="38" cm="1">
        <f t="array" ref="CP12">INDEX('Progress%'!$A$1:$DG$10,'S-Curves'!$A12,'S-Curves'!CP$10)</f>
        <v>0.90000000000000013</v>
      </c>
      <c r="CQ12" s="38" cm="1">
        <f t="array" ref="CQ12">INDEX('Progress%'!$A$1:$DG$10,'S-Curves'!$A12,'S-Curves'!CQ$10)</f>
        <v>0.90000000000000013</v>
      </c>
      <c r="CR12" s="38" cm="1">
        <f t="array" ref="CR12">INDEX('Progress%'!$A$1:$DG$10,'S-Curves'!$A12,'S-Curves'!CR$10)</f>
        <v>0.90000000000000013</v>
      </c>
      <c r="CS12" s="38" cm="1">
        <f t="array" ref="CS12">INDEX('Progress%'!$A$1:$DG$10,'S-Curves'!$A12,'S-Curves'!CS$10)</f>
        <v>0.90000000000000013</v>
      </c>
      <c r="CT12" s="38" cm="1">
        <f t="array" ref="CT12">INDEX('Progress%'!$A$1:$DG$10,'S-Curves'!$A12,'S-Curves'!CT$10)</f>
        <v>0.90000000000000013</v>
      </c>
      <c r="CU12" s="38" cm="1">
        <f t="array" ref="CU12">INDEX('Progress%'!$A$1:$DG$10,'S-Curves'!$A12,'S-Curves'!CU$10)</f>
        <v>0.90000000000000013</v>
      </c>
      <c r="CV12" s="38" cm="1">
        <f t="array" ref="CV12">INDEX('Progress%'!$A$1:$DG$10,'S-Curves'!$A12,'S-Curves'!CV$10)</f>
        <v>0.90000000000000013</v>
      </c>
      <c r="CW12" s="38" cm="1">
        <f t="array" ref="CW12">INDEX('Progress%'!$A$1:$DG$10,'S-Curves'!$A12,'S-Curves'!CW$10)</f>
        <v>0.90000000000000013</v>
      </c>
      <c r="CX12" s="38" cm="1">
        <f t="array" ref="CX12">INDEX('Progress%'!$A$1:$DG$10,'S-Curves'!$A12,'S-Curves'!CX$10)</f>
        <v>0.90000000000000013</v>
      </c>
      <c r="CY12" s="38" cm="1">
        <f t="array" ref="CY12">INDEX('Progress%'!$A$1:$DG$10,'S-Curves'!$A12,'S-Curves'!CY$10)</f>
        <v>0.90000000000000013</v>
      </c>
      <c r="CZ12" s="38" cm="1">
        <f t="array" ref="CZ12">INDEX('Progress%'!$A$1:$DG$10,'S-Curves'!$A12,'S-Curves'!CZ$10)</f>
        <v>0.90000000000000013</v>
      </c>
      <c r="DA12" s="38" cm="1">
        <f t="array" ref="DA12">INDEX('Progress%'!$A$1:$DG$10,'S-Curves'!$A12,'S-Curves'!DA$10)</f>
        <v>0.90000000000000013</v>
      </c>
      <c r="DB12" s="38" cm="1">
        <f t="array" ref="DB12">INDEX('Progress%'!$A$1:$DG$10,'S-Curves'!$A12,'S-Curves'!DB$10)</f>
        <v>0.90000000000000013</v>
      </c>
      <c r="DC12" s="38" cm="1">
        <f t="array" ref="DC12">INDEX('Progress%'!$A$1:$DG$10,'S-Curves'!$A12,'S-Curves'!DC$10)</f>
        <v>0.90000000000000013</v>
      </c>
      <c r="DD12" s="38" cm="1">
        <f t="array" ref="DD12">INDEX('Progress%'!$A$1:$DG$10,'S-Curves'!$A12,'S-Curves'!DD$10)</f>
        <v>0.90000000000000013</v>
      </c>
      <c r="DE12" s="38" cm="1">
        <f t="array" ref="DE12">INDEX('Progress%'!$A$1:$DG$10,'S-Curves'!$A12,'S-Curves'!DE$10)</f>
        <v>0.90000000000000013</v>
      </c>
      <c r="DF12" s="39"/>
    </row>
    <row r="13" spans="1:110" s="40" customFormat="1" ht="75" customHeight="1" x14ac:dyDescent="0.35">
      <c r="A13" s="35">
        <f>A12+1</f>
        <v>8</v>
      </c>
      <c r="B13" s="36"/>
      <c r="C13" s="37" t="s">
        <v>48</v>
      </c>
      <c r="D13" s="38" cm="1">
        <f t="array" ref="D13">INDEX('Progress%'!$A$1:$DG$10,'S-Curves'!$A13,'S-Curves'!D$10)</f>
        <v>0</v>
      </c>
      <c r="E13" s="38" cm="1">
        <f t="array" ref="E13">INDEX('Progress%'!$A$1:$DG$10,'S-Curves'!$A13,'S-Curves'!E$10)</f>
        <v>0</v>
      </c>
      <c r="F13" s="38" cm="1">
        <f t="array" ref="F13">INDEX('Progress%'!$A$1:$DG$10,'S-Curves'!$A13,'S-Curves'!F$10)</f>
        <v>5.0000000000000001E-3</v>
      </c>
      <c r="G13" s="38" cm="1">
        <f t="array" ref="G13">INDEX('Progress%'!$A$1:$DG$10,'S-Curves'!$A13,'S-Curves'!G$10)</f>
        <v>7.0000000000000007E-2</v>
      </c>
      <c r="H13" s="38" cm="1">
        <f t="array" ref="H13">INDEX('Progress%'!$A$1:$DG$10,'S-Curves'!$A13,'S-Curves'!H$10)</f>
        <v>7.0000000000000007E-2</v>
      </c>
      <c r="I13" s="38" cm="1">
        <f t="array" ref="I13">INDEX('Progress%'!$A$1:$DG$10,'S-Curves'!$A13,'S-Curves'!I$10)</f>
        <v>9.7500000000000003E-2</v>
      </c>
      <c r="J13" s="38" cm="1">
        <f t="array" ref="J13">INDEX('Progress%'!$A$1:$DG$10,'S-Curves'!$A13,'S-Curves'!J$10)</f>
        <v>0.13</v>
      </c>
      <c r="K13" s="38" cm="1">
        <f t="array" ref="K13">INDEX('Progress%'!$A$1:$DG$10,'S-Curves'!$A13,'S-Curves'!K$10)</f>
        <v>0.14000000000000001</v>
      </c>
      <c r="L13" s="38" cm="1">
        <f t="array" ref="L13">INDEX('Progress%'!$A$1:$DG$10,'S-Curves'!$A13,'S-Curves'!L$10)</f>
        <v>0.1657499999999999</v>
      </c>
      <c r="M13" s="38" cm="1">
        <f t="array" ref="M13">INDEX('Progress%'!$A$1:$DG$10,'S-Curves'!$A13,'S-Curves'!M$10)</f>
        <v>0.21174999999999986</v>
      </c>
      <c r="N13" s="38" cm="1">
        <f t="array" ref="N13">INDEX('Progress%'!$A$1:$DG$10,'S-Curves'!$A13,'S-Curves'!N$10)</f>
        <v>0.2469999999999998</v>
      </c>
      <c r="O13" s="38" cm="1">
        <f t="array" ref="O13">INDEX('Progress%'!$A$1:$DG$10,'S-Curves'!$A13,'S-Curves'!O$10)</f>
        <v>0.29524999999999962</v>
      </c>
      <c r="P13" s="38" cm="1">
        <f t="array" ref="P13">INDEX('Progress%'!$A$1:$DG$10,'S-Curves'!$A13,'S-Curves'!P$10)</f>
        <v>0.34749999999999959</v>
      </c>
      <c r="Q13" s="38" cm="1">
        <f t="array" ref="Q13">INDEX('Progress%'!$A$1:$DG$10,'S-Curves'!$A13,'S-Curves'!Q$10)</f>
        <v>0.36149999999999954</v>
      </c>
      <c r="R13" s="38" cm="1">
        <f t="array" ref="R13">INDEX('Progress%'!$A$1:$DG$10,'S-Curves'!$A13,'S-Curves'!R$10)</f>
        <v>0.41600000000000059</v>
      </c>
      <c r="S13" s="38" cm="1">
        <f t="array" ref="S13">INDEX('Progress%'!$A$1:$DG$10,'S-Curves'!$A13,'S-Curves'!S$10)</f>
        <v>0.45700000000000146</v>
      </c>
      <c r="T13" s="38" cm="1">
        <f t="array" ref="T13">INDEX('Progress%'!$A$1:$DG$10,'S-Curves'!$A13,'S-Curves'!T$10)</f>
        <v>0.49360000000000143</v>
      </c>
      <c r="U13" s="38" cm="1">
        <f t="array" ref="U13">INDEX('Progress%'!$A$1:$DG$10,'S-Curves'!$A13,'S-Curves'!U$10)</f>
        <v>0.55760000000000109</v>
      </c>
      <c r="V13" s="38" cm="1">
        <f t="array" ref="V13">INDEX('Progress%'!$A$1:$DG$10,'S-Curves'!$A13,'S-Curves'!V$10)</f>
        <v>0.6036999999999999</v>
      </c>
      <c r="W13" s="38" cm="1">
        <f t="array" ref="W13">INDEX('Progress%'!$A$1:$DG$10,'S-Curves'!$A13,'S-Curves'!W$10)</f>
        <v>0.62419999999999987</v>
      </c>
      <c r="X13" s="38" cm="1">
        <f t="array" ref="X13">INDEX('Progress%'!$A$1:$DG$10,'S-Curves'!$A13,'S-Curves'!X$10)</f>
        <v>0.6595500000000003</v>
      </c>
      <c r="Y13" s="38" cm="1">
        <f t="array" ref="Y13">INDEX('Progress%'!$A$1:$DG$10,'S-Curves'!$A13,'S-Curves'!Y$10)</f>
        <v>0.67555000000000065</v>
      </c>
      <c r="Z13" s="38" cm="1">
        <f t="array" ref="Z13">INDEX('Progress%'!$A$1:$DG$10,'S-Curves'!$A13,'S-Curves'!Z$10)</f>
        <v>0.7051000000000005</v>
      </c>
      <c r="AA13" s="38" cm="1">
        <f t="array" ref="AA13">INDEX('Progress%'!$A$1:$DG$10,'S-Curves'!$A13,'S-Curves'!AA$10)</f>
        <v>0.73275000000000046</v>
      </c>
      <c r="AB13" s="38" cm="1">
        <f t="array" ref="AB13">INDEX('Progress%'!$A$1:$DG$10,'S-Curves'!$A13,'S-Curves'!AB$10)</f>
        <v>0.76709999999999989</v>
      </c>
      <c r="AC13" s="38" cm="1">
        <f t="array" ref="AC13">INDEX('Progress%'!$A$1:$DG$10,'S-Curves'!$A13,'S-Curves'!AC$10)</f>
        <v>0.78719999999999968</v>
      </c>
      <c r="AD13" s="38" cm="1">
        <f t="array" ref="AD13">INDEX('Progress%'!$A$1:$DG$10,'S-Curves'!$A13,'S-Curves'!AD$10)</f>
        <v>0.81009999999999993</v>
      </c>
      <c r="AE13" s="38" cm="1">
        <f t="array" ref="AE13">INDEX('Progress%'!$A$1:$DG$10,'S-Curves'!$A13,'S-Curves'!AE$10)</f>
        <v>0.82010000000000016</v>
      </c>
      <c r="AF13" s="38" cm="1">
        <f t="array" ref="AF13">INDEX('Progress%'!$A$1:$DG$10,'S-Curves'!$A13,'S-Curves'!AF$10)</f>
        <v>0.84420000000000073</v>
      </c>
      <c r="AG13" s="38" cm="1">
        <f t="array" ref="AG13">INDEX('Progress%'!$A$1:$DG$10,'S-Curves'!$A13,'S-Curves'!AG$10)</f>
        <v>0.85740000000000094</v>
      </c>
      <c r="AH13" s="38" cm="1">
        <f t="array" ref="AH13">INDEX('Progress%'!$A$1:$DG$10,'S-Curves'!$A13,'S-Curves'!AH$10)</f>
        <v>0.87350000000000083</v>
      </c>
      <c r="AI13" s="38" cm="1">
        <f t="array" ref="AI13">INDEX('Progress%'!$A$1:$DG$10,'S-Curves'!$A13,'S-Curves'!AI$10)</f>
        <v>0.88020000000000065</v>
      </c>
      <c r="AJ13" s="38" cm="1">
        <f t="array" ref="AJ13">INDEX('Progress%'!$A$1:$DG$10,'S-Curves'!$A13,'S-Curves'!AJ$10)</f>
        <v>0.89040000000000019</v>
      </c>
      <c r="AK13" s="38" cm="1">
        <f t="array" ref="AK13">INDEX('Progress%'!$A$1:$DG$10,'S-Curves'!$A13,'S-Curves'!AK$10)</f>
        <v>0.89100000000000024</v>
      </c>
      <c r="AL13" s="38" cm="1">
        <f t="array" ref="AL13">INDEX('Progress%'!$A$1:$DG$10,'S-Curves'!$A13,'S-Curves'!AL$10)</f>
        <v>0.89200000000000013</v>
      </c>
      <c r="AM13" s="38" cm="1">
        <f t="array" ref="AM13">INDEX('Progress%'!$A$1:$DG$10,'S-Curves'!$A13,'S-Curves'!AM$10)</f>
        <v>0.89300000000000024</v>
      </c>
      <c r="AN13" s="38" cm="1">
        <f t="array" ref="AN13">INDEX('Progress%'!$A$1:$DG$10,'S-Curves'!$A13,'S-Curves'!AN$10)</f>
        <v>0.89600000000000024</v>
      </c>
      <c r="AO13" s="38" cm="1">
        <f t="array" ref="AO13">INDEX('Progress%'!$A$1:$DG$10,'S-Curves'!$A13,'S-Curves'!AO$10)</f>
        <v>0.89800000000000013</v>
      </c>
      <c r="AP13" s="38" cm="1">
        <f t="array" ref="AP13">INDEX('Progress%'!$A$1:$DG$10,'S-Curves'!$A13,'S-Curves'!AP$10)</f>
        <v>0.90000000000000013</v>
      </c>
      <c r="AQ13" s="38" cm="1">
        <f t="array" ref="AQ13">INDEX('Progress%'!$A$1:$DG$10,'S-Curves'!$A13,'S-Curves'!AQ$10)</f>
        <v>0.90000000000000013</v>
      </c>
      <c r="AR13" s="38" cm="1">
        <f t="array" ref="AR13">INDEX('Progress%'!$A$1:$DG$10,'S-Curves'!$A13,'S-Curves'!AR$10)</f>
        <v>0.90000000000000013</v>
      </c>
      <c r="AS13" s="38" cm="1">
        <f t="array" ref="AS13">INDEX('Progress%'!$A$1:$DG$10,'S-Curves'!$A13,'S-Curves'!AS$10)</f>
        <v>0.90000000000000013</v>
      </c>
      <c r="AT13" s="38" cm="1">
        <f t="array" ref="AT13">INDEX('Progress%'!$A$1:$DG$10,'S-Curves'!$A13,'S-Curves'!AT$10)</f>
        <v>0.90000000000000013</v>
      </c>
      <c r="AU13" s="38" cm="1">
        <f t="array" ref="AU13">INDEX('Progress%'!$A$1:$DG$10,'S-Curves'!$A13,'S-Curves'!AU$10)</f>
        <v>0.90000000000000013</v>
      </c>
      <c r="AV13" s="38" cm="1">
        <f t="array" ref="AV13">INDEX('Progress%'!$A$1:$DG$10,'S-Curves'!$A13,'S-Curves'!AV$10)</f>
        <v>0.90000000000000013</v>
      </c>
      <c r="AW13" s="38" cm="1">
        <f t="array" ref="AW13">INDEX('Progress%'!$A$1:$DG$10,'S-Curves'!$A13,'S-Curves'!AW$10)</f>
        <v>0.90000000000000013</v>
      </c>
      <c r="AX13" s="38" cm="1">
        <f t="array" ref="AX13">INDEX('Progress%'!$A$1:$DG$10,'S-Curves'!$A13,'S-Curves'!AX$10)</f>
        <v>0.90000000000000013</v>
      </c>
      <c r="AY13" s="38" cm="1">
        <f t="array" ref="AY13">INDEX('Progress%'!$A$1:$DG$10,'S-Curves'!$A13,'S-Curves'!AY$10)</f>
        <v>0.90000000000000013</v>
      </c>
      <c r="AZ13" s="38" cm="1">
        <f t="array" ref="AZ13">INDEX('Progress%'!$A$1:$DG$10,'S-Curves'!$A13,'S-Curves'!AZ$10)</f>
        <v>0.90000000000000013</v>
      </c>
      <c r="BA13" s="38" cm="1">
        <f t="array" ref="BA13">INDEX('Progress%'!$A$1:$DG$10,'S-Curves'!$A13,'S-Curves'!BA$10)</f>
        <v>0.90000000000000013</v>
      </c>
      <c r="BB13" s="38" cm="1">
        <f t="array" ref="BB13">INDEX('Progress%'!$A$1:$DG$10,'S-Curves'!$A13,'S-Curves'!BB$10)</f>
        <v>0.90000000000000013</v>
      </c>
      <c r="BC13" s="38" cm="1">
        <f t="array" ref="BC13">INDEX('Progress%'!$A$1:$DG$10,'S-Curves'!$A13,'S-Curves'!BC$10)</f>
        <v>0.90000000000000013</v>
      </c>
      <c r="BD13" s="38" cm="1">
        <f t="array" ref="BD13">INDEX('Progress%'!$A$1:$DG$10,'S-Curves'!$A13,'S-Curves'!BD$10)</f>
        <v>0.90000000000000013</v>
      </c>
      <c r="BE13" s="38" cm="1">
        <f t="array" ref="BE13">INDEX('Progress%'!$A$1:$DG$10,'S-Curves'!$A13,'S-Curves'!BE$10)</f>
        <v>0.90000000000000013</v>
      </c>
      <c r="BF13" s="38" cm="1">
        <f t="array" ref="BF13">INDEX('Progress%'!$A$1:$DG$10,'S-Curves'!$A13,'S-Curves'!BF$10)</f>
        <v>0.90000000000000013</v>
      </c>
      <c r="BG13" s="38" cm="1">
        <f t="array" ref="BG13">INDEX('Progress%'!$A$1:$DG$10,'S-Curves'!$A13,'S-Curves'!BG$10)</f>
        <v>0.90000000000000013</v>
      </c>
      <c r="BH13" s="38" cm="1">
        <f t="array" ref="BH13">INDEX('Progress%'!$A$1:$DG$10,'S-Curves'!$A13,'S-Curves'!BH$10)</f>
        <v>0.90000000000000013</v>
      </c>
      <c r="BI13" s="38" cm="1">
        <f t="array" ref="BI13">INDEX('Progress%'!$A$1:$DG$10,'S-Curves'!$A13,'S-Curves'!BI$10)</f>
        <v>0.90000000000000013</v>
      </c>
      <c r="BJ13" s="38" cm="1">
        <f t="array" ref="BJ13">INDEX('Progress%'!$A$1:$DG$10,'S-Curves'!$A13,'S-Curves'!BJ$10)</f>
        <v>0.90000000000000013</v>
      </c>
      <c r="BK13" s="38" cm="1">
        <f t="array" ref="BK13">INDEX('Progress%'!$A$1:$DG$10,'S-Curves'!$A13,'S-Curves'!BK$10)</f>
        <v>0.90000000000000013</v>
      </c>
      <c r="BL13" s="38" cm="1">
        <f t="array" ref="BL13">INDEX('Progress%'!$A$1:$DG$10,'S-Curves'!$A13,'S-Curves'!BL$10)</f>
        <v>0.90000000000000013</v>
      </c>
      <c r="BM13" s="38" cm="1">
        <f t="array" ref="BM13">INDEX('Progress%'!$A$1:$DG$10,'S-Curves'!$A13,'S-Curves'!BM$10)</f>
        <v>0.90000000000000013</v>
      </c>
      <c r="BN13" s="38" cm="1">
        <f t="array" ref="BN13">INDEX('Progress%'!$A$1:$DG$10,'S-Curves'!$A13,'S-Curves'!BN$10)</f>
        <v>0.90000000000000013</v>
      </c>
      <c r="BO13" s="38" cm="1">
        <f t="array" ref="BO13">INDEX('Progress%'!$A$1:$DG$10,'S-Curves'!$A13,'S-Curves'!BO$10)</f>
        <v>0.90000000000000013</v>
      </c>
      <c r="BP13" s="38" cm="1">
        <f t="array" ref="BP13">INDEX('Progress%'!$A$1:$DG$10,'S-Curves'!$A13,'S-Curves'!BP$10)</f>
        <v>0.90000000000000013</v>
      </c>
      <c r="BQ13" s="38" cm="1">
        <f t="array" ref="BQ13">INDEX('Progress%'!$A$1:$DG$10,'S-Curves'!$A13,'S-Curves'!BQ$10)</f>
        <v>0.90000000000000013</v>
      </c>
      <c r="BR13" s="38" cm="1">
        <f t="array" ref="BR13">INDEX('Progress%'!$A$1:$DG$10,'S-Curves'!$A13,'S-Curves'!BR$10)</f>
        <v>0.90000000000000013</v>
      </c>
      <c r="BS13" s="38" cm="1">
        <f t="array" ref="BS13">INDEX('Progress%'!$A$1:$DG$10,'S-Curves'!$A13,'S-Curves'!BS$10)</f>
        <v>0.90000000000000013</v>
      </c>
      <c r="BT13" s="38" cm="1">
        <f t="array" ref="BT13">INDEX('Progress%'!$A$1:$DG$10,'S-Curves'!$A13,'S-Curves'!BT$10)</f>
        <v>0.90000000000000013</v>
      </c>
      <c r="BU13" s="38" cm="1">
        <f t="array" ref="BU13">INDEX('Progress%'!$A$1:$DG$10,'S-Curves'!$A13,'S-Curves'!BU$10)</f>
        <v>0.90000000000000013</v>
      </c>
      <c r="BV13" s="38" cm="1">
        <f t="array" ref="BV13">INDEX('Progress%'!$A$1:$DG$10,'S-Curves'!$A13,'S-Curves'!BV$10)</f>
        <v>0.90000000000000013</v>
      </c>
      <c r="BW13" s="38" cm="1">
        <f t="array" ref="BW13">INDEX('Progress%'!$A$1:$DG$10,'S-Curves'!$A13,'S-Curves'!BW$10)</f>
        <v>0.90000000000000013</v>
      </c>
      <c r="BX13" s="38" cm="1">
        <f t="array" ref="BX13">INDEX('Progress%'!$A$1:$DG$10,'S-Curves'!$A13,'S-Curves'!BX$10)</f>
        <v>0.90000000000000013</v>
      </c>
      <c r="BY13" s="38" cm="1">
        <f t="array" ref="BY13">INDEX('Progress%'!$A$1:$DG$10,'S-Curves'!$A13,'S-Curves'!BY$10)</f>
        <v>0.90000000000000013</v>
      </c>
      <c r="BZ13" s="38" cm="1">
        <f t="array" ref="BZ13">INDEX('Progress%'!$A$1:$DG$10,'S-Curves'!$A13,'S-Curves'!BZ$10)</f>
        <v>0.90000000000000013</v>
      </c>
      <c r="CA13" s="38" cm="1">
        <f t="array" ref="CA13">INDEX('Progress%'!$A$1:$DG$10,'S-Curves'!$A13,'S-Curves'!CA$10)</f>
        <v>0.90000000000000013</v>
      </c>
      <c r="CB13" s="38" cm="1">
        <f t="array" ref="CB13">INDEX('Progress%'!$A$1:$DG$10,'S-Curves'!$A13,'S-Curves'!CB$10)</f>
        <v>0.90000000000000013</v>
      </c>
      <c r="CC13" s="38" cm="1">
        <f t="array" ref="CC13">INDEX('Progress%'!$A$1:$DG$10,'S-Curves'!$A13,'S-Curves'!CC$10)</f>
        <v>0.90000000000000013</v>
      </c>
      <c r="CD13" s="38" cm="1">
        <f t="array" ref="CD13">INDEX('Progress%'!$A$1:$DG$10,'S-Curves'!$A13,'S-Curves'!CD$10)</f>
        <v>0.90000000000000013</v>
      </c>
      <c r="CE13" s="38" cm="1">
        <f t="array" ref="CE13">INDEX('Progress%'!$A$1:$DG$10,'S-Curves'!$A13,'S-Curves'!CE$10)</f>
        <v>0.90000000000000013</v>
      </c>
      <c r="CF13" s="38" cm="1">
        <f t="array" ref="CF13">INDEX('Progress%'!$A$1:$DG$10,'S-Curves'!$A13,'S-Curves'!CF$10)</f>
        <v>0.90000000000000013</v>
      </c>
      <c r="CG13" s="38" cm="1">
        <f t="array" ref="CG13">INDEX('Progress%'!$A$1:$DG$10,'S-Curves'!$A13,'S-Curves'!CG$10)</f>
        <v>0.90000000000000013</v>
      </c>
      <c r="CH13" s="38" cm="1">
        <f t="array" ref="CH13">INDEX('Progress%'!$A$1:$DG$10,'S-Curves'!$A13,'S-Curves'!CH$10)</f>
        <v>0.90000000000000013</v>
      </c>
      <c r="CI13" s="38" cm="1">
        <f t="array" ref="CI13">INDEX('Progress%'!$A$1:$DG$10,'S-Curves'!$A13,'S-Curves'!CI$10)</f>
        <v>0.90000000000000013</v>
      </c>
      <c r="CJ13" s="38" cm="1">
        <f t="array" ref="CJ13">INDEX('Progress%'!$A$1:$DG$10,'S-Curves'!$A13,'S-Curves'!CJ$10)</f>
        <v>0.90000000000000013</v>
      </c>
      <c r="CK13" s="38" cm="1">
        <f t="array" ref="CK13">INDEX('Progress%'!$A$1:$DG$10,'S-Curves'!$A13,'S-Curves'!CK$10)</f>
        <v>0.90000000000000013</v>
      </c>
      <c r="CL13" s="38" cm="1">
        <f t="array" ref="CL13">INDEX('Progress%'!$A$1:$DG$10,'S-Curves'!$A13,'S-Curves'!CL$10)</f>
        <v>0.90000000000000013</v>
      </c>
      <c r="CM13" s="38" cm="1">
        <f t="array" ref="CM13">INDEX('Progress%'!$A$1:$DG$10,'S-Curves'!$A13,'S-Curves'!CM$10)</f>
        <v>0.90000000000000013</v>
      </c>
      <c r="CN13" s="38" cm="1">
        <f t="array" ref="CN13">INDEX('Progress%'!$A$1:$DG$10,'S-Curves'!$A13,'S-Curves'!CN$10)</f>
        <v>0.90000000000000013</v>
      </c>
      <c r="CO13" s="38" cm="1">
        <f t="array" ref="CO13">INDEX('Progress%'!$A$1:$DG$10,'S-Curves'!$A13,'S-Curves'!CO$10)</f>
        <v>0.90000000000000013</v>
      </c>
      <c r="CP13" s="38" cm="1">
        <f t="array" ref="CP13">INDEX('Progress%'!$A$1:$DG$10,'S-Curves'!$A13,'S-Curves'!CP$10)</f>
        <v>0.90000000000000013</v>
      </c>
      <c r="CQ13" s="38" cm="1">
        <f t="array" ref="CQ13">INDEX('Progress%'!$A$1:$DG$10,'S-Curves'!$A13,'S-Curves'!CQ$10)</f>
        <v>0.90000000000000013</v>
      </c>
      <c r="CR13" s="38" cm="1">
        <f t="array" ref="CR13">INDEX('Progress%'!$A$1:$DG$10,'S-Curves'!$A13,'S-Curves'!CR$10)</f>
        <v>0.90000000000000013</v>
      </c>
      <c r="CS13" s="38" cm="1">
        <f t="array" ref="CS13">INDEX('Progress%'!$A$1:$DG$10,'S-Curves'!$A13,'S-Curves'!CS$10)</f>
        <v>0.90000000000000013</v>
      </c>
      <c r="CT13" s="38" cm="1">
        <f t="array" ref="CT13">INDEX('Progress%'!$A$1:$DG$10,'S-Curves'!$A13,'S-Curves'!CT$10)</f>
        <v>0.90000000000000013</v>
      </c>
      <c r="CU13" s="38" cm="1">
        <f t="array" ref="CU13">INDEX('Progress%'!$A$1:$DG$10,'S-Curves'!$A13,'S-Curves'!CU$10)</f>
        <v>0.90000000000000013</v>
      </c>
      <c r="CV13" s="38" cm="1">
        <f t="array" ref="CV13">INDEX('Progress%'!$A$1:$DG$10,'S-Curves'!$A13,'S-Curves'!CV$10)</f>
        <v>0.90000000000000013</v>
      </c>
      <c r="CW13" s="38" cm="1">
        <f t="array" ref="CW13">INDEX('Progress%'!$A$1:$DG$10,'S-Curves'!$A13,'S-Curves'!CW$10)</f>
        <v>0.90000000000000013</v>
      </c>
      <c r="CX13" s="38" cm="1">
        <f t="array" ref="CX13">INDEX('Progress%'!$A$1:$DG$10,'S-Curves'!$A13,'S-Curves'!CX$10)</f>
        <v>0.90000000000000013</v>
      </c>
      <c r="CY13" s="38" cm="1">
        <f t="array" ref="CY13">INDEX('Progress%'!$A$1:$DG$10,'S-Curves'!$A13,'S-Curves'!CY$10)</f>
        <v>0.90000000000000013</v>
      </c>
      <c r="CZ13" s="38" cm="1">
        <f t="array" ref="CZ13">INDEX('Progress%'!$A$1:$DG$10,'S-Curves'!$A13,'S-Curves'!CZ$10)</f>
        <v>0.90000000000000013</v>
      </c>
      <c r="DA13" s="38" cm="1">
        <f t="array" ref="DA13">INDEX('Progress%'!$A$1:$DG$10,'S-Curves'!$A13,'S-Curves'!DA$10)</f>
        <v>0.90000000000000013</v>
      </c>
      <c r="DB13" s="38" cm="1">
        <f t="array" ref="DB13">INDEX('Progress%'!$A$1:$DG$10,'S-Curves'!$A13,'S-Curves'!DB$10)</f>
        <v>0.90000000000000013</v>
      </c>
      <c r="DC13" s="38" cm="1">
        <f t="array" ref="DC13">INDEX('Progress%'!$A$1:$DG$10,'S-Curves'!$A13,'S-Curves'!DC$10)</f>
        <v>0.90000000000000013</v>
      </c>
      <c r="DD13" s="38" cm="1">
        <f t="array" ref="DD13">INDEX('Progress%'!$A$1:$DG$10,'S-Curves'!$A13,'S-Curves'!DD$10)</f>
        <v>0.90000000000000013</v>
      </c>
      <c r="DE13" s="38" cm="1">
        <f t="array" ref="DE13">INDEX('Progress%'!$A$1:$DG$10,'S-Curves'!$A13,'S-Curves'!DE$10)</f>
        <v>0.90000000000000013</v>
      </c>
      <c r="DF13" s="39"/>
    </row>
    <row r="14" spans="1:110" s="40" customFormat="1" ht="75" customHeight="1" x14ac:dyDescent="0.35">
      <c r="A14" s="35">
        <f>A12+2</f>
        <v>9</v>
      </c>
      <c r="B14" s="36"/>
      <c r="C14" s="37" t="s">
        <v>32</v>
      </c>
      <c r="D14" s="38" cm="1">
        <f t="array" ref="D14">INDEX('Progress%'!$A$1:$DG$10,'S-Curves'!$A14,'S-Curves'!D$10)</f>
        <v>0</v>
      </c>
      <c r="E14" s="38" cm="1">
        <f t="array" ref="E14">INDEX('Progress%'!$A$1:$DG$10,'S-Curves'!$A14,'S-Curves'!E$10)</f>
        <v>0</v>
      </c>
      <c r="F14" s="38" cm="1">
        <f t="array" ref="F14">INDEX('Progress%'!$A$1:$DG$10,'S-Curves'!$A14,'S-Curves'!F$10)</f>
        <v>0</v>
      </c>
      <c r="G14" s="38" cm="1">
        <f t="array" ref="G14">INDEX('Progress%'!$A$1:$DG$10,'S-Curves'!$A14,'S-Curves'!G$10)</f>
        <v>0.02</v>
      </c>
      <c r="H14" s="38" cm="1">
        <f t="array" ref="H14">INDEX('Progress%'!$A$1:$DG$10,'S-Curves'!$A14,'S-Curves'!H$10)</f>
        <v>0.02</v>
      </c>
      <c r="I14" s="38" cm="1">
        <f t="array" ref="I14">INDEX('Progress%'!$A$1:$DG$10,'S-Curves'!$A14,'S-Curves'!I$10)</f>
        <v>6.1250000000000034E-2</v>
      </c>
      <c r="J14" s="38" cm="1">
        <f t="array" ref="J14">INDEX('Progress%'!$A$1:$DG$10,'S-Curves'!$A14,'S-Curves'!J$10)</f>
        <v>0.11124999999999989</v>
      </c>
      <c r="K14" s="38" cm="1">
        <f t="array" ref="K14">INDEX('Progress%'!$A$1:$DG$10,'S-Curves'!$A14,'S-Curves'!K$10)</f>
        <v>0.13449999999999968</v>
      </c>
      <c r="L14" s="38" cm="1">
        <f t="array" ref="L14">INDEX('Progress%'!$A$1:$DG$10,'S-Curves'!$A14,'S-Curves'!L$10)</f>
        <v>0.15449999999999967</v>
      </c>
      <c r="M14" s="38" cm="1">
        <f t="array" ref="M14">INDEX('Progress%'!$A$1:$DG$10,'S-Curves'!$A14,'S-Curves'!M$10)</f>
        <v>0.18849999999999958</v>
      </c>
      <c r="N14" s="38" cm="1">
        <f t="array" ref="N14">INDEX('Progress%'!$A$1:$DG$10,'S-Curves'!$A14,'S-Curves'!N$10)</f>
        <v>0.23774999999999971</v>
      </c>
      <c r="O14" s="38" cm="1">
        <f t="array" ref="O14">INDEX('Progress%'!$A$1:$DG$10,'S-Curves'!$A14,'S-Curves'!O$10)</f>
        <v>0.26749999999999985</v>
      </c>
      <c r="P14" s="38" cm="1">
        <f t="array" ref="P14">INDEX('Progress%'!$A$1:$DG$10,'S-Curves'!$A14,'S-Curves'!P$10)</f>
        <v>0.3381499999999999</v>
      </c>
      <c r="Q14" s="38" cm="1">
        <f t="array" ref="Q14">INDEX('Progress%'!$A$1:$DG$10,'S-Curves'!$A14,'S-Curves'!Q$10)</f>
        <v>0.40154999999999952</v>
      </c>
      <c r="R14" s="38" cm="1">
        <f t="array" ref="R14">INDEX('Progress%'!$A$1:$DG$10,'S-Curves'!$A14,'S-Curves'!R$10)</f>
        <v>0.44224999999999853</v>
      </c>
      <c r="S14" s="38" cm="1">
        <f t="array" ref="S14">INDEX('Progress%'!$A$1:$DG$10,'S-Curves'!$A14,'S-Curves'!S$10)</f>
        <v>0.47714999999999996</v>
      </c>
      <c r="T14" s="38" cm="1">
        <f t="array" ref="T14">INDEX('Progress%'!$A$1:$DG$10,'S-Curves'!$A14,'S-Curves'!T$10)</f>
        <v>0.49165000000000048</v>
      </c>
      <c r="U14" s="38" cm="1">
        <f t="array" ref="U14">INDEX('Progress%'!$A$1:$DG$10,'S-Curves'!$A14,'S-Curves'!U$10)</f>
        <v>0.54065000000000052</v>
      </c>
      <c r="V14" s="38" cm="1">
        <f t="array" ref="V14">INDEX('Progress%'!$A$1:$DG$10,'S-Curves'!$A14,'S-Curves'!V$10)</f>
        <v>0.59410000000000052</v>
      </c>
      <c r="W14" s="38" cm="1">
        <f t="array" ref="W14">INDEX('Progress%'!$A$1:$DG$10,'S-Curves'!$A14,'S-Curves'!W$10)</f>
        <v>0.62460000000000027</v>
      </c>
      <c r="X14" s="38" cm="1">
        <f t="array" ref="X14">INDEX('Progress%'!$A$1:$DG$10,'S-Curves'!$A14,'S-Curves'!X$10)</f>
        <v>0.65085000000000037</v>
      </c>
      <c r="Y14" s="38" cm="1">
        <f t="array" ref="Y14">INDEX('Progress%'!$A$1:$DG$10,'S-Curves'!$A14,'S-Curves'!Y$10)</f>
        <v>0.67210000000000036</v>
      </c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</row>
    <row r="15" spans="1:110" s="40" customFormat="1" ht="75" customHeight="1" x14ac:dyDescent="0.35">
      <c r="A15" s="41"/>
      <c r="B15" s="36"/>
      <c r="C15" s="42" t="s">
        <v>33</v>
      </c>
      <c r="D15" s="43">
        <f>D12</f>
        <v>0</v>
      </c>
      <c r="E15" s="44">
        <f t="shared" ref="E15:AJ17" si="0">E12-D12</f>
        <v>0</v>
      </c>
      <c r="F15" s="44">
        <f t="shared" si="0"/>
        <v>5.0000000000000001E-3</v>
      </c>
      <c r="G15" s="44">
        <f t="shared" si="0"/>
        <v>6.5000000000000002E-2</v>
      </c>
      <c r="H15" s="44">
        <f t="shared" si="0"/>
        <v>0</v>
      </c>
      <c r="I15" s="44">
        <f t="shared" si="0"/>
        <v>2.7499999999999997E-2</v>
      </c>
      <c r="J15" s="44">
        <f t="shared" si="0"/>
        <v>3.2500000000000001E-2</v>
      </c>
      <c r="K15" s="44">
        <f t="shared" si="0"/>
        <v>1.0000000000000009E-2</v>
      </c>
      <c r="L15" s="44">
        <f t="shared" si="0"/>
        <v>2.5749999999999884E-2</v>
      </c>
      <c r="M15" s="44">
        <f t="shared" si="0"/>
        <v>4.5999999999999958E-2</v>
      </c>
      <c r="N15" s="44">
        <f t="shared" si="0"/>
        <v>3.5249999999999948E-2</v>
      </c>
      <c r="O15" s="44">
        <f t="shared" si="0"/>
        <v>4.8249999999999821E-2</v>
      </c>
      <c r="P15" s="44">
        <f t="shared" si="0"/>
        <v>5.2249999999999963E-2</v>
      </c>
      <c r="Q15" s="44">
        <f t="shared" si="0"/>
        <v>1.3999999999999957E-2</v>
      </c>
      <c r="R15" s="44">
        <f t="shared" si="0"/>
        <v>5.4500000000001048E-2</v>
      </c>
      <c r="S15" s="44">
        <f t="shared" si="0"/>
        <v>4.1000000000000869E-2</v>
      </c>
      <c r="T15" s="44">
        <f t="shared" si="0"/>
        <v>3.6599999999999966E-2</v>
      </c>
      <c r="U15" s="44">
        <f t="shared" si="0"/>
        <v>6.3999999999999668E-2</v>
      </c>
      <c r="V15" s="44">
        <f t="shared" si="0"/>
        <v>4.6099999999998809E-2</v>
      </c>
      <c r="W15" s="44">
        <f t="shared" si="0"/>
        <v>2.0499999999999963E-2</v>
      </c>
      <c r="X15" s="44">
        <f t="shared" si="0"/>
        <v>3.5350000000000437E-2</v>
      </c>
      <c r="Y15" s="44">
        <f t="shared" si="0"/>
        <v>1.6000000000000347E-2</v>
      </c>
      <c r="Z15" s="44">
        <f t="shared" si="0"/>
        <v>2.9549999999999854E-2</v>
      </c>
      <c r="AA15" s="44">
        <f t="shared" si="0"/>
        <v>2.7649999999999952E-2</v>
      </c>
      <c r="AB15" s="44">
        <f t="shared" si="0"/>
        <v>3.4349999999999437E-2</v>
      </c>
      <c r="AC15" s="44">
        <f t="shared" si="0"/>
        <v>2.0099999999999785E-2</v>
      </c>
      <c r="AD15" s="44">
        <f t="shared" si="0"/>
        <v>2.2900000000000253E-2</v>
      </c>
      <c r="AE15" s="44">
        <f t="shared" si="0"/>
        <v>1.0000000000000231E-2</v>
      </c>
      <c r="AF15" s="44">
        <f t="shared" si="0"/>
        <v>2.4100000000000565E-2</v>
      </c>
      <c r="AG15" s="44">
        <f t="shared" si="0"/>
        <v>1.3200000000000212E-2</v>
      </c>
      <c r="AH15" s="44">
        <f t="shared" si="0"/>
        <v>1.6099999999999892E-2</v>
      </c>
      <c r="AI15" s="44">
        <f t="shared" si="0"/>
        <v>6.6999999999998172E-3</v>
      </c>
      <c r="AJ15" s="44">
        <f t="shared" si="0"/>
        <v>1.0199999999999543E-2</v>
      </c>
      <c r="AK15" s="44">
        <f t="shared" ref="AK15:BQ16" si="1">AK12-AJ12</f>
        <v>6.0000000000004494E-4</v>
      </c>
      <c r="AL15" s="44">
        <f t="shared" si="1"/>
        <v>9.9999999999988987E-4</v>
      </c>
      <c r="AM15" s="44">
        <f t="shared" si="1"/>
        <v>1.0000000000001119E-3</v>
      </c>
      <c r="AN15" s="44">
        <f t="shared" si="1"/>
        <v>3.0000000000000027E-3</v>
      </c>
      <c r="AO15" s="44">
        <f t="shared" si="1"/>
        <v>1.9999999999998908E-3</v>
      </c>
      <c r="AP15" s="44">
        <f t="shared" si="1"/>
        <v>2.0000000000000018E-3</v>
      </c>
      <c r="AQ15" s="44">
        <f t="shared" si="1"/>
        <v>0</v>
      </c>
      <c r="AR15" s="44">
        <f t="shared" si="1"/>
        <v>0</v>
      </c>
      <c r="AS15" s="44">
        <f t="shared" si="1"/>
        <v>0</v>
      </c>
      <c r="AT15" s="44">
        <f t="shared" si="1"/>
        <v>0</v>
      </c>
      <c r="AU15" s="44">
        <f t="shared" si="1"/>
        <v>0</v>
      </c>
      <c r="AV15" s="44">
        <f t="shared" si="1"/>
        <v>0</v>
      </c>
      <c r="AW15" s="44">
        <f t="shared" si="1"/>
        <v>0</v>
      </c>
      <c r="AX15" s="44">
        <f t="shared" si="1"/>
        <v>0</v>
      </c>
      <c r="AY15" s="44">
        <f t="shared" si="1"/>
        <v>0</v>
      </c>
      <c r="AZ15" s="44">
        <f t="shared" si="1"/>
        <v>0</v>
      </c>
      <c r="BA15" s="44">
        <f t="shared" si="1"/>
        <v>0</v>
      </c>
      <c r="BB15" s="44">
        <f t="shared" si="1"/>
        <v>0</v>
      </c>
      <c r="BC15" s="44">
        <f t="shared" si="1"/>
        <v>0</v>
      </c>
      <c r="BD15" s="44">
        <f t="shared" si="1"/>
        <v>0</v>
      </c>
      <c r="BE15" s="44">
        <f t="shared" si="1"/>
        <v>0</v>
      </c>
      <c r="BF15" s="44">
        <f t="shared" si="1"/>
        <v>0</v>
      </c>
      <c r="BG15" s="44">
        <f t="shared" si="1"/>
        <v>0</v>
      </c>
      <c r="BH15" s="44">
        <f t="shared" si="1"/>
        <v>0</v>
      </c>
      <c r="BI15" s="44">
        <f t="shared" si="1"/>
        <v>0</v>
      </c>
      <c r="BJ15" s="44">
        <f t="shared" si="1"/>
        <v>0</v>
      </c>
      <c r="BK15" s="44">
        <f t="shared" si="1"/>
        <v>0</v>
      </c>
      <c r="BL15" s="44">
        <f t="shared" si="1"/>
        <v>0</v>
      </c>
      <c r="BM15" s="44">
        <f t="shared" si="1"/>
        <v>0</v>
      </c>
      <c r="BN15" s="44">
        <f t="shared" si="1"/>
        <v>0</v>
      </c>
      <c r="BO15" s="44">
        <f t="shared" si="1"/>
        <v>0</v>
      </c>
      <c r="BP15" s="44">
        <f t="shared" si="1"/>
        <v>0</v>
      </c>
      <c r="BQ15" s="44">
        <f t="shared" si="1"/>
        <v>0</v>
      </c>
      <c r="BR15" s="44">
        <f t="shared" ref="BR15:CP16" si="2">BR12-BQ12</f>
        <v>0</v>
      </c>
      <c r="BS15" s="44">
        <f t="shared" si="2"/>
        <v>0</v>
      </c>
      <c r="BT15" s="44">
        <f t="shared" si="2"/>
        <v>0</v>
      </c>
      <c r="BU15" s="44">
        <f t="shared" si="2"/>
        <v>0</v>
      </c>
      <c r="BV15" s="44">
        <f t="shared" si="2"/>
        <v>0</v>
      </c>
      <c r="BW15" s="44">
        <f t="shared" si="2"/>
        <v>0</v>
      </c>
      <c r="BX15" s="44">
        <f t="shared" ref="BX15:BX16" si="3">BX12-BW12</f>
        <v>0</v>
      </c>
      <c r="BY15" s="44">
        <f t="shared" ref="BY15:BY16" si="4">BY12-BX12</f>
        <v>0</v>
      </c>
      <c r="BZ15" s="44">
        <f t="shared" si="2"/>
        <v>0</v>
      </c>
      <c r="CA15" s="44">
        <f t="shared" si="2"/>
        <v>0</v>
      </c>
      <c r="CB15" s="44">
        <f t="shared" si="2"/>
        <v>0</v>
      </c>
      <c r="CC15" s="44">
        <f t="shared" si="2"/>
        <v>0</v>
      </c>
      <c r="CD15" s="44">
        <f t="shared" si="2"/>
        <v>0</v>
      </c>
      <c r="CE15" s="44">
        <f t="shared" si="2"/>
        <v>0</v>
      </c>
      <c r="CF15" s="44">
        <f t="shared" si="2"/>
        <v>0</v>
      </c>
      <c r="CG15" s="44">
        <f t="shared" si="2"/>
        <v>0</v>
      </c>
      <c r="CH15" s="44">
        <f t="shared" si="2"/>
        <v>0</v>
      </c>
      <c r="CI15" s="44">
        <f t="shared" si="2"/>
        <v>0</v>
      </c>
      <c r="CJ15" s="44">
        <f t="shared" si="2"/>
        <v>0</v>
      </c>
      <c r="CK15" s="44">
        <f t="shared" si="2"/>
        <v>0</v>
      </c>
      <c r="CL15" s="44">
        <f t="shared" si="2"/>
        <v>0</v>
      </c>
      <c r="CM15" s="44">
        <f t="shared" si="2"/>
        <v>0</v>
      </c>
      <c r="CN15" s="44">
        <f t="shared" si="2"/>
        <v>0</v>
      </c>
      <c r="CO15" s="44">
        <f t="shared" si="2"/>
        <v>0</v>
      </c>
      <c r="CP15" s="44">
        <f t="shared" si="2"/>
        <v>0</v>
      </c>
      <c r="CQ15" s="44">
        <f t="shared" ref="CQ15:CQ16" si="5">CQ12-CP12</f>
        <v>0</v>
      </c>
      <c r="CR15" s="44">
        <f t="shared" ref="CR15:CR16" si="6">CR12-CQ12</f>
        <v>0</v>
      </c>
      <c r="CS15" s="44">
        <f t="shared" ref="CS15:CS16" si="7">CS12-CR12</f>
        <v>0</v>
      </c>
      <c r="CT15" s="44">
        <f t="shared" ref="CT15:CT16" si="8">CT12-CS12</f>
        <v>0</v>
      </c>
      <c r="CU15" s="44">
        <f t="shared" ref="CU15:CU16" si="9">CU12-CT12</f>
        <v>0</v>
      </c>
      <c r="CV15" s="44">
        <f t="shared" ref="CV15:CV16" si="10">CV12-CU12</f>
        <v>0</v>
      </c>
      <c r="CW15" s="44">
        <f t="shared" ref="CW15:CW16" si="11">CW12-CV12</f>
        <v>0</v>
      </c>
      <c r="CX15" s="44">
        <f t="shared" ref="CX15:CX16" si="12">CX12-CW12</f>
        <v>0</v>
      </c>
      <c r="CY15" s="44">
        <f t="shared" ref="CY15:CY16" si="13">CY12-CX12</f>
        <v>0</v>
      </c>
      <c r="CZ15" s="44">
        <f t="shared" ref="CZ15:CZ16" si="14">CZ12-CY12</f>
        <v>0</v>
      </c>
      <c r="DA15" s="44">
        <f t="shared" ref="DA15:DA16" si="15">DA12-CZ12</f>
        <v>0</v>
      </c>
      <c r="DB15" s="44">
        <f t="shared" ref="DB15:DB16" si="16">DB12-DA12</f>
        <v>0</v>
      </c>
      <c r="DC15" s="44">
        <f t="shared" ref="DC15:DC16" si="17">DC12-DB12</f>
        <v>0</v>
      </c>
      <c r="DD15" s="44">
        <f t="shared" ref="DD15:DD16" si="18">DD12-DC12</f>
        <v>0</v>
      </c>
      <c r="DE15" s="44">
        <f t="shared" ref="DE15:DE16" si="19">DE12-DD12</f>
        <v>0</v>
      </c>
      <c r="DF15" s="39"/>
    </row>
    <row r="16" spans="1:110" s="40" customFormat="1" ht="75" customHeight="1" x14ac:dyDescent="0.35">
      <c r="A16" s="41"/>
      <c r="B16" s="36"/>
      <c r="C16" s="42" t="s">
        <v>49</v>
      </c>
      <c r="D16" s="43">
        <f>D13</f>
        <v>0</v>
      </c>
      <c r="E16" s="44">
        <f>E13-D13</f>
        <v>0</v>
      </c>
      <c r="F16" s="44">
        <f t="shared" ref="F16:F17" si="20">F13-E13</f>
        <v>5.0000000000000001E-3</v>
      </c>
      <c r="G16" s="44">
        <f t="shared" ref="G16:G17" si="21">G13-F13</f>
        <v>6.5000000000000002E-2</v>
      </c>
      <c r="H16" s="44">
        <f t="shared" ref="H16:H17" si="22">H13-G13</f>
        <v>0</v>
      </c>
      <c r="I16" s="44">
        <f t="shared" ref="I16:I17" si="23">I13-H13</f>
        <v>2.7499999999999997E-2</v>
      </c>
      <c r="J16" s="44">
        <f t="shared" ref="J16:J17" si="24">J13-I13</f>
        <v>3.2500000000000001E-2</v>
      </c>
      <c r="K16" s="44">
        <f t="shared" ref="K16:K17" si="25">K13-J13</f>
        <v>1.0000000000000009E-2</v>
      </c>
      <c r="L16" s="44">
        <f t="shared" ref="L16:L17" si="26">L13-K13</f>
        <v>2.5749999999999884E-2</v>
      </c>
      <c r="M16" s="44">
        <f t="shared" ref="M16:M17" si="27">M13-L13</f>
        <v>4.5999999999999958E-2</v>
      </c>
      <c r="N16" s="44">
        <f t="shared" ref="N16:N17" si="28">N13-M13</f>
        <v>3.5249999999999948E-2</v>
      </c>
      <c r="O16" s="44">
        <f t="shared" si="0"/>
        <v>4.8249999999999821E-2</v>
      </c>
      <c r="P16" s="44">
        <f t="shared" si="0"/>
        <v>5.2249999999999963E-2</v>
      </c>
      <c r="Q16" s="44">
        <f t="shared" si="0"/>
        <v>1.3999999999999957E-2</v>
      </c>
      <c r="R16" s="44">
        <f t="shared" si="0"/>
        <v>5.4500000000001048E-2</v>
      </c>
      <c r="S16" s="44">
        <f t="shared" si="0"/>
        <v>4.1000000000000869E-2</v>
      </c>
      <c r="T16" s="44">
        <f t="shared" si="0"/>
        <v>3.6599999999999966E-2</v>
      </c>
      <c r="U16" s="44">
        <f t="shared" si="0"/>
        <v>6.3999999999999668E-2</v>
      </c>
      <c r="V16" s="44">
        <f t="shared" si="0"/>
        <v>4.6099999999998809E-2</v>
      </c>
      <c r="W16" s="44">
        <f t="shared" si="0"/>
        <v>2.0499999999999963E-2</v>
      </c>
      <c r="X16" s="44">
        <f t="shared" si="0"/>
        <v>3.5350000000000437E-2</v>
      </c>
      <c r="Y16" s="44">
        <f t="shared" si="0"/>
        <v>1.6000000000000347E-2</v>
      </c>
      <c r="Z16" s="44">
        <f t="shared" ref="Z16" si="29">Z13-Y13</f>
        <v>2.9549999999999854E-2</v>
      </c>
      <c r="AA16" s="44">
        <f t="shared" ref="AA16" si="30">AA13-Z13</f>
        <v>2.7649999999999952E-2</v>
      </c>
      <c r="AB16" s="44">
        <f t="shared" ref="AB16" si="31">AB13-AA13</f>
        <v>3.4349999999999437E-2</v>
      </c>
      <c r="AC16" s="44">
        <f t="shared" ref="AC16" si="32">AC13-AB13</f>
        <v>2.0099999999999785E-2</v>
      </c>
      <c r="AD16" s="44">
        <f t="shared" ref="AD16" si="33">AD13-AC13</f>
        <v>2.2900000000000253E-2</v>
      </c>
      <c r="AE16" s="44">
        <f t="shared" ref="AE16" si="34">AE13-AD13</f>
        <v>1.0000000000000231E-2</v>
      </c>
      <c r="AF16" s="44">
        <f t="shared" ref="AF16" si="35">AF13-AE13</f>
        <v>2.4100000000000565E-2</v>
      </c>
      <c r="AG16" s="44">
        <f t="shared" ref="AG16" si="36">AG13-AF13</f>
        <v>1.3200000000000212E-2</v>
      </c>
      <c r="AH16" s="44">
        <f t="shared" ref="AH16" si="37">AH13-AG13</f>
        <v>1.6099999999999892E-2</v>
      </c>
      <c r="AI16" s="44">
        <f t="shared" ref="AI16" si="38">AI13-AH13</f>
        <v>6.6999999999998172E-3</v>
      </c>
      <c r="AJ16" s="44">
        <f t="shared" ref="AJ16" si="39">AJ13-AI13</f>
        <v>1.0199999999999543E-2</v>
      </c>
      <c r="AK16" s="44">
        <f t="shared" si="1"/>
        <v>6.0000000000004494E-4</v>
      </c>
      <c r="AL16" s="44">
        <f t="shared" si="1"/>
        <v>9.9999999999988987E-4</v>
      </c>
      <c r="AM16" s="44">
        <f t="shared" si="1"/>
        <v>1.0000000000001119E-3</v>
      </c>
      <c r="AN16" s="44">
        <f t="shared" si="1"/>
        <v>3.0000000000000027E-3</v>
      </c>
      <c r="AO16" s="44">
        <f t="shared" si="1"/>
        <v>1.9999999999998908E-3</v>
      </c>
      <c r="AP16" s="44">
        <f t="shared" si="1"/>
        <v>2.0000000000000018E-3</v>
      </c>
      <c r="AQ16" s="44">
        <f t="shared" si="1"/>
        <v>0</v>
      </c>
      <c r="AR16" s="44">
        <f t="shared" si="1"/>
        <v>0</v>
      </c>
      <c r="AS16" s="44">
        <f t="shared" si="1"/>
        <v>0</v>
      </c>
      <c r="AT16" s="44">
        <f t="shared" si="1"/>
        <v>0</v>
      </c>
      <c r="AU16" s="44">
        <f t="shared" si="1"/>
        <v>0</v>
      </c>
      <c r="AV16" s="44">
        <f t="shared" si="1"/>
        <v>0</v>
      </c>
      <c r="AW16" s="44">
        <f t="shared" si="1"/>
        <v>0</v>
      </c>
      <c r="AX16" s="44">
        <f t="shared" si="1"/>
        <v>0</v>
      </c>
      <c r="AY16" s="44">
        <f t="shared" si="1"/>
        <v>0</v>
      </c>
      <c r="AZ16" s="44">
        <f t="shared" si="1"/>
        <v>0</v>
      </c>
      <c r="BA16" s="44">
        <f t="shared" si="1"/>
        <v>0</v>
      </c>
      <c r="BB16" s="44">
        <f t="shared" si="1"/>
        <v>0</v>
      </c>
      <c r="BC16" s="44">
        <f t="shared" si="1"/>
        <v>0</v>
      </c>
      <c r="BD16" s="44">
        <f t="shared" si="1"/>
        <v>0</v>
      </c>
      <c r="BE16" s="44">
        <f t="shared" si="1"/>
        <v>0</v>
      </c>
      <c r="BF16" s="44">
        <f t="shared" si="1"/>
        <v>0</v>
      </c>
      <c r="BG16" s="44">
        <f t="shared" si="1"/>
        <v>0</v>
      </c>
      <c r="BH16" s="44">
        <f t="shared" si="1"/>
        <v>0</v>
      </c>
      <c r="BI16" s="44">
        <f t="shared" si="1"/>
        <v>0</v>
      </c>
      <c r="BJ16" s="44">
        <f t="shared" si="1"/>
        <v>0</v>
      </c>
      <c r="BK16" s="44">
        <f t="shared" si="1"/>
        <v>0</v>
      </c>
      <c r="BL16" s="44">
        <f t="shared" si="1"/>
        <v>0</v>
      </c>
      <c r="BM16" s="44">
        <f t="shared" si="1"/>
        <v>0</v>
      </c>
      <c r="BN16" s="44">
        <f t="shared" si="1"/>
        <v>0</v>
      </c>
      <c r="BO16" s="44">
        <f t="shared" si="1"/>
        <v>0</v>
      </c>
      <c r="BP16" s="44">
        <f t="shared" si="1"/>
        <v>0</v>
      </c>
      <c r="BQ16" s="44">
        <f t="shared" si="1"/>
        <v>0</v>
      </c>
      <c r="BR16" s="44">
        <f t="shared" si="2"/>
        <v>0</v>
      </c>
      <c r="BS16" s="44">
        <f t="shared" si="2"/>
        <v>0</v>
      </c>
      <c r="BT16" s="44">
        <f t="shared" si="2"/>
        <v>0</v>
      </c>
      <c r="BU16" s="44">
        <f t="shared" si="2"/>
        <v>0</v>
      </c>
      <c r="BV16" s="44">
        <f t="shared" si="2"/>
        <v>0</v>
      </c>
      <c r="BW16" s="44">
        <f t="shared" si="2"/>
        <v>0</v>
      </c>
      <c r="BX16" s="44">
        <f t="shared" si="3"/>
        <v>0</v>
      </c>
      <c r="BY16" s="44">
        <f t="shared" si="4"/>
        <v>0</v>
      </c>
      <c r="BZ16" s="44">
        <f t="shared" si="2"/>
        <v>0</v>
      </c>
      <c r="CA16" s="44">
        <f t="shared" si="2"/>
        <v>0</v>
      </c>
      <c r="CB16" s="44">
        <f t="shared" si="2"/>
        <v>0</v>
      </c>
      <c r="CC16" s="44">
        <f t="shared" si="2"/>
        <v>0</v>
      </c>
      <c r="CD16" s="44">
        <f t="shared" si="2"/>
        <v>0</v>
      </c>
      <c r="CE16" s="44">
        <f t="shared" si="2"/>
        <v>0</v>
      </c>
      <c r="CF16" s="44">
        <f t="shared" si="2"/>
        <v>0</v>
      </c>
      <c r="CG16" s="44">
        <f t="shared" si="2"/>
        <v>0</v>
      </c>
      <c r="CH16" s="44">
        <f t="shared" si="2"/>
        <v>0</v>
      </c>
      <c r="CI16" s="44">
        <f t="shared" si="2"/>
        <v>0</v>
      </c>
      <c r="CJ16" s="44">
        <f t="shared" si="2"/>
        <v>0</v>
      </c>
      <c r="CK16" s="44">
        <f t="shared" si="2"/>
        <v>0</v>
      </c>
      <c r="CL16" s="44">
        <f t="shared" si="2"/>
        <v>0</v>
      </c>
      <c r="CM16" s="44">
        <f t="shared" si="2"/>
        <v>0</v>
      </c>
      <c r="CN16" s="44">
        <f t="shared" si="2"/>
        <v>0</v>
      </c>
      <c r="CO16" s="44">
        <f t="shared" si="2"/>
        <v>0</v>
      </c>
      <c r="CP16" s="44">
        <f t="shared" si="2"/>
        <v>0</v>
      </c>
      <c r="CQ16" s="44">
        <f t="shared" si="5"/>
        <v>0</v>
      </c>
      <c r="CR16" s="44">
        <f t="shared" si="6"/>
        <v>0</v>
      </c>
      <c r="CS16" s="44">
        <f t="shared" si="7"/>
        <v>0</v>
      </c>
      <c r="CT16" s="44">
        <f t="shared" si="8"/>
        <v>0</v>
      </c>
      <c r="CU16" s="44">
        <f t="shared" si="9"/>
        <v>0</v>
      </c>
      <c r="CV16" s="44">
        <f t="shared" si="10"/>
        <v>0</v>
      </c>
      <c r="CW16" s="44">
        <f t="shared" si="11"/>
        <v>0</v>
      </c>
      <c r="CX16" s="44">
        <f t="shared" si="12"/>
        <v>0</v>
      </c>
      <c r="CY16" s="44">
        <f t="shared" si="13"/>
        <v>0</v>
      </c>
      <c r="CZ16" s="44">
        <f t="shared" si="14"/>
        <v>0</v>
      </c>
      <c r="DA16" s="44">
        <f t="shared" si="15"/>
        <v>0</v>
      </c>
      <c r="DB16" s="44">
        <f t="shared" si="16"/>
        <v>0</v>
      </c>
      <c r="DC16" s="44">
        <f t="shared" si="17"/>
        <v>0</v>
      </c>
      <c r="DD16" s="44">
        <f t="shared" si="18"/>
        <v>0</v>
      </c>
      <c r="DE16" s="44">
        <f t="shared" si="19"/>
        <v>0</v>
      </c>
      <c r="DF16" s="39"/>
    </row>
    <row r="17" spans="1:110" s="40" customFormat="1" ht="75" customHeight="1" thickBot="1" x14ac:dyDescent="0.4">
      <c r="A17" s="41"/>
      <c r="B17" s="36" t="s">
        <v>34</v>
      </c>
      <c r="C17" s="45" t="s">
        <v>35</v>
      </c>
      <c r="D17" s="43">
        <f>D14</f>
        <v>0</v>
      </c>
      <c r="E17" s="44">
        <f t="shared" ref="E17" si="40">E14-D14</f>
        <v>0</v>
      </c>
      <c r="F17" s="44">
        <f t="shared" si="20"/>
        <v>0</v>
      </c>
      <c r="G17" s="44">
        <f t="shared" si="21"/>
        <v>0.02</v>
      </c>
      <c r="H17" s="44">
        <f t="shared" si="22"/>
        <v>0</v>
      </c>
      <c r="I17" s="44">
        <f t="shared" si="23"/>
        <v>4.1250000000000037E-2</v>
      </c>
      <c r="J17" s="44">
        <f t="shared" si="24"/>
        <v>4.9999999999999857E-2</v>
      </c>
      <c r="K17" s="44">
        <f t="shared" si="25"/>
        <v>2.3249999999999785E-2</v>
      </c>
      <c r="L17" s="44">
        <f t="shared" si="26"/>
        <v>1.999999999999999E-2</v>
      </c>
      <c r="M17" s="44">
        <f t="shared" si="27"/>
        <v>3.3999999999999919E-2</v>
      </c>
      <c r="N17" s="44">
        <f t="shared" si="28"/>
        <v>4.9250000000000127E-2</v>
      </c>
      <c r="O17" s="44">
        <f t="shared" si="0"/>
        <v>2.9750000000000137E-2</v>
      </c>
      <c r="P17" s="44">
        <f t="shared" si="0"/>
        <v>7.0650000000000046E-2</v>
      </c>
      <c r="Q17" s="44">
        <f t="shared" si="0"/>
        <v>6.3399999999999623E-2</v>
      </c>
      <c r="R17" s="44">
        <f t="shared" ref="R17" si="41">R14-Q14</f>
        <v>4.0699999999999015E-2</v>
      </c>
      <c r="S17" s="44">
        <f t="shared" ref="S17:T17" si="42">S14-R14</f>
        <v>3.490000000000143E-2</v>
      </c>
      <c r="T17" s="44">
        <f t="shared" si="42"/>
        <v>1.4500000000000512E-2</v>
      </c>
      <c r="U17" s="44">
        <f t="shared" si="0"/>
        <v>4.9000000000000044E-2</v>
      </c>
      <c r="V17" s="44">
        <f t="shared" si="0"/>
        <v>5.3449999999999998E-2</v>
      </c>
      <c r="W17" s="44">
        <f t="shared" si="0"/>
        <v>3.049999999999975E-2</v>
      </c>
      <c r="X17" s="44">
        <f t="shared" si="0"/>
        <v>2.6250000000000107E-2</v>
      </c>
      <c r="Y17" s="44">
        <f t="shared" si="0"/>
        <v>2.1249999999999991E-2</v>
      </c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39"/>
    </row>
    <row r="18" spans="1:110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8"/>
    </row>
    <row r="20" spans="1:110" s="49" customFormat="1" ht="72.75" customHeight="1" x14ac:dyDescent="0.5"/>
    <row r="21" spans="1:110" s="49" customFormat="1" ht="21" x14ac:dyDescent="0.5"/>
    <row r="22" spans="1:110" x14ac:dyDescent="0.35">
      <c r="C22" s="50"/>
    </row>
  </sheetData>
  <dataConsolidate/>
  <mergeCells count="2">
    <mergeCell ref="C4:DE4"/>
    <mergeCell ref="C5:DE5"/>
  </mergeCells>
  <conditionalFormatting sqref="D12:DE17">
    <cfRule type="containsErrors" dxfId="238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A242"/>
  <sheetViews>
    <sheetView tabSelected="1" zoomScale="120" zoomScaleNormal="120" workbookViewId="0">
      <pane xSplit="5" topLeftCell="I1" activePane="topRight" state="frozen"/>
      <selection pane="topRight" activeCell="L22" sqref="L22"/>
    </sheetView>
  </sheetViews>
  <sheetFormatPr defaultRowHeight="14.5" x14ac:dyDescent="0.35"/>
  <cols>
    <col min="1" max="1" width="9.6328125" customWidth="1"/>
    <col min="2" max="2" width="6.08984375" customWidth="1"/>
    <col min="3" max="3" width="4.1796875" customWidth="1"/>
    <col min="4" max="4" width="19.90625" customWidth="1"/>
    <col min="5" max="5" width="46.36328125" customWidth="1"/>
    <col min="6" max="6" width="4.90625" customWidth="1"/>
    <col min="7" max="7" width="5.81640625" customWidth="1"/>
    <col min="8" max="8" width="5.26953125" customWidth="1"/>
    <col min="9" max="9" width="4.81640625" customWidth="1"/>
    <col min="10" max="10" width="5.36328125" customWidth="1"/>
    <col min="11" max="11" width="7.7265625" customWidth="1"/>
    <col min="12" max="12" width="8.1796875" customWidth="1"/>
    <col min="13" max="13" width="7.1796875" customWidth="1"/>
    <col min="14" max="14" width="7.54296875" customWidth="1"/>
    <col min="15" max="15" width="6.90625" customWidth="1"/>
    <col min="16" max="16" width="6.6328125" customWidth="1"/>
    <col min="17" max="17" width="7.54296875" customWidth="1"/>
    <col min="18" max="18" width="6.90625" customWidth="1"/>
    <col min="19" max="19" width="6.7265625" customWidth="1"/>
    <col min="20" max="20" width="6.6328125" customWidth="1"/>
    <col min="21" max="21" width="7.1796875" customWidth="1"/>
    <col min="22" max="22" width="6.90625" customWidth="1"/>
    <col min="24" max="24" width="13.81640625" style="177" customWidth="1"/>
    <col min="25" max="27" width="14.08984375" customWidth="1"/>
  </cols>
  <sheetData>
    <row r="1" spans="1:27" ht="15" thickBot="1" x14ac:dyDescent="0.4">
      <c r="A1" t="s">
        <v>38</v>
      </c>
      <c r="D1" s="16">
        <v>46248</v>
      </c>
    </row>
    <row r="2" spans="1:27" ht="19" thickBot="1" x14ac:dyDescent="0.5">
      <c r="A2" s="21" t="s">
        <v>51</v>
      </c>
      <c r="B2" s="21"/>
      <c r="K2" s="202" t="s">
        <v>10</v>
      </c>
      <c r="L2" s="202"/>
      <c r="M2" s="202"/>
      <c r="N2" s="202" t="s">
        <v>12</v>
      </c>
      <c r="O2" s="202"/>
      <c r="P2" s="202"/>
      <c r="Q2" s="202" t="s">
        <v>11</v>
      </c>
      <c r="R2" s="202"/>
      <c r="S2" s="202"/>
      <c r="T2" s="202" t="s">
        <v>13</v>
      </c>
      <c r="U2" s="202"/>
      <c r="V2" s="202"/>
      <c r="X2" s="199" t="s">
        <v>503</v>
      </c>
      <c r="Y2" s="200"/>
      <c r="Z2" s="200"/>
      <c r="AA2" s="201"/>
    </row>
    <row r="3" spans="1:27" s="64" customFormat="1" ht="19.5" thickBot="1" x14ac:dyDescent="0.3">
      <c r="A3" s="62" t="s">
        <v>4</v>
      </c>
      <c r="B3" s="62"/>
      <c r="C3" s="62" t="s">
        <v>16</v>
      </c>
      <c r="D3" s="62" t="s">
        <v>0</v>
      </c>
      <c r="E3" s="63" t="s">
        <v>19</v>
      </c>
      <c r="F3" s="63" t="s">
        <v>44</v>
      </c>
      <c r="G3" s="63" t="s">
        <v>45</v>
      </c>
      <c r="H3" s="63" t="s">
        <v>46</v>
      </c>
      <c r="I3" s="63" t="s">
        <v>50</v>
      </c>
      <c r="J3" s="63" t="s">
        <v>1</v>
      </c>
      <c r="K3" s="63" t="s">
        <v>2</v>
      </c>
      <c r="L3" s="63" t="s">
        <v>43</v>
      </c>
      <c r="M3" s="63" t="s">
        <v>3</v>
      </c>
      <c r="N3" s="63" t="s">
        <v>2</v>
      </c>
      <c r="O3" s="63" t="s">
        <v>43</v>
      </c>
      <c r="P3" s="63" t="s">
        <v>3</v>
      </c>
      <c r="Q3" s="63" t="s">
        <v>2</v>
      </c>
      <c r="R3" s="63" t="s">
        <v>43</v>
      </c>
      <c r="S3" s="63" t="s">
        <v>3</v>
      </c>
      <c r="T3" s="63" t="s">
        <v>2</v>
      </c>
      <c r="U3" s="63" t="s">
        <v>43</v>
      </c>
      <c r="V3" s="63" t="s">
        <v>3</v>
      </c>
      <c r="X3" s="178" t="s">
        <v>10</v>
      </c>
      <c r="Y3" s="179" t="s">
        <v>12</v>
      </c>
      <c r="Z3" s="180" t="s">
        <v>11</v>
      </c>
      <c r="AA3" s="181" t="s">
        <v>13</v>
      </c>
    </row>
    <row r="4" spans="1:27" s="64" customFormat="1" ht="11.5" x14ac:dyDescent="0.25">
      <c r="A4" s="70" t="s">
        <v>61</v>
      </c>
      <c r="B4" s="70" t="s">
        <v>62</v>
      </c>
      <c r="C4" s="70" t="s">
        <v>63</v>
      </c>
      <c r="D4" s="70" t="s">
        <v>253</v>
      </c>
      <c r="E4" s="70" t="s">
        <v>5</v>
      </c>
      <c r="F4" s="66">
        <f t="shared" ref="F4:H6" si="0">(COUNTIFS(K4,"&lt;="&amp;$D$1)*50%)+(COUNTIFS(N4,"&lt;="&amp;$D$1)*20%)+(COUNTIFS(Q4,"&lt;="&amp;$D$1)*10%)+(COUNTIFS(T4,"&lt;="&amp;$D$1)*20%)</f>
        <v>1</v>
      </c>
      <c r="G4" s="66">
        <f t="shared" si="0"/>
        <v>1</v>
      </c>
      <c r="H4" s="66">
        <f t="shared" si="0"/>
        <v>0.7</v>
      </c>
      <c r="I4" s="66">
        <f>H4-F4</f>
        <v>-0.30000000000000004</v>
      </c>
      <c r="J4" s="71">
        <v>1</v>
      </c>
      <c r="K4" s="72">
        <v>46115</v>
      </c>
      <c r="L4" s="68">
        <f>K4</f>
        <v>46115</v>
      </c>
      <c r="M4" s="72">
        <v>46136</v>
      </c>
      <c r="N4" s="72">
        <f>K4+42</f>
        <v>46157</v>
      </c>
      <c r="O4" s="68">
        <f>N4</f>
        <v>46157</v>
      </c>
      <c r="P4" s="74">
        <v>46227</v>
      </c>
      <c r="Q4" s="72">
        <f>N4+42</f>
        <v>46199</v>
      </c>
      <c r="R4" s="68">
        <f>Q4</f>
        <v>46199</v>
      </c>
      <c r="S4" s="74"/>
      <c r="T4" s="74">
        <f>Q4+14</f>
        <v>46213</v>
      </c>
      <c r="U4" s="68">
        <f>T4</f>
        <v>46213</v>
      </c>
      <c r="V4" s="72"/>
      <c r="X4" s="182" t="str">
        <f ca="1">IF(OR(M4&lt;&gt;""),"Completed",
IF(L4="","",IF(L4&lt;TODAY(),"Overdue",
IF(AND(L4&gt;=TODAY()-WEEKDAY(TODAY(),2)+1,L4&lt;=TODAY()-WEEKDAY(TODAY(),2)+7),"Follow-This Week",
IF(AND(L4&gt;=TODAY()-WEEKDAY(TODAY(),2)+8,L4&lt;=TODAY()-WEEKDAY(TODAY(),2)+14),"Follow-Next Week","")))))</f>
        <v>Completed</v>
      </c>
      <c r="Y4" s="182" t="str">
        <f ca="1">IF(OR(P4&lt;&gt;""),"Completed",IF(O4="","",
IF(O4&lt;TODAY(),"Overdue",
IF(AND(O4&gt;=TODAY()-WEEKDAY(TODAY(),2)+1,O4&lt;=TODAY()-WEEKDAY(TODAY(),2)+7),"Follow-This Week",
IF(AND(O4&gt;=TODAY()-WEEKDAY(TODAY(),2)+8,O4&lt;=TODAY()-WEEKDAY(TODAY(),2)+14),"Follow-Next Week","")))))</f>
        <v>Completed</v>
      </c>
      <c r="Z4" s="182" t="str">
        <f ca="1">IF(OR(S4&lt;&gt;""),"Completed",IF(R4="","",
IF(R4&lt;TODAY(),"Overdue",
IF(AND(R4&gt;=TODAY()-WEEKDAY(TODAY(),2)+1,R4&lt;=TODAY()-WEEKDAY(TODAY(),2)+7),"Follow-This Week",
IF(AND(R4&gt;=TODAY()-WEEKDAY(TODAY(),2)+8,R4&lt;=TODAY()-WEEKDAY(TODAY(),2)+14),"Follow-Next Week","")))))</f>
        <v>Overdue</v>
      </c>
      <c r="AA4" s="183" t="str">
        <f ca="1">IF(OR(V4&lt;&gt;""),"Completed",IF(U4="","",
IF(U4&lt;TODAY(),"Overdue",
IF(AND(U4&gt;=TODAY()-WEEKDAY(TODAY(),2)+1,U4&lt;=TODAY()-WEEKDAY(TODAY(),2)+7),"Follow-This Week",
IF(AND(U4&gt;=TODAY()-WEEKDAY(TODAY(),2)+8,U4&lt;=TODAY()-WEEKDAY(TODAY(),2)+14),"Follow-Next Week","")))))</f>
        <v>Overdue</v>
      </c>
    </row>
    <row r="5" spans="1:27" s="64" customFormat="1" ht="11.5" x14ac:dyDescent="0.25">
      <c r="A5" s="70" t="s">
        <v>61</v>
      </c>
      <c r="B5" s="70" t="s">
        <v>62</v>
      </c>
      <c r="C5" s="65" t="s">
        <v>63</v>
      </c>
      <c r="D5" s="65" t="s">
        <v>271</v>
      </c>
      <c r="E5" s="65" t="s">
        <v>6</v>
      </c>
      <c r="F5" s="66">
        <f t="shared" si="0"/>
        <v>1</v>
      </c>
      <c r="G5" s="66">
        <f t="shared" si="0"/>
        <v>1</v>
      </c>
      <c r="H5" s="66">
        <f t="shared" si="0"/>
        <v>0.7</v>
      </c>
      <c r="I5" s="66">
        <f t="shared" ref="I5:I72" si="1">H5-F5</f>
        <v>-0.30000000000000004</v>
      </c>
      <c r="J5" s="71">
        <v>1</v>
      </c>
      <c r="K5" s="72">
        <v>46122</v>
      </c>
      <c r="L5" s="68">
        <f t="shared" ref="L5:L86" si="2">K5</f>
        <v>46122</v>
      </c>
      <c r="M5" s="72">
        <v>46135</v>
      </c>
      <c r="N5" s="72">
        <f t="shared" ref="N5:N86" si="3">K5+42</f>
        <v>46164</v>
      </c>
      <c r="O5" s="68">
        <f t="shared" ref="O5:O86" si="4">N5</f>
        <v>46164</v>
      </c>
      <c r="P5" s="74">
        <v>46230</v>
      </c>
      <c r="Q5" s="72">
        <f t="shared" ref="Q5:Q86" si="5">N5+42</f>
        <v>46206</v>
      </c>
      <c r="R5" s="72">
        <f t="shared" ref="R5:R86" si="6">Q5</f>
        <v>46206</v>
      </c>
      <c r="S5" s="74"/>
      <c r="T5" s="74">
        <f t="shared" ref="T5:T86" si="7">Q5+14</f>
        <v>46220</v>
      </c>
      <c r="U5" s="68">
        <f t="shared" ref="U5:U86" si="8">T5</f>
        <v>46220</v>
      </c>
      <c r="V5" s="72"/>
      <c r="X5" s="184" t="str">
        <f t="shared" ref="X5:X73" ca="1" si="9">IF(OR(M5&lt;&gt;""),"Completed",
IF(L5="","",IF(L5&lt;TODAY(),"Overdue",
IF(AND(L5&gt;=TODAY()-WEEKDAY(TODAY(),2)+1,L5&lt;=TODAY()-WEEKDAY(TODAY(),2)+7),"Follow-This Week",
IF(AND(L5&gt;=TODAY()-WEEKDAY(TODAY(),2)+8,L5&lt;=TODAY()-WEEKDAY(TODAY(),2)+14),"Follow-Next Week","")))))</f>
        <v>Completed</v>
      </c>
      <c r="Y5" s="184" t="str">
        <f t="shared" ref="Y5:Y73" ca="1" si="10">IF(OR(P5&lt;&gt;""),"Completed",IF(O5="","",
IF(O5&lt;TODAY(),"Overdue",
IF(AND(O5&gt;=TODAY()-WEEKDAY(TODAY(),2)+1,O5&lt;=TODAY()-WEEKDAY(TODAY(),2)+7),"Follow-This Week",
IF(AND(O5&gt;=TODAY()-WEEKDAY(TODAY(),2)+8,O5&lt;=TODAY()-WEEKDAY(TODAY(),2)+14),"Follow-Next Week","")))))</f>
        <v>Completed</v>
      </c>
      <c r="Z5" s="184" t="str">
        <f t="shared" ref="Z5:Z73" ca="1" si="11">IF(OR(S5&lt;&gt;""),"Completed",IF(R5="","",
IF(R5&lt;TODAY(),"Overdue",
IF(AND(R5&gt;=TODAY()-WEEKDAY(TODAY(),2)+1,R5&lt;=TODAY()-WEEKDAY(TODAY(),2)+7),"Follow-This Week",
IF(AND(R5&gt;=TODAY()-WEEKDAY(TODAY(),2)+8,R5&lt;=TODAY()-WEEKDAY(TODAY(),2)+14),"Follow-Next Week","")))))</f>
        <v>Overdue</v>
      </c>
      <c r="AA5" s="185" t="str">
        <f t="shared" ref="AA5:AA73" ca="1" si="12">IF(OR(V5&lt;&gt;""),"Completed",IF(U5="","",
IF(U5&lt;TODAY(),"Overdue",
IF(AND(U5&gt;=TODAY()-WEEKDAY(TODAY(),2)+1,U5&lt;=TODAY()-WEEKDAY(TODAY(),2)+7),"Follow-This Week",
IF(AND(U5&gt;=TODAY()-WEEKDAY(TODAY(),2)+8,U5&lt;=TODAY()-WEEKDAY(TODAY(),2)+14),"Follow-Next Week","")))))</f>
        <v>Overdue</v>
      </c>
    </row>
    <row r="6" spans="1:27" s="64" customFormat="1" ht="11.5" x14ac:dyDescent="0.25">
      <c r="A6" s="70" t="s">
        <v>61</v>
      </c>
      <c r="B6" s="70" t="s">
        <v>62</v>
      </c>
      <c r="C6" s="65" t="s">
        <v>63</v>
      </c>
      <c r="D6" s="80" t="s">
        <v>270</v>
      </c>
      <c r="E6" s="65" t="s">
        <v>7</v>
      </c>
      <c r="F6" s="66">
        <f t="shared" si="0"/>
        <v>1</v>
      </c>
      <c r="G6" s="66">
        <f t="shared" si="0"/>
        <v>1</v>
      </c>
      <c r="H6" s="66">
        <f t="shared" si="0"/>
        <v>1</v>
      </c>
      <c r="I6" s="66">
        <f t="shared" si="1"/>
        <v>0</v>
      </c>
      <c r="J6" s="71">
        <v>1</v>
      </c>
      <c r="K6" s="72">
        <v>46122</v>
      </c>
      <c r="L6" s="68">
        <f t="shared" si="2"/>
        <v>46122</v>
      </c>
      <c r="M6" s="72">
        <v>46122</v>
      </c>
      <c r="N6" s="72">
        <f t="shared" si="3"/>
        <v>46164</v>
      </c>
      <c r="O6" s="68">
        <f t="shared" si="4"/>
        <v>46164</v>
      </c>
      <c r="P6" s="72">
        <v>46171</v>
      </c>
      <c r="Q6" s="72">
        <f t="shared" si="5"/>
        <v>46206</v>
      </c>
      <c r="R6" s="72">
        <f t="shared" si="6"/>
        <v>46206</v>
      </c>
      <c r="S6" s="72">
        <v>46171</v>
      </c>
      <c r="T6" s="72">
        <f t="shared" si="7"/>
        <v>46220</v>
      </c>
      <c r="U6" s="68">
        <f t="shared" si="8"/>
        <v>46220</v>
      </c>
      <c r="V6" s="72">
        <v>46192</v>
      </c>
      <c r="X6" s="184" t="str">
        <f t="shared" ca="1" si="9"/>
        <v>Completed</v>
      </c>
      <c r="Y6" s="184" t="str">
        <f t="shared" ca="1" si="10"/>
        <v>Completed</v>
      </c>
      <c r="Z6" s="184" t="str">
        <f t="shared" ca="1" si="11"/>
        <v>Completed</v>
      </c>
      <c r="AA6" s="185" t="str">
        <f t="shared" ca="1" si="12"/>
        <v>Completed</v>
      </c>
    </row>
    <row r="7" spans="1:27" s="64" customFormat="1" ht="11.5" x14ac:dyDescent="0.25">
      <c r="A7" s="150" t="s">
        <v>61</v>
      </c>
      <c r="B7" s="150" t="s">
        <v>64</v>
      </c>
      <c r="C7" s="150" t="s">
        <v>63</v>
      </c>
      <c r="D7" s="151" t="s">
        <v>246</v>
      </c>
      <c r="E7" s="150" t="s">
        <v>66</v>
      </c>
      <c r="F7" s="152"/>
      <c r="G7" s="152"/>
      <c r="H7" s="152"/>
      <c r="I7" s="152"/>
      <c r="J7" s="153"/>
      <c r="K7" s="154"/>
      <c r="L7" s="154"/>
      <c r="M7" s="155"/>
      <c r="N7" s="154"/>
      <c r="O7" s="154"/>
      <c r="P7" s="155"/>
      <c r="Q7" s="154"/>
      <c r="R7" s="154"/>
      <c r="S7" s="154"/>
      <c r="T7" s="154"/>
      <c r="U7" s="154"/>
      <c r="V7" s="154"/>
      <c r="X7" s="184" t="str">
        <f t="shared" ca="1" si="9"/>
        <v/>
      </c>
      <c r="Y7" s="184" t="str">
        <f t="shared" ca="1" si="10"/>
        <v/>
      </c>
      <c r="Z7" s="184" t="str">
        <f t="shared" ca="1" si="11"/>
        <v/>
      </c>
      <c r="AA7" s="185" t="str">
        <f t="shared" ca="1" si="12"/>
        <v/>
      </c>
    </row>
    <row r="8" spans="1:27" s="64" customFormat="1" ht="11.5" x14ac:dyDescent="0.25">
      <c r="A8" s="156" t="s">
        <v>61</v>
      </c>
      <c r="B8" s="156" t="s">
        <v>67</v>
      </c>
      <c r="C8" s="156" t="s">
        <v>63</v>
      </c>
      <c r="D8" s="157" t="s">
        <v>65</v>
      </c>
      <c r="E8" s="156" t="s">
        <v>69</v>
      </c>
      <c r="F8" s="158"/>
      <c r="G8" s="158"/>
      <c r="H8" s="158"/>
      <c r="I8" s="158"/>
      <c r="J8" s="159"/>
      <c r="K8" s="160"/>
      <c r="L8" s="160"/>
      <c r="M8" s="161"/>
      <c r="N8" s="160"/>
      <c r="O8" s="160"/>
      <c r="P8" s="161"/>
      <c r="Q8" s="160"/>
      <c r="R8" s="160"/>
      <c r="S8" s="161"/>
      <c r="T8" s="161"/>
      <c r="U8" s="160"/>
      <c r="V8" s="160"/>
      <c r="X8" s="184" t="str">
        <f t="shared" ca="1" si="9"/>
        <v/>
      </c>
      <c r="Y8" s="184" t="str">
        <f t="shared" ca="1" si="10"/>
        <v/>
      </c>
      <c r="Z8" s="184" t="str">
        <f t="shared" ca="1" si="11"/>
        <v/>
      </c>
      <c r="AA8" s="185" t="str">
        <f t="shared" ca="1" si="12"/>
        <v/>
      </c>
    </row>
    <row r="9" spans="1:27" s="64" customFormat="1" ht="11.5" x14ac:dyDescent="0.25">
      <c r="A9" s="162" t="s">
        <v>61</v>
      </c>
      <c r="B9" s="162" t="s">
        <v>70</v>
      </c>
      <c r="C9" s="162" t="s">
        <v>63</v>
      </c>
      <c r="D9" s="163" t="s">
        <v>68</v>
      </c>
      <c r="E9" s="162" t="s">
        <v>72</v>
      </c>
      <c r="F9" s="164"/>
      <c r="G9" s="164"/>
      <c r="H9" s="164"/>
      <c r="I9" s="164"/>
      <c r="J9" s="165"/>
      <c r="K9" s="166"/>
      <c r="L9" s="166"/>
      <c r="M9" s="167"/>
      <c r="N9" s="166"/>
      <c r="O9" s="166"/>
      <c r="P9" s="167"/>
      <c r="Q9" s="166"/>
      <c r="R9" s="166"/>
      <c r="S9" s="167"/>
      <c r="T9" s="167"/>
      <c r="U9" s="166"/>
      <c r="V9" s="167"/>
      <c r="X9" s="184" t="str">
        <f t="shared" ca="1" si="9"/>
        <v/>
      </c>
      <c r="Y9" s="184" t="str">
        <f t="shared" ca="1" si="10"/>
        <v/>
      </c>
      <c r="Z9" s="184" t="str">
        <f t="shared" ca="1" si="11"/>
        <v/>
      </c>
      <c r="AA9" s="185" t="str">
        <f t="shared" ca="1" si="12"/>
        <v/>
      </c>
    </row>
    <row r="10" spans="1:27" s="64" customFormat="1" ht="11.5" x14ac:dyDescent="0.25">
      <c r="A10" s="168" t="s">
        <v>61</v>
      </c>
      <c r="B10" s="168" t="s">
        <v>73</v>
      </c>
      <c r="C10" s="168" t="s">
        <v>63</v>
      </c>
      <c r="D10" s="169" t="s">
        <v>71</v>
      </c>
      <c r="E10" s="168" t="s">
        <v>74</v>
      </c>
      <c r="F10" s="170"/>
      <c r="G10" s="170"/>
      <c r="H10" s="170"/>
      <c r="I10" s="170"/>
      <c r="J10" s="171"/>
      <c r="K10" s="172"/>
      <c r="L10" s="172"/>
      <c r="M10" s="172"/>
      <c r="N10" s="173"/>
      <c r="O10" s="172"/>
      <c r="P10" s="172"/>
      <c r="Q10" s="173"/>
      <c r="R10" s="172"/>
      <c r="S10" s="172"/>
      <c r="T10" s="173"/>
      <c r="U10" s="172"/>
      <c r="V10" s="172"/>
      <c r="X10" s="184" t="str">
        <f t="shared" ca="1" si="9"/>
        <v/>
      </c>
      <c r="Y10" s="184" t="str">
        <f t="shared" ca="1" si="10"/>
        <v/>
      </c>
      <c r="Z10" s="184" t="str">
        <f t="shared" ca="1" si="11"/>
        <v/>
      </c>
      <c r="AA10" s="185" t="str">
        <f t="shared" ca="1" si="12"/>
        <v/>
      </c>
    </row>
    <row r="11" spans="1:27" s="108" customFormat="1" ht="11.5" x14ac:dyDescent="0.25">
      <c r="A11" s="70" t="s">
        <v>61</v>
      </c>
      <c r="B11" s="70" t="s">
        <v>62</v>
      </c>
      <c r="C11" s="70" t="s">
        <v>63</v>
      </c>
      <c r="D11" s="82" t="s">
        <v>406</v>
      </c>
      <c r="E11" s="70" t="s">
        <v>407</v>
      </c>
      <c r="F11" s="116">
        <f t="shared" ref="F11:H11" si="13">(COUNTIFS(K11,"&lt;="&amp;$D$1)*50%)+(COUNTIFS(N11,"&lt;="&amp;$D$1)*20%)+(COUNTIFS(Q11,"&lt;="&amp;$D$1)*10%)+(COUNTIFS(T11,"&lt;="&amp;$D$1)*20%)</f>
        <v>1</v>
      </c>
      <c r="G11" s="116">
        <f t="shared" si="13"/>
        <v>1</v>
      </c>
      <c r="H11" s="116">
        <f t="shared" si="13"/>
        <v>1</v>
      </c>
      <c r="I11" s="116">
        <f t="shared" ref="I11" si="14">H11-F11</f>
        <v>0</v>
      </c>
      <c r="J11" s="89">
        <v>8</v>
      </c>
      <c r="K11" s="72">
        <v>46122</v>
      </c>
      <c r="L11" s="72">
        <f t="shared" ref="L11" si="15">K11</f>
        <v>46122</v>
      </c>
      <c r="M11" s="72">
        <v>46142</v>
      </c>
      <c r="N11" s="74">
        <f t="shared" ref="N11" si="16">K11+42</f>
        <v>46164</v>
      </c>
      <c r="O11" s="72">
        <f t="shared" ref="O11" si="17">N11</f>
        <v>46164</v>
      </c>
      <c r="P11" s="72">
        <v>46183</v>
      </c>
      <c r="Q11" s="74">
        <f t="shared" ref="Q11" si="18">N11+42</f>
        <v>46206</v>
      </c>
      <c r="R11" s="72">
        <f t="shared" ref="R11" si="19">Q11</f>
        <v>46206</v>
      </c>
      <c r="S11" s="72">
        <v>46183</v>
      </c>
      <c r="T11" s="74">
        <f t="shared" ref="T11" si="20">Q11+14</f>
        <v>46220</v>
      </c>
      <c r="U11" s="72">
        <f t="shared" ref="U11" si="21">T11</f>
        <v>46220</v>
      </c>
      <c r="V11" s="72">
        <v>46183</v>
      </c>
      <c r="X11" s="184" t="str">
        <f t="shared" ca="1" si="9"/>
        <v>Completed</v>
      </c>
      <c r="Y11" s="184" t="str">
        <f t="shared" ca="1" si="10"/>
        <v>Completed</v>
      </c>
      <c r="Z11" s="184" t="str">
        <f t="shared" ca="1" si="11"/>
        <v>Completed</v>
      </c>
      <c r="AA11" s="185" t="str">
        <f t="shared" ca="1" si="12"/>
        <v>Completed</v>
      </c>
    </row>
    <row r="12" spans="1:27" s="64" customFormat="1" ht="11.5" x14ac:dyDescent="0.25">
      <c r="A12" s="70" t="s">
        <v>61</v>
      </c>
      <c r="B12" s="70" t="s">
        <v>62</v>
      </c>
      <c r="C12" s="65" t="s">
        <v>63</v>
      </c>
      <c r="D12" s="82" t="s">
        <v>254</v>
      </c>
      <c r="E12" s="65" t="s">
        <v>75</v>
      </c>
      <c r="F12" s="66">
        <f t="shared" ref="F12" si="22">(COUNTIFS(K12,"&lt;="&amp;$D$1)*50%)+(COUNTIFS(N12,"&lt;="&amp;$D$1)*20%)+(COUNTIFS(Q12,"&lt;="&amp;$D$1)*10%)+(COUNTIFS(T12,"&lt;="&amp;$D$1)*20%)</f>
        <v>1</v>
      </c>
      <c r="G12" s="66">
        <f t="shared" ref="G12" si="23">(COUNTIFS(L12,"&lt;="&amp;$D$1)*50%)+(COUNTIFS(O12,"&lt;="&amp;$D$1)*20%)+(COUNTIFS(R12,"&lt;="&amp;$D$1)*10%)+(COUNTIFS(U12,"&lt;="&amp;$D$1)*20%)</f>
        <v>1</v>
      </c>
      <c r="H12" s="66">
        <f t="shared" ref="H12:H13" si="24">(COUNTIFS(M12,"&lt;="&amp;$D$1)*50%)+(COUNTIFS(P12,"&lt;="&amp;$D$1)*20%)+(COUNTIFS(S12,"&lt;="&amp;$D$1)*10%)+(COUNTIFS(V12,"&lt;="&amp;$D$1)*20%)</f>
        <v>0.7</v>
      </c>
      <c r="I12" s="66">
        <f t="shared" ref="I12:I13" si="25">H12-F12</f>
        <v>-0.30000000000000004</v>
      </c>
      <c r="J12" s="89">
        <v>2</v>
      </c>
      <c r="K12" s="74">
        <v>46136</v>
      </c>
      <c r="L12" s="74">
        <f t="shared" si="2"/>
        <v>46136</v>
      </c>
      <c r="M12" s="72">
        <v>46136</v>
      </c>
      <c r="N12" s="74">
        <f t="shared" si="3"/>
        <v>46178</v>
      </c>
      <c r="O12" s="74">
        <f t="shared" si="4"/>
        <v>46178</v>
      </c>
      <c r="P12" s="72">
        <v>46188</v>
      </c>
      <c r="Q12" s="74">
        <f t="shared" si="5"/>
        <v>46220</v>
      </c>
      <c r="R12" s="74">
        <f t="shared" si="6"/>
        <v>46220</v>
      </c>
      <c r="S12" s="72"/>
      <c r="T12" s="74">
        <f t="shared" si="7"/>
        <v>46234</v>
      </c>
      <c r="U12" s="74">
        <f t="shared" si="8"/>
        <v>46234</v>
      </c>
      <c r="V12" s="72"/>
      <c r="X12" s="184" t="str">
        <f t="shared" ca="1" si="9"/>
        <v>Completed</v>
      </c>
      <c r="Y12" s="184" t="str">
        <f t="shared" ca="1" si="10"/>
        <v>Completed</v>
      </c>
      <c r="Z12" s="184" t="str">
        <f t="shared" ca="1" si="11"/>
        <v>Overdue</v>
      </c>
      <c r="AA12" s="185" t="str">
        <f t="shared" ca="1" si="12"/>
        <v>Overdue</v>
      </c>
    </row>
    <row r="13" spans="1:27" s="64" customFormat="1" ht="11.5" x14ac:dyDescent="0.25">
      <c r="A13" s="70" t="s">
        <v>61</v>
      </c>
      <c r="B13" s="70" t="s">
        <v>62</v>
      </c>
      <c r="C13" s="65" t="s">
        <v>63</v>
      </c>
      <c r="D13" s="82" t="s">
        <v>255</v>
      </c>
      <c r="E13" s="65" t="s">
        <v>76</v>
      </c>
      <c r="F13" s="66">
        <f t="shared" ref="F13" si="26">(COUNTIFS(K13,"&lt;="&amp;$D$1)*50%)+(COUNTIFS(N13,"&lt;="&amp;$D$1)*20%)+(COUNTIFS(Q13,"&lt;="&amp;$D$1)*10%)+(COUNTIFS(T13,"&lt;="&amp;$D$1)*20%)</f>
        <v>1</v>
      </c>
      <c r="G13" s="66">
        <f t="shared" ref="G13" si="27">(COUNTIFS(L13,"&lt;="&amp;$D$1)*50%)+(COUNTIFS(O13,"&lt;="&amp;$D$1)*20%)+(COUNTIFS(R13,"&lt;="&amp;$D$1)*10%)+(COUNTIFS(U13,"&lt;="&amp;$D$1)*20%)</f>
        <v>1</v>
      </c>
      <c r="H13" s="66">
        <f t="shared" si="24"/>
        <v>0.7</v>
      </c>
      <c r="I13" s="66">
        <f t="shared" si="25"/>
        <v>-0.30000000000000004</v>
      </c>
      <c r="J13" s="89">
        <v>2</v>
      </c>
      <c r="K13" s="74">
        <v>46136</v>
      </c>
      <c r="L13" s="74">
        <f t="shared" si="2"/>
        <v>46136</v>
      </c>
      <c r="M13" s="72">
        <v>46142</v>
      </c>
      <c r="N13" s="74">
        <f t="shared" si="3"/>
        <v>46178</v>
      </c>
      <c r="O13" s="74">
        <f t="shared" si="4"/>
        <v>46178</v>
      </c>
      <c r="P13" s="74">
        <v>46220</v>
      </c>
      <c r="Q13" s="74">
        <f t="shared" si="5"/>
        <v>46220</v>
      </c>
      <c r="R13" s="74">
        <f t="shared" si="6"/>
        <v>46220</v>
      </c>
      <c r="S13" s="72"/>
      <c r="T13" s="74">
        <f t="shared" si="7"/>
        <v>46234</v>
      </c>
      <c r="U13" s="74">
        <f t="shared" si="8"/>
        <v>46234</v>
      </c>
      <c r="V13" s="72"/>
      <c r="X13" s="184" t="str">
        <f t="shared" ca="1" si="9"/>
        <v>Completed</v>
      </c>
      <c r="Y13" s="184" t="str">
        <f t="shared" ca="1" si="10"/>
        <v>Completed</v>
      </c>
      <c r="Z13" s="184" t="str">
        <f t="shared" ca="1" si="11"/>
        <v>Overdue</v>
      </c>
      <c r="AA13" s="185" t="str">
        <f t="shared" ca="1" si="12"/>
        <v>Overdue</v>
      </c>
    </row>
    <row r="14" spans="1:27" s="64" customFormat="1" ht="11.5" x14ac:dyDescent="0.25">
      <c r="A14" s="70" t="s">
        <v>61</v>
      </c>
      <c r="B14" s="70" t="s">
        <v>62</v>
      </c>
      <c r="C14" s="65" t="s">
        <v>63</v>
      </c>
      <c r="D14" s="82" t="s">
        <v>256</v>
      </c>
      <c r="E14" s="65" t="s">
        <v>77</v>
      </c>
      <c r="F14" s="66">
        <f t="shared" ref="F14:F46" si="28">(COUNTIFS(K14,"&lt;="&amp;$D$1)*50%)+(COUNTIFS(N14,"&lt;="&amp;$D$1)*20%)+(COUNTIFS(Q14,"&lt;="&amp;$D$1)*10%)+(COUNTIFS(T14,"&lt;="&amp;$D$1)*20%)</f>
        <v>1</v>
      </c>
      <c r="G14" s="66">
        <f t="shared" ref="G14:G46" si="29">(COUNTIFS(L14,"&lt;="&amp;$D$1)*50%)+(COUNTIFS(O14,"&lt;="&amp;$D$1)*20%)+(COUNTIFS(R14,"&lt;="&amp;$D$1)*10%)+(COUNTIFS(U14,"&lt;="&amp;$D$1)*20%)</f>
        <v>1</v>
      </c>
      <c r="H14" s="66">
        <f t="shared" ref="H14:H46" si="30">(COUNTIFS(M14,"&lt;="&amp;$D$1)*50%)+(COUNTIFS(P14,"&lt;="&amp;$D$1)*20%)+(COUNTIFS(S14,"&lt;="&amp;$D$1)*10%)+(COUNTIFS(V14,"&lt;="&amp;$D$1)*20%)</f>
        <v>0.7</v>
      </c>
      <c r="I14" s="66">
        <f t="shared" si="1"/>
        <v>-0.30000000000000004</v>
      </c>
      <c r="J14" s="89">
        <v>2</v>
      </c>
      <c r="K14" s="74">
        <v>46143</v>
      </c>
      <c r="L14" s="69">
        <f t="shared" si="2"/>
        <v>46143</v>
      </c>
      <c r="M14" s="72">
        <v>46161</v>
      </c>
      <c r="N14" s="74">
        <f t="shared" si="3"/>
        <v>46185</v>
      </c>
      <c r="O14" s="69">
        <f t="shared" si="4"/>
        <v>46185</v>
      </c>
      <c r="P14" s="72">
        <v>46234</v>
      </c>
      <c r="Q14" s="74">
        <f t="shared" si="5"/>
        <v>46227</v>
      </c>
      <c r="R14" s="69">
        <f t="shared" si="6"/>
        <v>46227</v>
      </c>
      <c r="S14" s="74"/>
      <c r="T14" s="74">
        <f t="shared" si="7"/>
        <v>46241</v>
      </c>
      <c r="U14" s="69">
        <f t="shared" si="8"/>
        <v>46241</v>
      </c>
      <c r="V14" s="72"/>
      <c r="X14" s="184" t="str">
        <f t="shared" ca="1" si="9"/>
        <v>Completed</v>
      </c>
      <c r="Y14" s="184" t="str">
        <f t="shared" ca="1" si="10"/>
        <v>Completed</v>
      </c>
      <c r="Z14" s="184" t="str">
        <f t="shared" ca="1" si="11"/>
        <v>Overdue</v>
      </c>
      <c r="AA14" s="185" t="str">
        <f t="shared" ca="1" si="12"/>
        <v>Overdue</v>
      </c>
    </row>
    <row r="15" spans="1:27" s="64" customFormat="1" ht="11.5" x14ac:dyDescent="0.25">
      <c r="A15" s="70" t="s">
        <v>61</v>
      </c>
      <c r="B15" s="70" t="s">
        <v>62</v>
      </c>
      <c r="C15" s="65" t="s">
        <v>63</v>
      </c>
      <c r="D15" s="82" t="s">
        <v>257</v>
      </c>
      <c r="E15" s="80" t="s">
        <v>78</v>
      </c>
      <c r="F15" s="66">
        <f t="shared" si="28"/>
        <v>1</v>
      </c>
      <c r="G15" s="66">
        <f t="shared" si="29"/>
        <v>1</v>
      </c>
      <c r="H15" s="66">
        <f t="shared" si="30"/>
        <v>0.7</v>
      </c>
      <c r="I15" s="66">
        <f t="shared" si="1"/>
        <v>-0.30000000000000004</v>
      </c>
      <c r="J15" s="89">
        <v>2</v>
      </c>
      <c r="K15" s="74">
        <v>46150</v>
      </c>
      <c r="L15" s="69">
        <f t="shared" si="2"/>
        <v>46150</v>
      </c>
      <c r="M15" s="72">
        <v>46155</v>
      </c>
      <c r="N15" s="74">
        <f t="shared" si="3"/>
        <v>46192</v>
      </c>
      <c r="O15" s="69">
        <f t="shared" si="4"/>
        <v>46192</v>
      </c>
      <c r="P15" s="74">
        <v>46226</v>
      </c>
      <c r="Q15" s="74">
        <f t="shared" si="5"/>
        <v>46234</v>
      </c>
      <c r="R15" s="69">
        <f t="shared" si="6"/>
        <v>46234</v>
      </c>
      <c r="S15" s="74"/>
      <c r="T15" s="74">
        <f t="shared" si="7"/>
        <v>46248</v>
      </c>
      <c r="U15" s="69">
        <f t="shared" si="8"/>
        <v>46248</v>
      </c>
      <c r="V15" s="72"/>
      <c r="X15" s="184" t="str">
        <f t="shared" ca="1" si="9"/>
        <v>Completed</v>
      </c>
      <c r="Y15" s="184" t="str">
        <f t="shared" ca="1" si="10"/>
        <v>Completed</v>
      </c>
      <c r="Z15" s="184" t="str">
        <f t="shared" ca="1" si="11"/>
        <v>Overdue</v>
      </c>
      <c r="AA15" s="185" t="str">
        <f t="shared" ca="1" si="12"/>
        <v>Overdue</v>
      </c>
    </row>
    <row r="16" spans="1:27" s="64" customFormat="1" ht="11.5" x14ac:dyDescent="0.25">
      <c r="A16" s="140" t="s">
        <v>61</v>
      </c>
      <c r="B16" s="140" t="s">
        <v>62</v>
      </c>
      <c r="C16" s="190" t="s">
        <v>63</v>
      </c>
      <c r="D16" s="191" t="s">
        <v>258</v>
      </c>
      <c r="E16" s="192" t="s">
        <v>509</v>
      </c>
      <c r="F16" s="193">
        <f t="shared" si="28"/>
        <v>0.7</v>
      </c>
      <c r="G16" s="193">
        <f t="shared" si="29"/>
        <v>0.7</v>
      </c>
      <c r="H16" s="193">
        <f t="shared" si="30"/>
        <v>1</v>
      </c>
      <c r="I16" s="193">
        <f t="shared" ref="I16:I25" si="31">H16-F16</f>
        <v>0.30000000000000004</v>
      </c>
      <c r="J16" s="194">
        <v>1.2</v>
      </c>
      <c r="K16" s="144">
        <v>46171</v>
      </c>
      <c r="L16" s="195">
        <f t="shared" si="2"/>
        <v>46171</v>
      </c>
      <c r="M16" s="144">
        <v>46178</v>
      </c>
      <c r="N16" s="144">
        <f t="shared" si="3"/>
        <v>46213</v>
      </c>
      <c r="O16" s="195">
        <f t="shared" si="4"/>
        <v>46213</v>
      </c>
      <c r="P16" s="144">
        <v>46234</v>
      </c>
      <c r="Q16" s="144">
        <f t="shared" si="5"/>
        <v>46255</v>
      </c>
      <c r="R16" s="195">
        <f t="shared" si="6"/>
        <v>46255</v>
      </c>
      <c r="S16" s="148">
        <v>46234</v>
      </c>
      <c r="T16" s="148">
        <f t="shared" si="7"/>
        <v>46269</v>
      </c>
      <c r="U16" s="195">
        <f t="shared" si="8"/>
        <v>46269</v>
      </c>
      <c r="V16" s="144">
        <v>46234</v>
      </c>
      <c r="X16" s="184" t="str">
        <f t="shared" ca="1" si="9"/>
        <v>Completed</v>
      </c>
      <c r="Y16" s="184" t="str">
        <f t="shared" ca="1" si="10"/>
        <v>Completed</v>
      </c>
      <c r="Z16" s="184" t="str">
        <f t="shared" ca="1" si="11"/>
        <v>Completed</v>
      </c>
      <c r="AA16" s="185" t="str">
        <f t="shared" ca="1" si="12"/>
        <v>Completed</v>
      </c>
    </row>
    <row r="17" spans="1:27" s="64" customFormat="1" ht="11.5" x14ac:dyDescent="0.25">
      <c r="A17" s="70" t="s">
        <v>61</v>
      </c>
      <c r="B17" s="70" t="s">
        <v>62</v>
      </c>
      <c r="C17" s="65" t="s">
        <v>63</v>
      </c>
      <c r="D17" s="82" t="s">
        <v>258</v>
      </c>
      <c r="E17" s="80" t="s">
        <v>510</v>
      </c>
      <c r="F17" s="66">
        <f t="shared" ref="F17" si="32">(COUNTIFS(K17,"&lt;="&amp;$D$1)*50%)+(COUNTIFS(N17,"&lt;="&amp;$D$1)*20%)+(COUNTIFS(Q17,"&lt;="&amp;$D$1)*10%)+(COUNTIFS(T17,"&lt;="&amp;$D$1)*20%)</f>
        <v>0.7</v>
      </c>
      <c r="G17" s="66">
        <f t="shared" ref="G17" si="33">(COUNTIFS(L17,"&lt;="&amp;$D$1)*50%)+(COUNTIFS(O17,"&lt;="&amp;$D$1)*20%)+(COUNTIFS(R17,"&lt;="&amp;$D$1)*10%)+(COUNTIFS(U17,"&lt;="&amp;$D$1)*20%)</f>
        <v>0.7</v>
      </c>
      <c r="H17" s="66">
        <f t="shared" ref="H17" si="34">(COUNTIFS(M17,"&lt;="&amp;$D$1)*50%)+(COUNTIFS(P17,"&lt;="&amp;$D$1)*20%)+(COUNTIFS(S17,"&lt;="&amp;$D$1)*10%)+(COUNTIFS(V17,"&lt;="&amp;$D$1)*20%)</f>
        <v>0.7</v>
      </c>
      <c r="I17" s="66">
        <f t="shared" ref="I17" si="35">H17-F17</f>
        <v>0</v>
      </c>
      <c r="J17" s="71">
        <v>0.8</v>
      </c>
      <c r="K17" s="72">
        <v>46171</v>
      </c>
      <c r="L17" s="68">
        <f t="shared" ref="L17" si="36">K17</f>
        <v>46171</v>
      </c>
      <c r="M17" s="72">
        <v>46178</v>
      </c>
      <c r="N17" s="72">
        <f t="shared" ref="N17" si="37">K17+42</f>
        <v>46213</v>
      </c>
      <c r="O17" s="68">
        <f t="shared" ref="O17" si="38">N17</f>
        <v>46213</v>
      </c>
      <c r="P17" s="149">
        <v>46244</v>
      </c>
      <c r="Q17" s="72">
        <f t="shared" ref="Q17" si="39">N17+42</f>
        <v>46255</v>
      </c>
      <c r="R17" s="68">
        <f t="shared" ref="R17" si="40">Q17</f>
        <v>46255</v>
      </c>
      <c r="S17" s="74"/>
      <c r="T17" s="74">
        <f t="shared" ref="T17" si="41">Q17+14</f>
        <v>46269</v>
      </c>
      <c r="U17" s="68">
        <f t="shared" ref="U17" si="42">T17</f>
        <v>46269</v>
      </c>
      <c r="V17" s="72"/>
      <c r="X17" s="184" t="str">
        <f t="shared" ref="X17" ca="1" si="43">IF(OR(M17&lt;&gt;""),"Completed",
IF(L17="","",IF(L17&lt;TODAY(),"Overdue",
IF(AND(L17&gt;=TODAY()-WEEKDAY(TODAY(),2)+1,L17&lt;=TODAY()-WEEKDAY(TODAY(),2)+7),"Follow-This Week",
IF(AND(L17&gt;=TODAY()-WEEKDAY(TODAY(),2)+8,L17&lt;=TODAY()-WEEKDAY(TODAY(),2)+14),"Follow-Next Week","")))))</f>
        <v>Completed</v>
      </c>
      <c r="Y17" s="184" t="str">
        <f t="shared" ref="Y17" ca="1" si="44">IF(OR(P17&lt;&gt;""),"Completed",IF(O17="","",
IF(O17&lt;TODAY(),"Overdue",
IF(AND(O17&gt;=TODAY()-WEEKDAY(TODAY(),2)+1,O17&lt;=TODAY()-WEEKDAY(TODAY(),2)+7),"Follow-This Week",
IF(AND(O17&gt;=TODAY()-WEEKDAY(TODAY(),2)+8,O17&lt;=TODAY()-WEEKDAY(TODAY(),2)+14),"Follow-Next Week","")))))</f>
        <v>Completed</v>
      </c>
      <c r="Z17" s="184" t="str">
        <f t="shared" ref="Z17" ca="1" si="45">IF(OR(S17&lt;&gt;""),"Completed",IF(R17="","",
IF(R17&lt;TODAY(),"Overdue",
IF(AND(R17&gt;=TODAY()-WEEKDAY(TODAY(),2)+1,R17&lt;=TODAY()-WEEKDAY(TODAY(),2)+7),"Follow-This Week",
IF(AND(R17&gt;=TODAY()-WEEKDAY(TODAY(),2)+8,R17&lt;=TODAY()-WEEKDAY(TODAY(),2)+14),"Follow-Next Week","")))))</f>
        <v>Follow-Next Week</v>
      </c>
      <c r="AA17" s="185" t="str">
        <f t="shared" ref="AA17" ca="1" si="46">IF(OR(V17&lt;&gt;""),"Completed",IF(U17="","",
IF(U17&lt;TODAY(),"Overdue",
IF(AND(U17&gt;=TODAY()-WEEKDAY(TODAY(),2)+1,U17&lt;=TODAY()-WEEKDAY(TODAY(),2)+7),"Follow-This Week",
IF(AND(U17&gt;=TODAY()-WEEKDAY(TODAY(),2)+8,U17&lt;=TODAY()-WEEKDAY(TODAY(),2)+14),"Follow-Next Week","")))))</f>
        <v/>
      </c>
    </row>
    <row r="18" spans="1:27" s="64" customFormat="1" ht="11.5" x14ac:dyDescent="0.25">
      <c r="A18" s="140" t="s">
        <v>61</v>
      </c>
      <c r="B18" s="140" t="s">
        <v>62</v>
      </c>
      <c r="C18" s="190" t="s">
        <v>63</v>
      </c>
      <c r="D18" s="191" t="s">
        <v>259</v>
      </c>
      <c r="E18" s="192" t="s">
        <v>511</v>
      </c>
      <c r="F18" s="193">
        <f t="shared" si="28"/>
        <v>0.7</v>
      </c>
      <c r="G18" s="193">
        <f t="shared" si="29"/>
        <v>0.7</v>
      </c>
      <c r="H18" s="193">
        <f t="shared" si="30"/>
        <v>1</v>
      </c>
      <c r="I18" s="193">
        <f t="shared" si="31"/>
        <v>0.30000000000000004</v>
      </c>
      <c r="J18" s="194">
        <v>1.2</v>
      </c>
      <c r="K18" s="144">
        <v>46185</v>
      </c>
      <c r="L18" s="195">
        <f t="shared" si="2"/>
        <v>46185</v>
      </c>
      <c r="M18" s="144">
        <v>46205</v>
      </c>
      <c r="N18" s="144">
        <f t="shared" si="3"/>
        <v>46227</v>
      </c>
      <c r="O18" s="195">
        <f t="shared" si="4"/>
        <v>46227</v>
      </c>
      <c r="P18" s="144">
        <v>46234</v>
      </c>
      <c r="Q18" s="144">
        <f t="shared" si="5"/>
        <v>46269</v>
      </c>
      <c r="R18" s="195">
        <f t="shared" si="6"/>
        <v>46269</v>
      </c>
      <c r="S18" s="144">
        <v>46234</v>
      </c>
      <c r="T18" s="148">
        <f t="shared" si="7"/>
        <v>46283</v>
      </c>
      <c r="U18" s="195">
        <f t="shared" si="8"/>
        <v>46283</v>
      </c>
      <c r="V18" s="144">
        <v>46234</v>
      </c>
      <c r="X18" s="184" t="str">
        <f t="shared" ca="1" si="9"/>
        <v>Completed</v>
      </c>
      <c r="Y18" s="184" t="str">
        <f t="shared" ca="1" si="10"/>
        <v>Completed</v>
      </c>
      <c r="Z18" s="184" t="str">
        <f t="shared" ca="1" si="11"/>
        <v>Completed</v>
      </c>
      <c r="AA18" s="185" t="str">
        <f t="shared" ca="1" si="12"/>
        <v>Completed</v>
      </c>
    </row>
    <row r="19" spans="1:27" s="64" customFormat="1" ht="11.5" x14ac:dyDescent="0.25">
      <c r="A19" s="70" t="s">
        <v>61</v>
      </c>
      <c r="B19" s="70" t="s">
        <v>62</v>
      </c>
      <c r="C19" s="65" t="s">
        <v>63</v>
      </c>
      <c r="D19" s="82" t="s">
        <v>259</v>
      </c>
      <c r="E19" s="80" t="s">
        <v>512</v>
      </c>
      <c r="F19" s="66">
        <f t="shared" ref="F19" si="47">(COUNTIFS(K19,"&lt;="&amp;$D$1)*50%)+(COUNTIFS(N19,"&lt;="&amp;$D$1)*20%)+(COUNTIFS(Q19,"&lt;="&amp;$D$1)*10%)+(COUNTIFS(T19,"&lt;="&amp;$D$1)*20%)</f>
        <v>0.7</v>
      </c>
      <c r="G19" s="66">
        <f t="shared" ref="G19" si="48">(COUNTIFS(L19,"&lt;="&amp;$D$1)*50%)+(COUNTIFS(O19,"&lt;="&amp;$D$1)*20%)+(COUNTIFS(R19,"&lt;="&amp;$D$1)*10%)+(COUNTIFS(U19,"&lt;="&amp;$D$1)*20%)</f>
        <v>0.7</v>
      </c>
      <c r="H19" s="66">
        <f t="shared" ref="H19" si="49">(COUNTIFS(M19,"&lt;="&amp;$D$1)*50%)+(COUNTIFS(P19,"&lt;="&amp;$D$1)*20%)+(COUNTIFS(S19,"&lt;="&amp;$D$1)*10%)+(COUNTIFS(V19,"&lt;="&amp;$D$1)*20%)</f>
        <v>0.7</v>
      </c>
      <c r="I19" s="66">
        <f t="shared" ref="I19" si="50">H19-F19</f>
        <v>0</v>
      </c>
      <c r="J19" s="71">
        <v>0.8</v>
      </c>
      <c r="K19" s="72">
        <v>46185</v>
      </c>
      <c r="L19" s="68">
        <f t="shared" ref="L19" si="51">K19</f>
        <v>46185</v>
      </c>
      <c r="M19" s="72">
        <v>46205</v>
      </c>
      <c r="N19" s="72">
        <v>46218</v>
      </c>
      <c r="O19" s="68">
        <f t="shared" ref="O19" si="52">N19</f>
        <v>46218</v>
      </c>
      <c r="P19" s="149">
        <v>46248</v>
      </c>
      <c r="Q19" s="72">
        <f t="shared" ref="Q19" si="53">N19+42</f>
        <v>46260</v>
      </c>
      <c r="R19" s="68">
        <f t="shared" ref="R19" si="54">Q19</f>
        <v>46260</v>
      </c>
      <c r="S19" s="74"/>
      <c r="T19" s="74">
        <f t="shared" ref="T19" si="55">Q19+14</f>
        <v>46274</v>
      </c>
      <c r="U19" s="68">
        <f t="shared" ref="U19" si="56">T19</f>
        <v>46274</v>
      </c>
      <c r="V19" s="72"/>
      <c r="X19" s="184" t="str">
        <f t="shared" ref="X19" ca="1" si="57">IF(OR(M19&lt;&gt;""),"Completed",
IF(L19="","",IF(L19&lt;TODAY(),"Overdue",
IF(AND(L19&gt;=TODAY()-WEEKDAY(TODAY(),2)+1,L19&lt;=TODAY()-WEEKDAY(TODAY(),2)+7),"Follow-This Week",
IF(AND(L19&gt;=TODAY()-WEEKDAY(TODAY(),2)+8,L19&lt;=TODAY()-WEEKDAY(TODAY(),2)+14),"Follow-Next Week","")))))</f>
        <v>Completed</v>
      </c>
      <c r="Y19" s="184" t="str">
        <f t="shared" ref="Y19" ca="1" si="58">IF(OR(P19&lt;&gt;""),"Completed",IF(O19="","",
IF(O19&lt;TODAY(),"Overdue",
IF(AND(O19&gt;=TODAY()-WEEKDAY(TODAY(),2)+1,O19&lt;=TODAY()-WEEKDAY(TODAY(),2)+7),"Follow-This Week",
IF(AND(O19&gt;=TODAY()-WEEKDAY(TODAY(),2)+8,O19&lt;=TODAY()-WEEKDAY(TODAY(),2)+14),"Follow-Next Week","")))))</f>
        <v>Completed</v>
      </c>
      <c r="Z19" s="184" t="str">
        <f t="shared" ref="Z19" ca="1" si="59">IF(OR(S19&lt;&gt;""),"Completed",IF(R19="","",
IF(R19&lt;TODAY(),"Overdue",
IF(AND(R19&gt;=TODAY()-WEEKDAY(TODAY(),2)+1,R19&lt;=TODAY()-WEEKDAY(TODAY(),2)+7),"Follow-This Week",
IF(AND(R19&gt;=TODAY()-WEEKDAY(TODAY(),2)+8,R19&lt;=TODAY()-WEEKDAY(TODAY(),2)+14),"Follow-Next Week","")))))</f>
        <v/>
      </c>
      <c r="AA19" s="185" t="str">
        <f t="shared" ref="AA19" ca="1" si="60">IF(OR(V19&lt;&gt;""),"Completed",IF(U19="","",
IF(U19&lt;TODAY(),"Overdue",
IF(AND(U19&gt;=TODAY()-WEEKDAY(TODAY(),2)+1,U19&lt;=TODAY()-WEEKDAY(TODAY(),2)+7),"Follow-This Week",
IF(AND(U19&gt;=TODAY()-WEEKDAY(TODAY(),2)+8,U19&lt;=TODAY()-WEEKDAY(TODAY(),2)+14),"Follow-Next Week","")))))</f>
        <v/>
      </c>
    </row>
    <row r="20" spans="1:27" s="64" customFormat="1" ht="11.5" x14ac:dyDescent="0.25">
      <c r="A20" s="70" t="s">
        <v>61</v>
      </c>
      <c r="B20" s="70" t="s">
        <v>62</v>
      </c>
      <c r="C20" s="65" t="s">
        <v>63</v>
      </c>
      <c r="D20" s="82" t="s">
        <v>260</v>
      </c>
      <c r="E20" s="80" t="s">
        <v>79</v>
      </c>
      <c r="F20" s="66">
        <f t="shared" si="28"/>
        <v>0.79999999999999993</v>
      </c>
      <c r="G20" s="66">
        <f t="shared" si="29"/>
        <v>0.79999999999999993</v>
      </c>
      <c r="H20" s="66">
        <f t="shared" si="30"/>
        <v>0.7</v>
      </c>
      <c r="I20" s="66">
        <f t="shared" si="31"/>
        <v>-9.9999999999999978E-2</v>
      </c>
      <c r="J20" s="71">
        <v>2</v>
      </c>
      <c r="K20" s="72">
        <v>46164</v>
      </c>
      <c r="L20" s="68">
        <f t="shared" si="2"/>
        <v>46164</v>
      </c>
      <c r="M20" s="72">
        <v>46157</v>
      </c>
      <c r="N20" s="72">
        <f t="shared" si="3"/>
        <v>46206</v>
      </c>
      <c r="O20" s="68">
        <f t="shared" si="4"/>
        <v>46206</v>
      </c>
      <c r="P20" s="74">
        <v>46226</v>
      </c>
      <c r="Q20" s="72">
        <f t="shared" si="5"/>
        <v>46248</v>
      </c>
      <c r="R20" s="68">
        <f t="shared" si="6"/>
        <v>46248</v>
      </c>
      <c r="S20" s="74"/>
      <c r="T20" s="74">
        <f t="shared" si="7"/>
        <v>46262</v>
      </c>
      <c r="U20" s="68">
        <f t="shared" si="8"/>
        <v>46262</v>
      </c>
      <c r="V20" s="72"/>
      <c r="X20" s="184" t="str">
        <f t="shared" ca="1" si="9"/>
        <v>Completed</v>
      </c>
      <c r="Y20" s="184" t="str">
        <f t="shared" ca="1" si="10"/>
        <v>Completed</v>
      </c>
      <c r="Z20" s="184" t="str">
        <f t="shared" ca="1" si="11"/>
        <v>Overdue</v>
      </c>
      <c r="AA20" s="185" t="str">
        <f t="shared" ca="1" si="12"/>
        <v/>
      </c>
    </row>
    <row r="21" spans="1:27" s="64" customFormat="1" ht="11.5" x14ac:dyDescent="0.25">
      <c r="A21" s="70" t="s">
        <v>61</v>
      </c>
      <c r="B21" s="70" t="s">
        <v>62</v>
      </c>
      <c r="C21" s="65" t="s">
        <v>63</v>
      </c>
      <c r="D21" s="82" t="s">
        <v>261</v>
      </c>
      <c r="E21" s="65" t="s">
        <v>80</v>
      </c>
      <c r="F21" s="66">
        <f t="shared" si="28"/>
        <v>0.7</v>
      </c>
      <c r="G21" s="66">
        <f t="shared" si="29"/>
        <v>0.7</v>
      </c>
      <c r="H21" s="66">
        <f t="shared" si="30"/>
        <v>0.5</v>
      </c>
      <c r="I21" s="66">
        <f t="shared" si="31"/>
        <v>-0.19999999999999996</v>
      </c>
      <c r="J21" s="71">
        <v>4.0999999999999996</v>
      </c>
      <c r="K21" s="72">
        <v>46199</v>
      </c>
      <c r="L21" s="68">
        <f t="shared" si="2"/>
        <v>46199</v>
      </c>
      <c r="M21" s="72">
        <v>46196</v>
      </c>
      <c r="N21" s="72">
        <f t="shared" si="3"/>
        <v>46241</v>
      </c>
      <c r="O21" s="68">
        <f t="shared" si="4"/>
        <v>46241</v>
      </c>
      <c r="P21" s="72"/>
      <c r="Q21" s="72">
        <f t="shared" si="5"/>
        <v>46283</v>
      </c>
      <c r="R21" s="68">
        <f t="shared" si="6"/>
        <v>46283</v>
      </c>
      <c r="S21" s="74"/>
      <c r="T21" s="74">
        <f t="shared" si="7"/>
        <v>46297</v>
      </c>
      <c r="U21" s="68">
        <f t="shared" si="8"/>
        <v>46297</v>
      </c>
      <c r="V21" s="72"/>
      <c r="X21" s="184" t="str">
        <f t="shared" ca="1" si="9"/>
        <v>Completed</v>
      </c>
      <c r="Y21" s="184" t="str">
        <f t="shared" ca="1" si="10"/>
        <v>Overdue</v>
      </c>
      <c r="Z21" s="184" t="str">
        <f t="shared" ca="1" si="11"/>
        <v/>
      </c>
      <c r="AA21" s="185" t="str">
        <f t="shared" ca="1" si="12"/>
        <v/>
      </c>
    </row>
    <row r="22" spans="1:27" s="64" customFormat="1" ht="11.5" x14ac:dyDescent="0.25">
      <c r="A22" s="70" t="s">
        <v>61</v>
      </c>
      <c r="B22" s="70" t="s">
        <v>62</v>
      </c>
      <c r="C22" s="65" t="s">
        <v>63</v>
      </c>
      <c r="D22" s="82" t="s">
        <v>262</v>
      </c>
      <c r="E22" s="80" t="s">
        <v>81</v>
      </c>
      <c r="F22" s="66">
        <f t="shared" si="28"/>
        <v>0.7</v>
      </c>
      <c r="G22" s="66">
        <f t="shared" si="29"/>
        <v>0.7</v>
      </c>
      <c r="H22" s="66">
        <f t="shared" si="30"/>
        <v>0.7</v>
      </c>
      <c r="I22" s="66">
        <f t="shared" si="31"/>
        <v>0</v>
      </c>
      <c r="J22" s="89">
        <v>2</v>
      </c>
      <c r="K22" s="72">
        <v>46206</v>
      </c>
      <c r="L22" s="72">
        <f t="shared" si="2"/>
        <v>46206</v>
      </c>
      <c r="M22" s="74">
        <v>46213</v>
      </c>
      <c r="N22" s="74">
        <f t="shared" si="3"/>
        <v>46248</v>
      </c>
      <c r="O22" s="72">
        <f t="shared" si="4"/>
        <v>46248</v>
      </c>
      <c r="P22" s="72">
        <v>46220</v>
      </c>
      <c r="Q22" s="74">
        <f t="shared" si="5"/>
        <v>46290</v>
      </c>
      <c r="R22" s="72">
        <f t="shared" si="6"/>
        <v>46290</v>
      </c>
      <c r="S22" s="74"/>
      <c r="T22" s="74">
        <f t="shared" si="7"/>
        <v>46304</v>
      </c>
      <c r="U22" s="72">
        <f t="shared" si="8"/>
        <v>46304</v>
      </c>
      <c r="V22" s="72"/>
      <c r="X22" s="184" t="str">
        <f t="shared" ca="1" si="9"/>
        <v>Completed</v>
      </c>
      <c r="Y22" s="184" t="str">
        <f t="shared" ca="1" si="10"/>
        <v>Completed</v>
      </c>
      <c r="Z22" s="184" t="str">
        <f t="shared" ca="1" si="11"/>
        <v/>
      </c>
      <c r="AA22" s="185" t="str">
        <f t="shared" ca="1" si="12"/>
        <v/>
      </c>
    </row>
    <row r="23" spans="1:27" s="64" customFormat="1" ht="11.5" x14ac:dyDescent="0.25">
      <c r="A23" s="150" t="s">
        <v>61</v>
      </c>
      <c r="B23" s="150" t="s">
        <v>64</v>
      </c>
      <c r="C23" s="150" t="s">
        <v>63</v>
      </c>
      <c r="D23" s="151" t="s">
        <v>84</v>
      </c>
      <c r="E23" s="188" t="s">
        <v>494</v>
      </c>
      <c r="F23" s="152">
        <f t="shared" si="28"/>
        <v>0.7</v>
      </c>
      <c r="G23" s="152">
        <f t="shared" si="29"/>
        <v>0.7</v>
      </c>
      <c r="H23" s="152">
        <f t="shared" si="30"/>
        <v>1</v>
      </c>
      <c r="I23" s="152">
        <f t="shared" si="31"/>
        <v>0.30000000000000004</v>
      </c>
      <c r="J23" s="174">
        <v>1</v>
      </c>
      <c r="K23" s="155">
        <v>46199</v>
      </c>
      <c r="L23" s="155">
        <f t="shared" si="2"/>
        <v>46199</v>
      </c>
      <c r="M23" s="154">
        <v>46220</v>
      </c>
      <c r="N23" s="155">
        <f t="shared" si="3"/>
        <v>46241</v>
      </c>
      <c r="O23" s="155">
        <f t="shared" si="4"/>
        <v>46241</v>
      </c>
      <c r="P23" s="155">
        <v>46220</v>
      </c>
      <c r="Q23" s="155">
        <f t="shared" si="5"/>
        <v>46283</v>
      </c>
      <c r="R23" s="155">
        <f t="shared" si="6"/>
        <v>46283</v>
      </c>
      <c r="S23" s="154">
        <v>46220</v>
      </c>
      <c r="T23" s="155">
        <f t="shared" si="7"/>
        <v>46297</v>
      </c>
      <c r="U23" s="155">
        <f t="shared" si="8"/>
        <v>46297</v>
      </c>
      <c r="V23" s="175">
        <v>46220</v>
      </c>
      <c r="X23" s="184" t="str">
        <f t="shared" ca="1" si="9"/>
        <v>Completed</v>
      </c>
      <c r="Y23" s="184" t="str">
        <f t="shared" ca="1" si="10"/>
        <v>Completed</v>
      </c>
      <c r="Z23" s="184" t="str">
        <f t="shared" ca="1" si="11"/>
        <v>Completed</v>
      </c>
      <c r="AA23" s="185" t="str">
        <f t="shared" ca="1" si="12"/>
        <v>Completed</v>
      </c>
    </row>
    <row r="24" spans="1:27" s="64" customFormat="1" ht="11.5" x14ac:dyDescent="0.25">
      <c r="A24" s="86" t="s">
        <v>61</v>
      </c>
      <c r="B24" s="86" t="s">
        <v>64</v>
      </c>
      <c r="C24" s="86" t="s">
        <v>63</v>
      </c>
      <c r="D24" s="130" t="s">
        <v>84</v>
      </c>
      <c r="E24" s="98" t="s">
        <v>493</v>
      </c>
      <c r="F24" s="87">
        <f t="shared" ref="F24" si="61">(COUNTIFS(K24,"&lt;="&amp;$D$1)*50%)+(COUNTIFS(N24,"&lt;="&amp;$D$1)*20%)+(COUNTIFS(Q24,"&lt;="&amp;$D$1)*10%)+(COUNTIFS(T24,"&lt;="&amp;$D$1)*20%)</f>
        <v>0</v>
      </c>
      <c r="G24" s="87">
        <f t="shared" ref="G24" si="62">(COUNTIFS(L24,"&lt;="&amp;$D$1)*50%)+(COUNTIFS(O24,"&lt;="&amp;$D$1)*20%)+(COUNTIFS(R24,"&lt;="&amp;$D$1)*10%)+(COUNTIFS(U24,"&lt;="&amp;$D$1)*20%)</f>
        <v>0</v>
      </c>
      <c r="H24" s="87">
        <f t="shared" ref="H24" si="63">(COUNTIFS(M24,"&lt;="&amp;$D$1)*50%)+(COUNTIFS(P24,"&lt;="&amp;$D$1)*20%)+(COUNTIFS(S24,"&lt;="&amp;$D$1)*10%)+(COUNTIFS(V24,"&lt;="&amp;$D$1)*20%)</f>
        <v>0</v>
      </c>
      <c r="I24" s="87">
        <f t="shared" ref="I24" si="64">H24-F24</f>
        <v>0</v>
      </c>
      <c r="J24" s="106">
        <v>1</v>
      </c>
      <c r="K24" s="99">
        <v>46265</v>
      </c>
      <c r="L24" s="99">
        <f t="shared" ref="L24" si="65">K24</f>
        <v>46265</v>
      </c>
      <c r="M24" s="88"/>
      <c r="N24" s="99">
        <f t="shared" ref="N24" si="66">K24+42</f>
        <v>46307</v>
      </c>
      <c r="O24" s="99">
        <f t="shared" ref="O24" si="67">N24</f>
        <v>46307</v>
      </c>
      <c r="P24" s="99"/>
      <c r="Q24" s="99">
        <f t="shared" ref="Q24" si="68">N24+42</f>
        <v>46349</v>
      </c>
      <c r="R24" s="99">
        <f t="shared" ref="R24" si="69">Q24</f>
        <v>46349</v>
      </c>
      <c r="S24" s="88"/>
      <c r="T24" s="99">
        <f t="shared" ref="T24" si="70">Q24+14</f>
        <v>46363</v>
      </c>
      <c r="U24" s="99">
        <f t="shared" ref="U24" si="71">T24</f>
        <v>46363</v>
      </c>
      <c r="V24" s="131"/>
      <c r="X24" s="184" t="str">
        <f t="shared" ca="1" si="9"/>
        <v/>
      </c>
      <c r="Y24" s="184" t="str">
        <f t="shared" ca="1" si="10"/>
        <v/>
      </c>
      <c r="Z24" s="184" t="str">
        <f t="shared" ca="1" si="11"/>
        <v/>
      </c>
      <c r="AA24" s="185" t="str">
        <f t="shared" ca="1" si="12"/>
        <v/>
      </c>
    </row>
    <row r="25" spans="1:27" s="64" customFormat="1" ht="11.5" x14ac:dyDescent="0.25">
      <c r="A25" s="156" t="s">
        <v>61</v>
      </c>
      <c r="B25" s="156" t="s">
        <v>67</v>
      </c>
      <c r="C25" s="156" t="s">
        <v>63</v>
      </c>
      <c r="D25" s="157" t="s">
        <v>83</v>
      </c>
      <c r="E25" s="156" t="s">
        <v>499</v>
      </c>
      <c r="F25" s="158">
        <f t="shared" si="28"/>
        <v>0.79999999999999993</v>
      </c>
      <c r="G25" s="158">
        <f t="shared" si="29"/>
        <v>0.79999999999999993</v>
      </c>
      <c r="H25" s="158">
        <f t="shared" si="30"/>
        <v>1</v>
      </c>
      <c r="I25" s="158">
        <f t="shared" si="31"/>
        <v>0.20000000000000007</v>
      </c>
      <c r="J25" s="176">
        <v>1</v>
      </c>
      <c r="K25" s="160">
        <v>46157</v>
      </c>
      <c r="L25" s="160">
        <f t="shared" si="2"/>
        <v>46157</v>
      </c>
      <c r="M25" s="160">
        <v>46188</v>
      </c>
      <c r="N25" s="160">
        <f t="shared" si="3"/>
        <v>46199</v>
      </c>
      <c r="O25" s="160">
        <f t="shared" si="4"/>
        <v>46199</v>
      </c>
      <c r="P25" s="161">
        <v>46220</v>
      </c>
      <c r="Q25" s="160">
        <f t="shared" si="5"/>
        <v>46241</v>
      </c>
      <c r="R25" s="160">
        <f t="shared" si="6"/>
        <v>46241</v>
      </c>
      <c r="S25" s="161">
        <v>46220</v>
      </c>
      <c r="T25" s="161">
        <f t="shared" si="7"/>
        <v>46255</v>
      </c>
      <c r="U25" s="160">
        <f t="shared" si="8"/>
        <v>46255</v>
      </c>
      <c r="V25" s="161">
        <v>46220</v>
      </c>
      <c r="X25" s="184" t="str">
        <f t="shared" ca="1" si="9"/>
        <v>Completed</v>
      </c>
      <c r="Y25" s="184" t="str">
        <f t="shared" ca="1" si="10"/>
        <v>Completed</v>
      </c>
      <c r="Z25" s="184" t="str">
        <f t="shared" ca="1" si="11"/>
        <v>Completed</v>
      </c>
      <c r="AA25" s="185" t="str">
        <f t="shared" ca="1" si="12"/>
        <v>Completed</v>
      </c>
    </row>
    <row r="26" spans="1:27" s="64" customFormat="1" ht="11.5" x14ac:dyDescent="0.25">
      <c r="A26" s="83" t="s">
        <v>61</v>
      </c>
      <c r="B26" s="83" t="s">
        <v>67</v>
      </c>
      <c r="C26" s="83" t="s">
        <v>63</v>
      </c>
      <c r="D26" s="127" t="s">
        <v>83</v>
      </c>
      <c r="E26" s="83" t="s">
        <v>500</v>
      </c>
      <c r="F26" s="84">
        <f t="shared" ref="F26" si="72">(COUNTIFS(K26,"&lt;="&amp;$D$1)*50%)+(COUNTIFS(N26,"&lt;="&amp;$D$1)*20%)+(COUNTIFS(Q26,"&lt;="&amp;$D$1)*10%)+(COUNTIFS(T26,"&lt;="&amp;$D$1)*20%)</f>
        <v>0.79999999999999993</v>
      </c>
      <c r="G26" s="84">
        <f t="shared" ref="G26" si="73">(COUNTIFS(L26,"&lt;="&amp;$D$1)*50%)+(COUNTIFS(O26,"&lt;="&amp;$D$1)*20%)+(COUNTIFS(R26,"&lt;="&amp;$D$1)*10%)+(COUNTIFS(U26,"&lt;="&amp;$D$1)*20%)</f>
        <v>0.79999999999999993</v>
      </c>
      <c r="H26" s="84">
        <f t="shared" ref="H26" si="74">(COUNTIFS(M26,"&lt;="&amp;$D$1)*50%)+(COUNTIFS(P26,"&lt;="&amp;$D$1)*20%)+(COUNTIFS(S26,"&lt;="&amp;$D$1)*10%)+(COUNTIFS(V26,"&lt;="&amp;$D$1)*20%)</f>
        <v>0.7</v>
      </c>
      <c r="I26" s="84">
        <f t="shared" ref="I26" si="75">H26-F26</f>
        <v>-9.9999999999999978E-2</v>
      </c>
      <c r="J26" s="105">
        <v>1</v>
      </c>
      <c r="K26" s="85">
        <v>46157</v>
      </c>
      <c r="L26" s="85">
        <f t="shared" ref="L26" si="76">K26</f>
        <v>46157</v>
      </c>
      <c r="M26" s="85">
        <v>46223</v>
      </c>
      <c r="N26" s="85">
        <f t="shared" ref="N26" si="77">K26+42</f>
        <v>46199</v>
      </c>
      <c r="O26" s="85">
        <f t="shared" ref="O26" si="78">N26</f>
        <v>46199</v>
      </c>
      <c r="P26" s="85">
        <v>46223</v>
      </c>
      <c r="Q26" s="85">
        <f t="shared" ref="Q26" si="79">N26+42</f>
        <v>46241</v>
      </c>
      <c r="R26" s="85">
        <f t="shared" ref="R26" si="80">Q26</f>
        <v>46241</v>
      </c>
      <c r="S26" s="96"/>
      <c r="T26" s="96">
        <f t="shared" ref="T26" si="81">Q26+14</f>
        <v>46255</v>
      </c>
      <c r="U26" s="85">
        <f t="shared" ref="U26" si="82">T26</f>
        <v>46255</v>
      </c>
      <c r="V26" s="85"/>
      <c r="X26" s="184" t="str">
        <f t="shared" ca="1" si="9"/>
        <v>Completed</v>
      </c>
      <c r="Y26" s="184" t="str">
        <f t="shared" ca="1" si="10"/>
        <v>Completed</v>
      </c>
      <c r="Z26" s="184" t="str">
        <f t="shared" ca="1" si="11"/>
        <v>Overdue</v>
      </c>
      <c r="AA26" s="185" t="str">
        <f t="shared" ca="1" si="12"/>
        <v>Follow-Next Week</v>
      </c>
    </row>
    <row r="27" spans="1:27" s="64" customFormat="1" ht="11.5" x14ac:dyDescent="0.25">
      <c r="A27" s="162" t="s">
        <v>61</v>
      </c>
      <c r="B27" s="162" t="s">
        <v>70</v>
      </c>
      <c r="C27" s="162" t="s">
        <v>63</v>
      </c>
      <c r="D27" s="163" t="s">
        <v>85</v>
      </c>
      <c r="E27" s="197" t="s">
        <v>495</v>
      </c>
      <c r="F27" s="164">
        <f t="shared" si="28"/>
        <v>0.7</v>
      </c>
      <c r="G27" s="164">
        <f t="shared" si="29"/>
        <v>0.7</v>
      </c>
      <c r="H27" s="164">
        <f t="shared" si="30"/>
        <v>1</v>
      </c>
      <c r="I27" s="164">
        <f t="shared" si="1"/>
        <v>0.30000000000000004</v>
      </c>
      <c r="J27" s="165">
        <v>1</v>
      </c>
      <c r="K27" s="167">
        <v>46185</v>
      </c>
      <c r="L27" s="167">
        <f t="shared" si="2"/>
        <v>46185</v>
      </c>
      <c r="M27" s="166">
        <v>46220</v>
      </c>
      <c r="N27" s="167">
        <f t="shared" si="3"/>
        <v>46227</v>
      </c>
      <c r="O27" s="167">
        <f t="shared" si="4"/>
        <v>46227</v>
      </c>
      <c r="P27" s="166">
        <v>46220</v>
      </c>
      <c r="Q27" s="167">
        <f t="shared" si="5"/>
        <v>46269</v>
      </c>
      <c r="R27" s="167">
        <f t="shared" si="6"/>
        <v>46269</v>
      </c>
      <c r="S27" s="167">
        <v>46220</v>
      </c>
      <c r="T27" s="167">
        <f t="shared" si="7"/>
        <v>46283</v>
      </c>
      <c r="U27" s="167">
        <f t="shared" si="8"/>
        <v>46283</v>
      </c>
      <c r="V27" s="166">
        <v>46220</v>
      </c>
      <c r="X27" s="184" t="str">
        <f t="shared" ca="1" si="9"/>
        <v>Completed</v>
      </c>
      <c r="Y27" s="184" t="str">
        <f t="shared" ca="1" si="10"/>
        <v>Completed</v>
      </c>
      <c r="Z27" s="184" t="str">
        <f t="shared" ca="1" si="11"/>
        <v>Completed</v>
      </c>
      <c r="AA27" s="185" t="str">
        <f t="shared" ca="1" si="12"/>
        <v>Completed</v>
      </c>
    </row>
    <row r="28" spans="1:27" s="64" customFormat="1" ht="11.5" x14ac:dyDescent="0.25">
      <c r="A28" s="110" t="s">
        <v>61</v>
      </c>
      <c r="B28" s="110" t="s">
        <v>70</v>
      </c>
      <c r="C28" s="110" t="s">
        <v>63</v>
      </c>
      <c r="D28" s="129" t="s">
        <v>85</v>
      </c>
      <c r="E28" s="114" t="s">
        <v>496</v>
      </c>
      <c r="F28" s="111">
        <f t="shared" ref="F28" si="83">(COUNTIFS(K28,"&lt;="&amp;$D$1)*50%)+(COUNTIFS(N28,"&lt;="&amp;$D$1)*20%)+(COUNTIFS(Q28,"&lt;="&amp;$D$1)*10%)+(COUNTIFS(T28,"&lt;="&amp;$D$1)*20%)</f>
        <v>0</v>
      </c>
      <c r="G28" s="111">
        <f t="shared" ref="G28" si="84">(COUNTIFS(L28,"&lt;="&amp;$D$1)*50%)+(COUNTIFS(O28,"&lt;="&amp;$D$1)*20%)+(COUNTIFS(R28,"&lt;="&amp;$D$1)*10%)+(COUNTIFS(U28,"&lt;="&amp;$D$1)*20%)</f>
        <v>0</v>
      </c>
      <c r="H28" s="111">
        <f t="shared" ref="H28" si="85">(COUNTIFS(M28,"&lt;="&amp;$D$1)*50%)+(COUNTIFS(P28,"&lt;="&amp;$D$1)*20%)+(COUNTIFS(S28,"&lt;="&amp;$D$1)*10%)+(COUNTIFS(V28,"&lt;="&amp;$D$1)*20%)</f>
        <v>0</v>
      </c>
      <c r="I28" s="111">
        <f t="shared" ref="I28" si="86">H28-F28</f>
        <v>0</v>
      </c>
      <c r="J28" s="112">
        <v>1</v>
      </c>
      <c r="K28" s="115">
        <v>46251</v>
      </c>
      <c r="L28" s="115">
        <f t="shared" ref="L28" si="87">K28</f>
        <v>46251</v>
      </c>
      <c r="M28" s="113"/>
      <c r="N28" s="115">
        <f t="shared" ref="N28" si="88">K28+42</f>
        <v>46293</v>
      </c>
      <c r="O28" s="115">
        <f t="shared" ref="O28" si="89">N28</f>
        <v>46293</v>
      </c>
      <c r="P28" s="113"/>
      <c r="Q28" s="115">
        <f t="shared" ref="Q28" si="90">N28+42</f>
        <v>46335</v>
      </c>
      <c r="R28" s="115">
        <f t="shared" ref="R28" si="91">Q28</f>
        <v>46335</v>
      </c>
      <c r="S28" s="115"/>
      <c r="T28" s="115">
        <f t="shared" ref="T28" si="92">Q28+14</f>
        <v>46349</v>
      </c>
      <c r="U28" s="115">
        <f t="shared" ref="U28" si="93">T28</f>
        <v>46349</v>
      </c>
      <c r="V28" s="113"/>
      <c r="X28" s="184" t="str">
        <f t="shared" ca="1" si="9"/>
        <v>Follow-Next Week</v>
      </c>
      <c r="Y28" s="184" t="str">
        <f t="shared" ca="1" si="10"/>
        <v/>
      </c>
      <c r="Z28" s="184" t="str">
        <f t="shared" ca="1" si="11"/>
        <v/>
      </c>
      <c r="AA28" s="185" t="str">
        <f t="shared" ca="1" si="12"/>
        <v/>
      </c>
    </row>
    <row r="29" spans="1:27" s="64" customFormat="1" ht="11.5" x14ac:dyDescent="0.25">
      <c r="A29" s="168" t="s">
        <v>61</v>
      </c>
      <c r="B29" s="168" t="s">
        <v>73</v>
      </c>
      <c r="C29" s="168" t="s">
        <v>63</v>
      </c>
      <c r="D29" s="169" t="s">
        <v>82</v>
      </c>
      <c r="E29" s="198" t="s">
        <v>497</v>
      </c>
      <c r="F29" s="170">
        <f t="shared" si="28"/>
        <v>0.7</v>
      </c>
      <c r="G29" s="170">
        <f t="shared" si="29"/>
        <v>0.7</v>
      </c>
      <c r="H29" s="170">
        <f t="shared" si="30"/>
        <v>1</v>
      </c>
      <c r="I29" s="170">
        <f t="shared" si="1"/>
        <v>0.30000000000000004</v>
      </c>
      <c r="J29" s="171">
        <v>1</v>
      </c>
      <c r="K29" s="172">
        <v>46171</v>
      </c>
      <c r="L29" s="172">
        <f t="shared" si="2"/>
        <v>46171</v>
      </c>
      <c r="M29" s="173">
        <v>46199</v>
      </c>
      <c r="N29" s="173">
        <f t="shared" si="3"/>
        <v>46213</v>
      </c>
      <c r="O29" s="172">
        <f t="shared" si="4"/>
        <v>46213</v>
      </c>
      <c r="P29" s="172">
        <v>46220</v>
      </c>
      <c r="Q29" s="173">
        <f t="shared" si="5"/>
        <v>46255</v>
      </c>
      <c r="R29" s="172">
        <f t="shared" si="6"/>
        <v>46255</v>
      </c>
      <c r="S29" s="173">
        <v>46220</v>
      </c>
      <c r="T29" s="173">
        <f t="shared" si="7"/>
        <v>46269</v>
      </c>
      <c r="U29" s="172">
        <f t="shared" si="8"/>
        <v>46269</v>
      </c>
      <c r="V29" s="172">
        <v>46220</v>
      </c>
      <c r="X29" s="184" t="str">
        <f t="shared" ca="1" si="9"/>
        <v>Completed</v>
      </c>
      <c r="Y29" s="184" t="str">
        <f t="shared" ca="1" si="10"/>
        <v>Completed</v>
      </c>
      <c r="Z29" s="184" t="str">
        <f t="shared" ca="1" si="11"/>
        <v>Completed</v>
      </c>
      <c r="AA29" s="185" t="str">
        <f t="shared" ca="1" si="12"/>
        <v>Completed</v>
      </c>
    </row>
    <row r="30" spans="1:27" s="64" customFormat="1" ht="11.5" x14ac:dyDescent="0.25">
      <c r="A30" s="91" t="s">
        <v>61</v>
      </c>
      <c r="B30" s="91" t="s">
        <v>73</v>
      </c>
      <c r="C30" s="91" t="s">
        <v>63</v>
      </c>
      <c r="D30" s="128" t="s">
        <v>82</v>
      </c>
      <c r="E30" s="109" t="s">
        <v>498</v>
      </c>
      <c r="F30" s="92">
        <f t="shared" ref="F30" si="94">(COUNTIFS(K30,"&lt;="&amp;$D$1)*50%)+(COUNTIFS(N30,"&lt;="&amp;$D$1)*20%)+(COUNTIFS(Q30,"&lt;="&amp;$D$1)*10%)+(COUNTIFS(T30,"&lt;="&amp;$D$1)*20%)</f>
        <v>0.7</v>
      </c>
      <c r="G30" s="92">
        <f t="shared" ref="G30" si="95">(COUNTIFS(L30,"&lt;="&amp;$D$1)*50%)+(COUNTIFS(O30,"&lt;="&amp;$D$1)*20%)+(COUNTIFS(R30,"&lt;="&amp;$D$1)*10%)+(COUNTIFS(U30,"&lt;="&amp;$D$1)*20%)</f>
        <v>0.7</v>
      </c>
      <c r="H30" s="92">
        <f t="shared" ref="H30" si="96">(COUNTIFS(M30,"&lt;="&amp;$D$1)*50%)+(COUNTIFS(P30,"&lt;="&amp;$D$1)*20%)+(COUNTIFS(S30,"&lt;="&amp;$D$1)*10%)+(COUNTIFS(V30,"&lt;="&amp;$D$1)*20%)</f>
        <v>0.7</v>
      </c>
      <c r="I30" s="92">
        <f t="shared" ref="I30" si="97">H30-F30</f>
        <v>0</v>
      </c>
      <c r="J30" s="95">
        <v>1</v>
      </c>
      <c r="K30" s="93">
        <v>46171</v>
      </c>
      <c r="L30" s="93">
        <f t="shared" ref="L30" si="98">K30</f>
        <v>46171</v>
      </c>
      <c r="M30" s="97">
        <v>46199</v>
      </c>
      <c r="N30" s="97">
        <v>46234</v>
      </c>
      <c r="O30" s="93">
        <f t="shared" ref="O30" si="99">N30</f>
        <v>46234</v>
      </c>
      <c r="P30" s="93">
        <v>46241</v>
      </c>
      <c r="Q30" s="97">
        <f t="shared" ref="Q30" si="100">N30+42</f>
        <v>46276</v>
      </c>
      <c r="R30" s="93">
        <f t="shared" ref="R30" si="101">Q30</f>
        <v>46276</v>
      </c>
      <c r="S30" s="97"/>
      <c r="T30" s="97">
        <f t="shared" ref="T30" si="102">Q30+14</f>
        <v>46290</v>
      </c>
      <c r="U30" s="93">
        <f t="shared" ref="U30" si="103">T30</f>
        <v>46290</v>
      </c>
      <c r="V30" s="93"/>
      <c r="X30" s="184" t="str">
        <f t="shared" ca="1" si="9"/>
        <v>Completed</v>
      </c>
      <c r="Y30" s="184" t="str">
        <f t="shared" ca="1" si="10"/>
        <v>Completed</v>
      </c>
      <c r="Z30" s="184" t="str">
        <f t="shared" ca="1" si="11"/>
        <v/>
      </c>
      <c r="AA30" s="185" t="str">
        <f t="shared" ca="1" si="12"/>
        <v/>
      </c>
    </row>
    <row r="31" spans="1:27" s="64" customFormat="1" ht="11.5" x14ac:dyDescent="0.25">
      <c r="A31" s="150" t="s">
        <v>61</v>
      </c>
      <c r="B31" s="150" t="s">
        <v>64</v>
      </c>
      <c r="C31" s="150" t="s">
        <v>63</v>
      </c>
      <c r="D31" s="151" t="s">
        <v>469</v>
      </c>
      <c r="E31" s="188" t="s">
        <v>501</v>
      </c>
      <c r="F31" s="152">
        <f t="shared" si="28"/>
        <v>0.5</v>
      </c>
      <c r="G31" s="152">
        <f t="shared" si="29"/>
        <v>0.5</v>
      </c>
      <c r="H31" s="152">
        <f t="shared" si="30"/>
        <v>1</v>
      </c>
      <c r="I31" s="152">
        <f t="shared" si="1"/>
        <v>0.5</v>
      </c>
      <c r="J31" s="174">
        <v>1</v>
      </c>
      <c r="K31" s="154">
        <v>46220</v>
      </c>
      <c r="L31" s="154">
        <f t="shared" si="2"/>
        <v>46220</v>
      </c>
      <c r="M31" s="154">
        <v>46188</v>
      </c>
      <c r="N31" s="154">
        <f t="shared" si="3"/>
        <v>46262</v>
      </c>
      <c r="O31" s="154">
        <f t="shared" si="4"/>
        <v>46262</v>
      </c>
      <c r="P31" s="154">
        <v>46227</v>
      </c>
      <c r="Q31" s="154">
        <f t="shared" si="5"/>
        <v>46304</v>
      </c>
      <c r="R31" s="154">
        <f t="shared" si="6"/>
        <v>46304</v>
      </c>
      <c r="S31" s="154">
        <v>46227</v>
      </c>
      <c r="T31" s="155">
        <f t="shared" si="7"/>
        <v>46318</v>
      </c>
      <c r="U31" s="154">
        <f t="shared" si="8"/>
        <v>46318</v>
      </c>
      <c r="V31" s="154">
        <v>46227</v>
      </c>
      <c r="X31" s="184" t="str">
        <f t="shared" ca="1" si="9"/>
        <v>Completed</v>
      </c>
      <c r="Y31" s="184" t="str">
        <f t="shared" ca="1" si="10"/>
        <v>Completed</v>
      </c>
      <c r="Z31" s="184" t="str">
        <f t="shared" ca="1" si="11"/>
        <v>Completed</v>
      </c>
      <c r="AA31" s="185" t="str">
        <f t="shared" ca="1" si="12"/>
        <v>Completed</v>
      </c>
    </row>
    <row r="32" spans="1:27" s="64" customFormat="1" ht="11.5" x14ac:dyDescent="0.25">
      <c r="A32" s="150" t="s">
        <v>61</v>
      </c>
      <c r="B32" s="150" t="s">
        <v>64</v>
      </c>
      <c r="C32" s="150" t="s">
        <v>63</v>
      </c>
      <c r="D32" s="151" t="s">
        <v>470</v>
      </c>
      <c r="E32" s="188" t="s">
        <v>502</v>
      </c>
      <c r="F32" s="152">
        <f t="shared" si="28"/>
        <v>0.5</v>
      </c>
      <c r="G32" s="152">
        <f t="shared" si="29"/>
        <v>0.5</v>
      </c>
      <c r="H32" s="152">
        <f t="shared" si="30"/>
        <v>1</v>
      </c>
      <c r="I32" s="152">
        <f t="shared" si="1"/>
        <v>0.5</v>
      </c>
      <c r="J32" s="174">
        <v>1</v>
      </c>
      <c r="K32" s="154">
        <v>46227</v>
      </c>
      <c r="L32" s="154">
        <f t="shared" si="2"/>
        <v>46227</v>
      </c>
      <c r="M32" s="154">
        <v>46227</v>
      </c>
      <c r="N32" s="154">
        <f t="shared" si="3"/>
        <v>46269</v>
      </c>
      <c r="O32" s="154">
        <f t="shared" si="4"/>
        <v>46269</v>
      </c>
      <c r="P32" s="154">
        <v>46227</v>
      </c>
      <c r="Q32" s="154">
        <f t="shared" si="5"/>
        <v>46311</v>
      </c>
      <c r="R32" s="154">
        <f t="shared" si="6"/>
        <v>46311</v>
      </c>
      <c r="S32" s="154">
        <v>46227</v>
      </c>
      <c r="T32" s="155">
        <f t="shared" si="7"/>
        <v>46325</v>
      </c>
      <c r="U32" s="154">
        <f t="shared" si="8"/>
        <v>46325</v>
      </c>
      <c r="V32" s="154">
        <v>46227</v>
      </c>
      <c r="X32" s="184" t="str">
        <f t="shared" ca="1" si="9"/>
        <v>Completed</v>
      </c>
      <c r="Y32" s="184" t="str">
        <f t="shared" ca="1" si="10"/>
        <v>Completed</v>
      </c>
      <c r="Z32" s="184" t="str">
        <f t="shared" ca="1" si="11"/>
        <v>Completed</v>
      </c>
      <c r="AA32" s="185" t="str">
        <f t="shared" ca="1" si="12"/>
        <v>Completed</v>
      </c>
    </row>
    <row r="33" spans="1:27" s="64" customFormat="1" ht="11.5" x14ac:dyDescent="0.25">
      <c r="A33" s="86" t="s">
        <v>61</v>
      </c>
      <c r="B33" s="86" t="s">
        <v>64</v>
      </c>
      <c r="C33" s="86" t="s">
        <v>63</v>
      </c>
      <c r="D33" s="130" t="s">
        <v>469</v>
      </c>
      <c r="E33" s="98" t="s">
        <v>504</v>
      </c>
      <c r="F33" s="87">
        <f t="shared" ref="F33:F34" si="104">(COUNTIFS(K33,"&lt;="&amp;$D$1)*50%)+(COUNTIFS(N33,"&lt;="&amp;$D$1)*20%)+(COUNTIFS(Q33,"&lt;="&amp;$D$1)*10%)+(COUNTIFS(T33,"&lt;="&amp;$D$1)*20%)</f>
        <v>0.5</v>
      </c>
      <c r="G33" s="87">
        <f t="shared" ref="G33:G34" si="105">(COUNTIFS(L33,"&lt;="&amp;$D$1)*50%)+(COUNTIFS(O33,"&lt;="&amp;$D$1)*20%)+(COUNTIFS(R33,"&lt;="&amp;$D$1)*10%)+(COUNTIFS(U33,"&lt;="&amp;$D$1)*20%)</f>
        <v>0.5</v>
      </c>
      <c r="H33" s="87">
        <f t="shared" ref="H33:H34" si="106">(COUNTIFS(M33,"&lt;="&amp;$D$1)*50%)+(COUNTIFS(P33,"&lt;="&amp;$D$1)*20%)+(COUNTIFS(S33,"&lt;="&amp;$D$1)*10%)+(COUNTIFS(V33,"&lt;="&amp;$D$1)*20%)</f>
        <v>0.5</v>
      </c>
      <c r="I33" s="87">
        <f t="shared" ref="I33:I34" si="107">H33-F33</f>
        <v>0</v>
      </c>
      <c r="J33" s="106">
        <v>1</v>
      </c>
      <c r="K33" s="88">
        <v>46220</v>
      </c>
      <c r="L33" s="88">
        <f t="shared" ref="L33:L34" si="108">K33</f>
        <v>46220</v>
      </c>
      <c r="M33" s="88">
        <v>46188</v>
      </c>
      <c r="N33" s="88">
        <f t="shared" ref="N33:N34" si="109">K33+42</f>
        <v>46262</v>
      </c>
      <c r="O33" s="88">
        <f>N33</f>
        <v>46262</v>
      </c>
      <c r="P33" s="88"/>
      <c r="Q33" s="88">
        <f t="shared" ref="Q33:Q34" si="110">N33+42</f>
        <v>46304</v>
      </c>
      <c r="R33" s="88">
        <f t="shared" ref="R33:R34" si="111">Q33</f>
        <v>46304</v>
      </c>
      <c r="S33" s="99"/>
      <c r="T33" s="99">
        <f t="shared" ref="T33:T34" si="112">Q33+14</f>
        <v>46318</v>
      </c>
      <c r="U33" s="88">
        <f t="shared" ref="U33:U34" si="113">T33</f>
        <v>46318</v>
      </c>
      <c r="V33" s="88"/>
      <c r="X33" s="184" t="str">
        <f t="shared" ca="1" si="9"/>
        <v>Completed</v>
      </c>
      <c r="Y33" s="184" t="str">
        <f t="shared" ca="1" si="10"/>
        <v/>
      </c>
      <c r="Z33" s="184" t="str">
        <f t="shared" ca="1" si="11"/>
        <v/>
      </c>
      <c r="AA33" s="185" t="str">
        <f t="shared" ca="1" si="12"/>
        <v/>
      </c>
    </row>
    <row r="34" spans="1:27" s="64" customFormat="1" ht="11.5" x14ac:dyDescent="0.25">
      <c r="A34" s="86" t="s">
        <v>61</v>
      </c>
      <c r="B34" s="86" t="s">
        <v>64</v>
      </c>
      <c r="C34" s="86" t="s">
        <v>63</v>
      </c>
      <c r="D34" s="130" t="s">
        <v>470</v>
      </c>
      <c r="E34" s="98" t="s">
        <v>505</v>
      </c>
      <c r="F34" s="87">
        <f t="shared" si="104"/>
        <v>0</v>
      </c>
      <c r="G34" s="87">
        <f t="shared" si="105"/>
        <v>0</v>
      </c>
      <c r="H34" s="87">
        <f t="shared" si="106"/>
        <v>0</v>
      </c>
      <c r="I34" s="87">
        <f t="shared" si="107"/>
        <v>0</v>
      </c>
      <c r="J34" s="106">
        <v>1</v>
      </c>
      <c r="K34" s="88">
        <v>46262</v>
      </c>
      <c r="L34" s="88">
        <f t="shared" si="108"/>
        <v>46262</v>
      </c>
      <c r="M34" s="88"/>
      <c r="N34" s="88">
        <f t="shared" si="109"/>
        <v>46304</v>
      </c>
      <c r="O34" s="88">
        <f t="shared" ref="O34" si="114">N34</f>
        <v>46304</v>
      </c>
      <c r="P34" s="88"/>
      <c r="Q34" s="88">
        <f t="shared" si="110"/>
        <v>46346</v>
      </c>
      <c r="R34" s="88">
        <f t="shared" si="111"/>
        <v>46346</v>
      </c>
      <c r="S34" s="99"/>
      <c r="T34" s="99">
        <f t="shared" si="112"/>
        <v>46360</v>
      </c>
      <c r="U34" s="88">
        <f t="shared" si="113"/>
        <v>46360</v>
      </c>
      <c r="V34" s="88"/>
      <c r="X34" s="184" t="str">
        <f t="shared" ca="1" si="9"/>
        <v/>
      </c>
      <c r="Y34" s="184" t="str">
        <f t="shared" ca="1" si="10"/>
        <v/>
      </c>
      <c r="Z34" s="184" t="str">
        <f t="shared" ca="1" si="11"/>
        <v/>
      </c>
      <c r="AA34" s="185" t="str">
        <f t="shared" ca="1" si="12"/>
        <v/>
      </c>
    </row>
    <row r="35" spans="1:27" s="64" customFormat="1" ht="11.5" x14ac:dyDescent="0.25">
      <c r="A35" s="83" t="s">
        <v>61</v>
      </c>
      <c r="B35" s="83" t="s">
        <v>67</v>
      </c>
      <c r="C35" s="83" t="s">
        <v>63</v>
      </c>
      <c r="D35" s="127" t="s">
        <v>471</v>
      </c>
      <c r="E35" s="100" t="s">
        <v>86</v>
      </c>
      <c r="F35" s="84">
        <f t="shared" si="28"/>
        <v>0.7</v>
      </c>
      <c r="G35" s="84">
        <f t="shared" si="29"/>
        <v>0.7</v>
      </c>
      <c r="H35" s="84">
        <f t="shared" si="30"/>
        <v>0.7</v>
      </c>
      <c r="I35" s="84">
        <f t="shared" si="1"/>
        <v>0</v>
      </c>
      <c r="J35" s="105">
        <v>2</v>
      </c>
      <c r="K35" s="85">
        <v>46178</v>
      </c>
      <c r="L35" s="85">
        <f t="shared" si="2"/>
        <v>46178</v>
      </c>
      <c r="M35" s="85">
        <v>46171</v>
      </c>
      <c r="N35" s="85">
        <f t="shared" si="3"/>
        <v>46220</v>
      </c>
      <c r="O35" s="85">
        <f t="shared" si="4"/>
        <v>46220</v>
      </c>
      <c r="P35" s="96">
        <v>46217</v>
      </c>
      <c r="Q35" s="85">
        <f t="shared" si="5"/>
        <v>46262</v>
      </c>
      <c r="R35" s="85">
        <f t="shared" si="6"/>
        <v>46262</v>
      </c>
      <c r="S35" s="96"/>
      <c r="T35" s="96">
        <f t="shared" si="7"/>
        <v>46276</v>
      </c>
      <c r="U35" s="85">
        <f t="shared" si="8"/>
        <v>46276</v>
      </c>
      <c r="V35" s="85"/>
      <c r="X35" s="184" t="str">
        <f t="shared" ca="1" si="9"/>
        <v>Completed</v>
      </c>
      <c r="Y35" s="184" t="str">
        <f t="shared" ca="1" si="10"/>
        <v>Completed</v>
      </c>
      <c r="Z35" s="184" t="str">
        <f t="shared" ca="1" si="11"/>
        <v/>
      </c>
      <c r="AA35" s="185" t="str">
        <f t="shared" ca="1" si="12"/>
        <v/>
      </c>
    </row>
    <row r="36" spans="1:27" s="64" customFormat="1" ht="11.5" x14ac:dyDescent="0.25">
      <c r="A36" s="83" t="s">
        <v>61</v>
      </c>
      <c r="B36" s="83" t="s">
        <v>67</v>
      </c>
      <c r="C36" s="83" t="s">
        <v>63</v>
      </c>
      <c r="D36" s="127" t="s">
        <v>472</v>
      </c>
      <c r="E36" s="100" t="s">
        <v>87</v>
      </c>
      <c r="F36" s="84">
        <f t="shared" si="28"/>
        <v>0.7</v>
      </c>
      <c r="G36" s="84">
        <f t="shared" si="29"/>
        <v>0.7</v>
      </c>
      <c r="H36" s="84">
        <f t="shared" si="30"/>
        <v>0.7</v>
      </c>
      <c r="I36" s="84">
        <f t="shared" si="1"/>
        <v>0</v>
      </c>
      <c r="J36" s="105">
        <v>2</v>
      </c>
      <c r="K36" s="85">
        <v>46185</v>
      </c>
      <c r="L36" s="85">
        <f t="shared" si="2"/>
        <v>46185</v>
      </c>
      <c r="M36" s="85">
        <v>46171</v>
      </c>
      <c r="N36" s="85">
        <f t="shared" si="3"/>
        <v>46227</v>
      </c>
      <c r="O36" s="85">
        <f t="shared" si="4"/>
        <v>46227</v>
      </c>
      <c r="P36" s="96">
        <v>46217</v>
      </c>
      <c r="Q36" s="85">
        <f t="shared" si="5"/>
        <v>46269</v>
      </c>
      <c r="R36" s="85">
        <f t="shared" si="6"/>
        <v>46269</v>
      </c>
      <c r="S36" s="96"/>
      <c r="T36" s="96">
        <f t="shared" si="7"/>
        <v>46283</v>
      </c>
      <c r="U36" s="85">
        <f t="shared" si="8"/>
        <v>46283</v>
      </c>
      <c r="V36" s="85"/>
      <c r="X36" s="184" t="str">
        <f t="shared" ca="1" si="9"/>
        <v>Completed</v>
      </c>
      <c r="Y36" s="184" t="str">
        <f t="shared" ca="1" si="10"/>
        <v>Completed</v>
      </c>
      <c r="Z36" s="184" t="str">
        <f t="shared" ca="1" si="11"/>
        <v/>
      </c>
      <c r="AA36" s="185" t="str">
        <f t="shared" ca="1" si="12"/>
        <v/>
      </c>
    </row>
    <row r="37" spans="1:27" s="64" customFormat="1" ht="11.5" x14ac:dyDescent="0.25">
      <c r="A37" s="162" t="s">
        <v>61</v>
      </c>
      <c r="B37" s="162" t="s">
        <v>70</v>
      </c>
      <c r="C37" s="162" t="s">
        <v>63</v>
      </c>
      <c r="D37" s="163" t="s">
        <v>473</v>
      </c>
      <c r="E37" s="197" t="s">
        <v>88</v>
      </c>
      <c r="F37" s="164">
        <f t="shared" si="28"/>
        <v>0.7</v>
      </c>
      <c r="G37" s="164">
        <f t="shared" si="29"/>
        <v>0.7</v>
      </c>
      <c r="H37" s="164">
        <f t="shared" si="30"/>
        <v>1</v>
      </c>
      <c r="I37" s="164">
        <f t="shared" si="1"/>
        <v>0.30000000000000004</v>
      </c>
      <c r="J37" s="165">
        <v>1</v>
      </c>
      <c r="K37" s="166">
        <v>46206</v>
      </c>
      <c r="L37" s="166">
        <f t="shared" si="2"/>
        <v>46206</v>
      </c>
      <c r="M37" s="166">
        <v>46185</v>
      </c>
      <c r="N37" s="166">
        <f t="shared" si="3"/>
        <v>46248</v>
      </c>
      <c r="O37" s="166">
        <f t="shared" si="4"/>
        <v>46248</v>
      </c>
      <c r="P37" s="166">
        <v>46241</v>
      </c>
      <c r="Q37" s="166">
        <f t="shared" si="5"/>
        <v>46290</v>
      </c>
      <c r="R37" s="166">
        <f t="shared" si="6"/>
        <v>46290</v>
      </c>
      <c r="S37" s="166">
        <v>46241</v>
      </c>
      <c r="T37" s="167">
        <f t="shared" si="7"/>
        <v>46304</v>
      </c>
      <c r="U37" s="166">
        <f t="shared" si="8"/>
        <v>46304</v>
      </c>
      <c r="V37" s="166">
        <v>46241</v>
      </c>
      <c r="X37" s="184" t="str">
        <f t="shared" ca="1" si="9"/>
        <v>Completed</v>
      </c>
      <c r="Y37" s="184" t="str">
        <f t="shared" ca="1" si="10"/>
        <v>Completed</v>
      </c>
      <c r="Z37" s="184" t="str">
        <f t="shared" ca="1" si="11"/>
        <v>Completed</v>
      </c>
      <c r="AA37" s="185" t="str">
        <f t="shared" ca="1" si="12"/>
        <v>Completed</v>
      </c>
    </row>
    <row r="38" spans="1:27" s="64" customFormat="1" ht="11.5" x14ac:dyDescent="0.25">
      <c r="A38" s="162" t="s">
        <v>61</v>
      </c>
      <c r="B38" s="162" t="s">
        <v>70</v>
      </c>
      <c r="C38" s="162" t="s">
        <v>63</v>
      </c>
      <c r="D38" s="163" t="s">
        <v>474</v>
      </c>
      <c r="E38" s="197" t="s">
        <v>89</v>
      </c>
      <c r="F38" s="164">
        <f t="shared" si="28"/>
        <v>0.5</v>
      </c>
      <c r="G38" s="164">
        <f t="shared" si="29"/>
        <v>0.5</v>
      </c>
      <c r="H38" s="164">
        <f t="shared" si="30"/>
        <v>1</v>
      </c>
      <c r="I38" s="164">
        <f t="shared" si="1"/>
        <v>0.5</v>
      </c>
      <c r="J38" s="165">
        <v>1</v>
      </c>
      <c r="K38" s="166">
        <v>46213</v>
      </c>
      <c r="L38" s="166">
        <f t="shared" si="2"/>
        <v>46213</v>
      </c>
      <c r="M38" s="166">
        <v>46188</v>
      </c>
      <c r="N38" s="166">
        <f t="shared" si="3"/>
        <v>46255</v>
      </c>
      <c r="O38" s="166">
        <f t="shared" si="4"/>
        <v>46255</v>
      </c>
      <c r="P38" s="166">
        <v>46241</v>
      </c>
      <c r="Q38" s="166">
        <f t="shared" si="5"/>
        <v>46297</v>
      </c>
      <c r="R38" s="166">
        <f t="shared" si="6"/>
        <v>46297</v>
      </c>
      <c r="S38" s="166">
        <v>46241</v>
      </c>
      <c r="T38" s="166">
        <f t="shared" si="7"/>
        <v>46311</v>
      </c>
      <c r="U38" s="166">
        <f t="shared" si="8"/>
        <v>46311</v>
      </c>
      <c r="V38" s="166">
        <v>46241</v>
      </c>
      <c r="X38" s="184" t="str">
        <f t="shared" ca="1" si="9"/>
        <v>Completed</v>
      </c>
      <c r="Y38" s="184" t="str">
        <f t="shared" ca="1" si="10"/>
        <v>Completed</v>
      </c>
      <c r="Z38" s="184" t="str">
        <f t="shared" ca="1" si="11"/>
        <v>Completed</v>
      </c>
      <c r="AA38" s="185" t="str">
        <f t="shared" ca="1" si="12"/>
        <v>Completed</v>
      </c>
    </row>
    <row r="39" spans="1:27" s="64" customFormat="1" ht="11.5" x14ac:dyDescent="0.25">
      <c r="A39" s="110" t="s">
        <v>61</v>
      </c>
      <c r="B39" s="110" t="s">
        <v>70</v>
      </c>
      <c r="C39" s="110" t="s">
        <v>63</v>
      </c>
      <c r="D39" s="129" t="s">
        <v>473</v>
      </c>
      <c r="E39" s="114" t="s">
        <v>88</v>
      </c>
      <c r="F39" s="111">
        <f t="shared" ref="F39:F40" si="115">(COUNTIFS(K39,"&lt;="&amp;$D$1)*50%)+(COUNTIFS(N39,"&lt;="&amp;$D$1)*20%)+(COUNTIFS(Q39,"&lt;="&amp;$D$1)*10%)+(COUNTIFS(T39,"&lt;="&amp;$D$1)*20%)</f>
        <v>0.7</v>
      </c>
      <c r="G39" s="111">
        <f t="shared" ref="G39:G40" si="116">(COUNTIFS(L39,"&lt;="&amp;$D$1)*50%)+(COUNTIFS(O39,"&lt;="&amp;$D$1)*20%)+(COUNTIFS(R39,"&lt;="&amp;$D$1)*10%)+(COUNTIFS(U39,"&lt;="&amp;$D$1)*20%)</f>
        <v>0.7</v>
      </c>
      <c r="H39" s="111">
        <f t="shared" ref="H39:H40" si="117">(COUNTIFS(M39,"&lt;="&amp;$D$1)*50%)+(COUNTIFS(P39,"&lt;="&amp;$D$1)*20%)+(COUNTIFS(S39,"&lt;="&amp;$D$1)*10%)+(COUNTIFS(V39,"&lt;="&amp;$D$1)*20%)</f>
        <v>0.7</v>
      </c>
      <c r="I39" s="111">
        <f t="shared" ref="I39:I40" si="118">H39-F39</f>
        <v>0</v>
      </c>
      <c r="J39" s="112">
        <v>1</v>
      </c>
      <c r="K39" s="113">
        <v>46206</v>
      </c>
      <c r="L39" s="113">
        <f t="shared" ref="L39:L40" si="119">K39</f>
        <v>46206</v>
      </c>
      <c r="M39" s="113">
        <v>46185</v>
      </c>
      <c r="N39" s="113">
        <f t="shared" ref="N39:N40" si="120">K39+42</f>
        <v>46248</v>
      </c>
      <c r="O39" s="113">
        <f t="shared" ref="O39:O40" si="121">N39</f>
        <v>46248</v>
      </c>
      <c r="P39" s="149">
        <v>46248</v>
      </c>
      <c r="Q39" s="113">
        <f t="shared" ref="Q39:Q40" si="122">N39+42</f>
        <v>46290</v>
      </c>
      <c r="R39" s="113">
        <f t="shared" ref="R39:R40" si="123">Q39</f>
        <v>46290</v>
      </c>
      <c r="S39" s="115"/>
      <c r="T39" s="115">
        <f t="shared" ref="T39:T40" si="124">Q39+14</f>
        <v>46304</v>
      </c>
      <c r="U39" s="113">
        <f t="shared" ref="U39:U40" si="125">T39</f>
        <v>46304</v>
      </c>
      <c r="V39" s="113"/>
      <c r="X39" s="184" t="str">
        <f t="shared" ref="X39:X40" ca="1" si="126">IF(OR(M39&lt;&gt;""),"Completed",
IF(L39="","",IF(L39&lt;TODAY(),"Overdue",
IF(AND(L39&gt;=TODAY()-WEEKDAY(TODAY(),2)+1,L39&lt;=TODAY()-WEEKDAY(TODAY(),2)+7),"Follow-This Week",
IF(AND(L39&gt;=TODAY()-WEEKDAY(TODAY(),2)+8,L39&lt;=TODAY()-WEEKDAY(TODAY(),2)+14),"Follow-Next Week","")))))</f>
        <v>Completed</v>
      </c>
      <c r="Y39" s="184" t="str">
        <f t="shared" ref="Y39:Y40" ca="1" si="127">IF(OR(P39&lt;&gt;""),"Completed",IF(O39="","",
IF(O39&lt;TODAY(),"Overdue",
IF(AND(O39&gt;=TODAY()-WEEKDAY(TODAY(),2)+1,O39&lt;=TODAY()-WEEKDAY(TODAY(),2)+7),"Follow-This Week",
IF(AND(O39&gt;=TODAY()-WEEKDAY(TODAY(),2)+8,O39&lt;=TODAY()-WEEKDAY(TODAY(),2)+14),"Follow-Next Week","")))))</f>
        <v>Completed</v>
      </c>
      <c r="Z39" s="184" t="str">
        <f t="shared" ref="Z39:Z40" ca="1" si="128">IF(OR(S39&lt;&gt;""),"Completed",IF(R39="","",
IF(R39&lt;TODAY(),"Overdue",
IF(AND(R39&gt;=TODAY()-WEEKDAY(TODAY(),2)+1,R39&lt;=TODAY()-WEEKDAY(TODAY(),2)+7),"Follow-This Week",
IF(AND(R39&gt;=TODAY()-WEEKDAY(TODAY(),2)+8,R39&lt;=TODAY()-WEEKDAY(TODAY(),2)+14),"Follow-Next Week","")))))</f>
        <v/>
      </c>
      <c r="AA39" s="185" t="str">
        <f t="shared" ref="AA39:AA40" ca="1" si="129">IF(OR(V39&lt;&gt;""),"Completed",IF(U39="","",
IF(U39&lt;TODAY(),"Overdue",
IF(AND(U39&gt;=TODAY()-WEEKDAY(TODAY(),2)+1,U39&lt;=TODAY()-WEEKDAY(TODAY(),2)+7),"Follow-This Week",
IF(AND(U39&gt;=TODAY()-WEEKDAY(TODAY(),2)+8,U39&lt;=TODAY()-WEEKDAY(TODAY(),2)+14),"Follow-Next Week","")))))</f>
        <v/>
      </c>
    </row>
    <row r="40" spans="1:27" s="64" customFormat="1" ht="11.5" x14ac:dyDescent="0.25">
      <c r="A40" s="110" t="s">
        <v>61</v>
      </c>
      <c r="B40" s="110" t="s">
        <v>70</v>
      </c>
      <c r="C40" s="110" t="s">
        <v>63</v>
      </c>
      <c r="D40" s="129" t="s">
        <v>474</v>
      </c>
      <c r="E40" s="114" t="s">
        <v>89</v>
      </c>
      <c r="F40" s="111">
        <f t="shared" si="115"/>
        <v>0.5</v>
      </c>
      <c r="G40" s="111">
        <f t="shared" si="116"/>
        <v>0.5</v>
      </c>
      <c r="H40" s="111">
        <f t="shared" si="117"/>
        <v>0.7</v>
      </c>
      <c r="I40" s="111">
        <f t="shared" si="118"/>
        <v>0.19999999999999996</v>
      </c>
      <c r="J40" s="112">
        <v>1</v>
      </c>
      <c r="K40" s="113">
        <v>46213</v>
      </c>
      <c r="L40" s="113">
        <f t="shared" si="119"/>
        <v>46213</v>
      </c>
      <c r="M40" s="113">
        <v>46188</v>
      </c>
      <c r="N40" s="113">
        <f t="shared" si="120"/>
        <v>46255</v>
      </c>
      <c r="O40" s="113">
        <f t="shared" si="121"/>
        <v>46255</v>
      </c>
      <c r="P40" s="149">
        <v>46248</v>
      </c>
      <c r="Q40" s="113">
        <f t="shared" si="122"/>
        <v>46297</v>
      </c>
      <c r="R40" s="113">
        <f t="shared" si="123"/>
        <v>46297</v>
      </c>
      <c r="S40" s="113"/>
      <c r="T40" s="113">
        <f t="shared" si="124"/>
        <v>46311</v>
      </c>
      <c r="U40" s="113">
        <f t="shared" si="125"/>
        <v>46311</v>
      </c>
      <c r="V40" s="113"/>
      <c r="X40" s="184" t="str">
        <f t="shared" ca="1" si="126"/>
        <v>Completed</v>
      </c>
      <c r="Y40" s="184" t="str">
        <f t="shared" ca="1" si="127"/>
        <v>Completed</v>
      </c>
      <c r="Z40" s="184" t="str">
        <f t="shared" ca="1" si="128"/>
        <v/>
      </c>
      <c r="AA40" s="185" t="str">
        <f t="shared" ca="1" si="129"/>
        <v/>
      </c>
    </row>
    <row r="41" spans="1:27" s="64" customFormat="1" ht="11.5" x14ac:dyDescent="0.25">
      <c r="A41" s="91" t="s">
        <v>61</v>
      </c>
      <c r="B41" s="91" t="s">
        <v>73</v>
      </c>
      <c r="C41" s="91" t="s">
        <v>63</v>
      </c>
      <c r="D41" s="128" t="s">
        <v>475</v>
      </c>
      <c r="E41" s="109" t="s">
        <v>90</v>
      </c>
      <c r="F41" s="92">
        <f t="shared" si="28"/>
        <v>0.7</v>
      </c>
      <c r="G41" s="92">
        <f t="shared" si="29"/>
        <v>0.7</v>
      </c>
      <c r="H41" s="92">
        <f t="shared" si="30"/>
        <v>0.7</v>
      </c>
      <c r="I41" s="92">
        <f t="shared" si="1"/>
        <v>0</v>
      </c>
      <c r="J41" s="95">
        <v>2</v>
      </c>
      <c r="K41" s="93">
        <v>46192</v>
      </c>
      <c r="L41" s="93">
        <f t="shared" si="2"/>
        <v>46192</v>
      </c>
      <c r="M41" s="93">
        <v>46178</v>
      </c>
      <c r="N41" s="93">
        <f t="shared" si="3"/>
        <v>46234</v>
      </c>
      <c r="O41" s="93">
        <f t="shared" si="4"/>
        <v>46234</v>
      </c>
      <c r="P41" s="97">
        <v>46227</v>
      </c>
      <c r="Q41" s="93">
        <f t="shared" si="5"/>
        <v>46276</v>
      </c>
      <c r="R41" s="93">
        <f t="shared" si="6"/>
        <v>46276</v>
      </c>
      <c r="S41" s="93"/>
      <c r="T41" s="93">
        <f t="shared" si="7"/>
        <v>46290</v>
      </c>
      <c r="U41" s="93">
        <f t="shared" si="8"/>
        <v>46290</v>
      </c>
      <c r="V41" s="93"/>
      <c r="X41" s="184" t="str">
        <f t="shared" ca="1" si="9"/>
        <v>Completed</v>
      </c>
      <c r="Y41" s="184" t="str">
        <f t="shared" ca="1" si="10"/>
        <v>Completed</v>
      </c>
      <c r="Z41" s="184" t="str">
        <f t="shared" ca="1" si="11"/>
        <v/>
      </c>
      <c r="AA41" s="185" t="str">
        <f t="shared" ca="1" si="12"/>
        <v/>
      </c>
    </row>
    <row r="42" spans="1:27" s="64" customFormat="1" ht="11.5" x14ac:dyDescent="0.25">
      <c r="A42" s="91" t="s">
        <v>61</v>
      </c>
      <c r="B42" s="91" t="s">
        <v>73</v>
      </c>
      <c r="C42" s="91" t="s">
        <v>63</v>
      </c>
      <c r="D42" s="128" t="s">
        <v>476</v>
      </c>
      <c r="E42" s="109" t="s">
        <v>91</v>
      </c>
      <c r="F42" s="92">
        <f t="shared" si="28"/>
        <v>0.7</v>
      </c>
      <c r="G42" s="92">
        <f t="shared" si="29"/>
        <v>0.7</v>
      </c>
      <c r="H42" s="92">
        <f t="shared" si="30"/>
        <v>0.7</v>
      </c>
      <c r="I42" s="92">
        <f t="shared" si="1"/>
        <v>0</v>
      </c>
      <c r="J42" s="95">
        <v>2</v>
      </c>
      <c r="K42" s="93">
        <v>46199</v>
      </c>
      <c r="L42" s="93">
        <f t="shared" si="2"/>
        <v>46199</v>
      </c>
      <c r="M42" s="93">
        <v>46181</v>
      </c>
      <c r="N42" s="93">
        <f t="shared" si="3"/>
        <v>46241</v>
      </c>
      <c r="O42" s="93">
        <f t="shared" si="4"/>
        <v>46241</v>
      </c>
      <c r="P42" s="97">
        <v>46227</v>
      </c>
      <c r="Q42" s="93">
        <f t="shared" si="5"/>
        <v>46283</v>
      </c>
      <c r="R42" s="93">
        <f t="shared" si="6"/>
        <v>46283</v>
      </c>
      <c r="S42" s="93"/>
      <c r="T42" s="93">
        <f t="shared" si="7"/>
        <v>46297</v>
      </c>
      <c r="U42" s="93">
        <f t="shared" si="8"/>
        <v>46297</v>
      </c>
      <c r="V42" s="93"/>
      <c r="X42" s="184" t="str">
        <f t="shared" ca="1" si="9"/>
        <v>Completed</v>
      </c>
      <c r="Y42" s="184" t="str">
        <f t="shared" ca="1" si="10"/>
        <v>Completed</v>
      </c>
      <c r="Z42" s="184" t="str">
        <f t="shared" ca="1" si="11"/>
        <v/>
      </c>
      <c r="AA42" s="185" t="str">
        <f t="shared" ca="1" si="12"/>
        <v/>
      </c>
    </row>
    <row r="43" spans="1:27" s="64" customFormat="1" ht="11.5" x14ac:dyDescent="0.25">
      <c r="A43" s="140" t="s">
        <v>61</v>
      </c>
      <c r="B43" s="140" t="s">
        <v>62</v>
      </c>
      <c r="C43" s="190" t="s">
        <v>63</v>
      </c>
      <c r="D43" s="191" t="s">
        <v>272</v>
      </c>
      <c r="E43" s="192" t="s">
        <v>519</v>
      </c>
      <c r="F43" s="193">
        <f t="shared" si="28"/>
        <v>0.79999999999999993</v>
      </c>
      <c r="G43" s="193">
        <f>(COUNTIFS(L43,"&lt;="&amp;$D$1)*50%)+(COUNTIFS(O43,"&lt;="&amp;$D$1)*20%)+(COUNTIFS(R43,"&lt;="&amp;$D$1)*10%)+(COUNTIFS(U43,"&lt;="&amp;$D$1)*20%)</f>
        <v>0.79999999999999993</v>
      </c>
      <c r="H43" s="193">
        <f t="shared" si="30"/>
        <v>1</v>
      </c>
      <c r="I43" s="193">
        <f t="shared" si="1"/>
        <v>0.20000000000000007</v>
      </c>
      <c r="J43" s="194">
        <v>1.2</v>
      </c>
      <c r="K43" s="144">
        <v>46164</v>
      </c>
      <c r="L43" s="195">
        <f t="shared" si="2"/>
        <v>46164</v>
      </c>
      <c r="M43" s="144">
        <v>46202</v>
      </c>
      <c r="N43" s="148">
        <f t="shared" si="3"/>
        <v>46206</v>
      </c>
      <c r="O43" s="144">
        <f t="shared" si="4"/>
        <v>46206</v>
      </c>
      <c r="P43" s="144">
        <v>46241</v>
      </c>
      <c r="Q43" s="148">
        <f t="shared" si="5"/>
        <v>46248</v>
      </c>
      <c r="R43" s="195">
        <f t="shared" si="6"/>
        <v>46248</v>
      </c>
      <c r="S43" s="148">
        <v>46241</v>
      </c>
      <c r="T43" s="148">
        <f t="shared" si="7"/>
        <v>46262</v>
      </c>
      <c r="U43" s="195">
        <f t="shared" si="8"/>
        <v>46262</v>
      </c>
      <c r="V43" s="144">
        <v>46241</v>
      </c>
      <c r="X43" s="184" t="str">
        <f t="shared" ca="1" si="9"/>
        <v>Completed</v>
      </c>
      <c r="Y43" s="184" t="str">
        <f t="shared" ca="1" si="10"/>
        <v>Completed</v>
      </c>
      <c r="Z43" s="184" t="str">
        <f t="shared" ca="1" si="11"/>
        <v>Completed</v>
      </c>
      <c r="AA43" s="185" t="str">
        <f t="shared" ca="1" si="12"/>
        <v>Completed</v>
      </c>
    </row>
    <row r="44" spans="1:27" s="64" customFormat="1" ht="11.5" x14ac:dyDescent="0.25">
      <c r="A44" s="70" t="s">
        <v>61</v>
      </c>
      <c r="B44" s="70" t="s">
        <v>62</v>
      </c>
      <c r="C44" s="65" t="s">
        <v>63</v>
      </c>
      <c r="D44" s="82" t="s">
        <v>272</v>
      </c>
      <c r="E44" s="80" t="s">
        <v>520</v>
      </c>
      <c r="F44" s="66">
        <f t="shared" ref="F44" si="130">(COUNTIFS(K44,"&lt;="&amp;$D$1)*50%)+(COUNTIFS(N44,"&lt;="&amp;$D$1)*20%)+(COUNTIFS(Q44,"&lt;="&amp;$D$1)*10%)+(COUNTIFS(T44,"&lt;="&amp;$D$1)*20%)</f>
        <v>0.79999999999999993</v>
      </c>
      <c r="G44" s="66">
        <f>(COUNTIFS(L44,"&lt;="&amp;$D$1)*50%)+(COUNTIFS(O44,"&lt;="&amp;$D$1)*20%)+(COUNTIFS(R44,"&lt;="&amp;$D$1)*10%)+(COUNTIFS(U44,"&lt;="&amp;$D$1)*20%)</f>
        <v>0.79999999999999993</v>
      </c>
      <c r="H44" s="66">
        <f t="shared" ref="H44" si="131">(COUNTIFS(M44,"&lt;="&amp;$D$1)*50%)+(COUNTIFS(P44,"&lt;="&amp;$D$1)*20%)+(COUNTIFS(S44,"&lt;="&amp;$D$1)*10%)+(COUNTIFS(V44,"&lt;="&amp;$D$1)*20%)</f>
        <v>0.5</v>
      </c>
      <c r="I44" s="66">
        <f t="shared" ref="I44" si="132">H44-F44</f>
        <v>-0.29999999999999993</v>
      </c>
      <c r="J44" s="71">
        <v>0.8</v>
      </c>
      <c r="K44" s="72">
        <v>46164</v>
      </c>
      <c r="L44" s="68">
        <f t="shared" ref="L44" si="133">K44</f>
        <v>46164</v>
      </c>
      <c r="M44" s="72">
        <v>46202</v>
      </c>
      <c r="N44" s="74">
        <f t="shared" ref="N44" si="134">K44+42</f>
        <v>46206</v>
      </c>
      <c r="O44" s="72">
        <f t="shared" ref="O44" si="135">N44</f>
        <v>46206</v>
      </c>
      <c r="P44" s="72"/>
      <c r="Q44" s="74">
        <f t="shared" ref="Q44" si="136">N44+42</f>
        <v>46248</v>
      </c>
      <c r="R44" s="68">
        <f t="shared" ref="R44" si="137">Q44</f>
        <v>46248</v>
      </c>
      <c r="S44" s="74"/>
      <c r="T44" s="74">
        <f t="shared" ref="T44" si="138">Q44+14</f>
        <v>46262</v>
      </c>
      <c r="U44" s="68">
        <f t="shared" ref="U44" si="139">T44</f>
        <v>46262</v>
      </c>
      <c r="V44" s="72"/>
      <c r="X44" s="184" t="str">
        <f t="shared" ref="X44" ca="1" si="140">IF(OR(M44&lt;&gt;""),"Completed",
IF(L44="","",IF(L44&lt;TODAY(),"Overdue",
IF(AND(L44&gt;=TODAY()-WEEKDAY(TODAY(),2)+1,L44&lt;=TODAY()-WEEKDAY(TODAY(),2)+7),"Follow-This Week",
IF(AND(L44&gt;=TODAY()-WEEKDAY(TODAY(),2)+8,L44&lt;=TODAY()-WEEKDAY(TODAY(),2)+14),"Follow-Next Week","")))))</f>
        <v>Completed</v>
      </c>
      <c r="Y44" s="184" t="str">
        <f t="shared" ref="Y44" ca="1" si="141">IF(OR(P44&lt;&gt;""),"Completed",IF(O44="","",
IF(O44&lt;TODAY(),"Overdue",
IF(AND(O44&gt;=TODAY()-WEEKDAY(TODAY(),2)+1,O44&lt;=TODAY()-WEEKDAY(TODAY(),2)+7),"Follow-This Week",
IF(AND(O44&gt;=TODAY()-WEEKDAY(TODAY(),2)+8,O44&lt;=TODAY()-WEEKDAY(TODAY(),2)+14),"Follow-Next Week","")))))</f>
        <v>Overdue</v>
      </c>
      <c r="Z44" s="184" t="str">
        <f t="shared" ref="Z44" ca="1" si="142">IF(OR(S44&lt;&gt;""),"Completed",IF(R44="","",
IF(R44&lt;TODAY(),"Overdue",
IF(AND(R44&gt;=TODAY()-WEEKDAY(TODAY(),2)+1,R44&lt;=TODAY()-WEEKDAY(TODAY(),2)+7),"Follow-This Week",
IF(AND(R44&gt;=TODAY()-WEEKDAY(TODAY(),2)+8,R44&lt;=TODAY()-WEEKDAY(TODAY(),2)+14),"Follow-Next Week","")))))</f>
        <v>Overdue</v>
      </c>
      <c r="AA44" s="185" t="str">
        <f t="shared" ref="AA44" ca="1" si="143">IF(OR(V44&lt;&gt;""),"Completed",IF(U44="","",
IF(U44&lt;TODAY(),"Overdue",
IF(AND(U44&gt;=TODAY()-WEEKDAY(TODAY(),2)+1,U44&lt;=TODAY()-WEEKDAY(TODAY(),2)+7),"Follow-This Week",
IF(AND(U44&gt;=TODAY()-WEEKDAY(TODAY(),2)+8,U44&lt;=TODAY()-WEEKDAY(TODAY(),2)+14),"Follow-Next Week","")))))</f>
        <v/>
      </c>
    </row>
    <row r="45" spans="1:27" s="64" customFormat="1" ht="11.5" x14ac:dyDescent="0.25">
      <c r="A45" s="70" t="s">
        <v>61</v>
      </c>
      <c r="B45" s="70" t="s">
        <v>62</v>
      </c>
      <c r="C45" s="65" t="s">
        <v>63</v>
      </c>
      <c r="D45" s="82" t="s">
        <v>255</v>
      </c>
      <c r="E45" s="80" t="s">
        <v>92</v>
      </c>
      <c r="F45" s="66">
        <f t="shared" si="28"/>
        <v>0.7</v>
      </c>
      <c r="G45" s="66">
        <f>(COUNTIFS(L45,"&lt;="&amp;$D$1)*50%)+(COUNTIFS(O45,"&lt;="&amp;$D$1)*20%)+(COUNTIFS(R45,"&lt;="&amp;$D$1)*10%)+(COUNTIFS(U45,"&lt;="&amp;$D$1)*20%)</f>
        <v>0.7</v>
      </c>
      <c r="H45" s="66">
        <f t="shared" si="30"/>
        <v>0.7</v>
      </c>
      <c r="I45" s="66">
        <f t="shared" si="1"/>
        <v>0</v>
      </c>
      <c r="J45" s="67">
        <v>2</v>
      </c>
      <c r="K45" s="72">
        <v>46171</v>
      </c>
      <c r="L45" s="68">
        <f t="shared" si="2"/>
        <v>46171</v>
      </c>
      <c r="M45" s="74">
        <v>46188</v>
      </c>
      <c r="N45" s="74">
        <f t="shared" si="3"/>
        <v>46213</v>
      </c>
      <c r="O45" s="72">
        <f t="shared" si="4"/>
        <v>46213</v>
      </c>
      <c r="P45" s="74">
        <v>46227</v>
      </c>
      <c r="Q45" s="74">
        <f t="shared" si="5"/>
        <v>46255</v>
      </c>
      <c r="R45" s="68">
        <f t="shared" si="6"/>
        <v>46255</v>
      </c>
      <c r="S45" s="74"/>
      <c r="T45" s="74">
        <f t="shared" si="7"/>
        <v>46269</v>
      </c>
      <c r="U45" s="68">
        <f t="shared" si="8"/>
        <v>46269</v>
      </c>
      <c r="V45" s="72"/>
      <c r="X45" s="184" t="str">
        <f t="shared" ca="1" si="9"/>
        <v>Completed</v>
      </c>
      <c r="Y45" s="184" t="str">
        <f t="shared" ca="1" si="10"/>
        <v>Completed</v>
      </c>
      <c r="Z45" s="184" t="str">
        <f t="shared" ca="1" si="11"/>
        <v>Follow-Next Week</v>
      </c>
      <c r="AA45" s="185" t="str">
        <f t="shared" ca="1" si="12"/>
        <v/>
      </c>
    </row>
    <row r="46" spans="1:27" s="64" customFormat="1" ht="11.5" x14ac:dyDescent="0.25">
      <c r="A46" s="70" t="s">
        <v>61</v>
      </c>
      <c r="B46" s="70" t="s">
        <v>62</v>
      </c>
      <c r="C46" s="65" t="s">
        <v>63</v>
      </c>
      <c r="D46" s="82" t="s">
        <v>263</v>
      </c>
      <c r="E46" s="80" t="s">
        <v>93</v>
      </c>
      <c r="F46" s="66">
        <f t="shared" si="28"/>
        <v>0.7</v>
      </c>
      <c r="G46" s="66">
        <f t="shared" si="29"/>
        <v>0.7</v>
      </c>
      <c r="H46" s="66">
        <f t="shared" si="30"/>
        <v>0.7</v>
      </c>
      <c r="I46" s="66">
        <f t="shared" si="1"/>
        <v>0</v>
      </c>
      <c r="J46" s="89">
        <v>2</v>
      </c>
      <c r="K46" s="74">
        <v>46178</v>
      </c>
      <c r="L46" s="68">
        <f t="shared" si="2"/>
        <v>46178</v>
      </c>
      <c r="M46" s="72">
        <v>46202</v>
      </c>
      <c r="N46" s="74">
        <f t="shared" si="3"/>
        <v>46220</v>
      </c>
      <c r="O46" s="74">
        <f t="shared" si="4"/>
        <v>46220</v>
      </c>
      <c r="P46" s="74">
        <v>46204</v>
      </c>
      <c r="Q46" s="74">
        <f t="shared" si="5"/>
        <v>46262</v>
      </c>
      <c r="R46" s="74">
        <f t="shared" si="6"/>
        <v>46262</v>
      </c>
      <c r="S46" s="74"/>
      <c r="T46" s="74">
        <f t="shared" si="7"/>
        <v>46276</v>
      </c>
      <c r="U46" s="74">
        <f t="shared" si="8"/>
        <v>46276</v>
      </c>
      <c r="V46" s="72"/>
      <c r="X46" s="184" t="str">
        <f t="shared" ca="1" si="9"/>
        <v>Completed</v>
      </c>
      <c r="Y46" s="184" t="str">
        <f t="shared" ca="1" si="10"/>
        <v>Completed</v>
      </c>
      <c r="Z46" s="184" t="str">
        <f t="shared" ca="1" si="11"/>
        <v/>
      </c>
      <c r="AA46" s="185" t="str">
        <f t="shared" ca="1" si="12"/>
        <v/>
      </c>
    </row>
    <row r="47" spans="1:27" s="64" customFormat="1" ht="11.5" x14ac:dyDescent="0.25">
      <c r="A47" s="70" t="s">
        <v>61</v>
      </c>
      <c r="B47" s="70" t="s">
        <v>62</v>
      </c>
      <c r="C47" s="65" t="s">
        <v>63</v>
      </c>
      <c r="D47" s="82" t="s">
        <v>264</v>
      </c>
      <c r="E47" s="132" t="s">
        <v>247</v>
      </c>
      <c r="F47" s="66">
        <f t="shared" ref="F47:F52" si="144">(COUNTIFS(K47,"&lt;="&amp;$D$1)*50%)+(COUNTIFS(N47,"&lt;="&amp;$D$1)*20%)+(COUNTIFS(Q47,"&lt;="&amp;$D$1)*10%)+(COUNTIFS(T47,"&lt;="&amp;$D$1)*20%)</f>
        <v>1</v>
      </c>
      <c r="G47" s="66">
        <f t="shared" ref="G47:G52" si="145">(COUNTIFS(L47,"&lt;="&amp;$D$1)*50%)+(COUNTIFS(O47,"&lt;="&amp;$D$1)*20%)+(COUNTIFS(R47,"&lt;="&amp;$D$1)*10%)+(COUNTIFS(U47,"&lt;="&amp;$D$1)*20%)</f>
        <v>1</v>
      </c>
      <c r="H47" s="66">
        <f t="shared" ref="H47:H52" si="146">(COUNTIFS(M47,"&lt;="&amp;$D$1)*50%)+(COUNTIFS(P47,"&lt;="&amp;$D$1)*20%)+(COUNTIFS(S47,"&lt;="&amp;$D$1)*10%)+(COUNTIFS(V47,"&lt;="&amp;$D$1)*20%)</f>
        <v>0.79999999999999993</v>
      </c>
      <c r="I47" s="66">
        <f t="shared" ref="I47:I52" si="147">H47-F47</f>
        <v>-0.20000000000000007</v>
      </c>
      <c r="J47" s="89">
        <v>1.5</v>
      </c>
      <c r="K47" s="74">
        <v>46122</v>
      </c>
      <c r="L47" s="68">
        <f t="shared" si="2"/>
        <v>46122</v>
      </c>
      <c r="M47" s="72">
        <v>46122</v>
      </c>
      <c r="N47" s="74">
        <f t="shared" ref="N47:N52" si="148">K47+42</f>
        <v>46164</v>
      </c>
      <c r="O47" s="68">
        <f t="shared" ref="O47:O52" si="149">N47</f>
        <v>46164</v>
      </c>
      <c r="P47" s="72">
        <v>46191</v>
      </c>
      <c r="Q47" s="74">
        <f t="shared" ref="Q47:Q52" si="150">N47+42</f>
        <v>46206</v>
      </c>
      <c r="R47" s="68">
        <f t="shared" ref="R47:R52" si="151">Q47</f>
        <v>46206</v>
      </c>
      <c r="S47" s="74">
        <v>46209</v>
      </c>
      <c r="T47" s="74">
        <f t="shared" ref="T47:T52" si="152">Q47+14</f>
        <v>46220</v>
      </c>
      <c r="U47" s="72">
        <f t="shared" ref="U47:U52" si="153">T47</f>
        <v>46220</v>
      </c>
      <c r="V47" s="72"/>
      <c r="X47" s="184" t="str">
        <f t="shared" ca="1" si="9"/>
        <v>Completed</v>
      </c>
      <c r="Y47" s="184" t="str">
        <f t="shared" ca="1" si="10"/>
        <v>Completed</v>
      </c>
      <c r="Z47" s="184" t="str">
        <f t="shared" ca="1" si="11"/>
        <v>Completed</v>
      </c>
      <c r="AA47" s="185" t="str">
        <f t="shared" ca="1" si="12"/>
        <v>Overdue</v>
      </c>
    </row>
    <row r="48" spans="1:27" s="64" customFormat="1" ht="11.5" x14ac:dyDescent="0.25">
      <c r="A48" s="133" t="s">
        <v>61</v>
      </c>
      <c r="B48" s="133" t="s">
        <v>62</v>
      </c>
      <c r="C48" s="134" t="s">
        <v>63</v>
      </c>
      <c r="D48" s="135" t="s">
        <v>265</v>
      </c>
      <c r="E48" s="136" t="s">
        <v>248</v>
      </c>
      <c r="F48" s="137">
        <f t="shared" si="144"/>
        <v>1</v>
      </c>
      <c r="G48" s="137">
        <f t="shared" si="145"/>
        <v>1</v>
      </c>
      <c r="H48" s="137">
        <f t="shared" si="146"/>
        <v>1</v>
      </c>
      <c r="I48" s="137">
        <f t="shared" si="147"/>
        <v>0</v>
      </c>
      <c r="J48" s="138">
        <v>1.5</v>
      </c>
      <c r="K48" s="107">
        <v>46142</v>
      </c>
      <c r="L48" s="68">
        <f t="shared" si="2"/>
        <v>46142</v>
      </c>
      <c r="M48" s="72">
        <v>46164</v>
      </c>
      <c r="N48" s="74">
        <f t="shared" si="148"/>
        <v>46184</v>
      </c>
      <c r="O48" s="74">
        <f t="shared" si="149"/>
        <v>46184</v>
      </c>
      <c r="P48" s="72">
        <v>46191</v>
      </c>
      <c r="Q48" s="74">
        <f t="shared" si="150"/>
        <v>46226</v>
      </c>
      <c r="R48" s="74">
        <f t="shared" si="151"/>
        <v>46226</v>
      </c>
      <c r="S48" s="74">
        <v>46220</v>
      </c>
      <c r="T48" s="74">
        <f t="shared" si="152"/>
        <v>46240</v>
      </c>
      <c r="U48" s="74">
        <f t="shared" si="153"/>
        <v>46240</v>
      </c>
      <c r="V48" s="139">
        <v>46233</v>
      </c>
      <c r="X48" s="184" t="str">
        <f t="shared" ca="1" si="9"/>
        <v>Completed</v>
      </c>
      <c r="Y48" s="184" t="str">
        <f t="shared" ca="1" si="10"/>
        <v>Completed</v>
      </c>
      <c r="Z48" s="184" t="str">
        <f t="shared" ca="1" si="11"/>
        <v>Completed</v>
      </c>
      <c r="AA48" s="185" t="str">
        <f t="shared" ca="1" si="12"/>
        <v>Completed</v>
      </c>
    </row>
    <row r="49" spans="1:27" s="64" customFormat="1" ht="19" x14ac:dyDescent="0.25">
      <c r="A49" s="133" t="s">
        <v>61</v>
      </c>
      <c r="B49" s="133" t="s">
        <v>62</v>
      </c>
      <c r="C49" s="134" t="s">
        <v>63</v>
      </c>
      <c r="D49" s="135" t="s">
        <v>266</v>
      </c>
      <c r="E49" s="136" t="s">
        <v>249</v>
      </c>
      <c r="F49" s="137">
        <f t="shared" si="144"/>
        <v>1</v>
      </c>
      <c r="G49" s="137">
        <f t="shared" si="145"/>
        <v>1</v>
      </c>
      <c r="H49" s="137">
        <f t="shared" si="146"/>
        <v>0.79999999999999993</v>
      </c>
      <c r="I49" s="137">
        <f t="shared" si="147"/>
        <v>-0.20000000000000007</v>
      </c>
      <c r="J49" s="89">
        <v>1.5</v>
      </c>
      <c r="K49" s="107">
        <v>46122</v>
      </c>
      <c r="L49" s="68">
        <f t="shared" si="2"/>
        <v>46122</v>
      </c>
      <c r="M49" s="72">
        <v>46122</v>
      </c>
      <c r="N49" s="74">
        <f t="shared" si="148"/>
        <v>46164</v>
      </c>
      <c r="O49" s="68">
        <f t="shared" si="149"/>
        <v>46164</v>
      </c>
      <c r="P49" s="72">
        <v>46191</v>
      </c>
      <c r="Q49" s="74">
        <f t="shared" si="150"/>
        <v>46206</v>
      </c>
      <c r="R49" s="68">
        <f t="shared" si="151"/>
        <v>46206</v>
      </c>
      <c r="S49" s="74">
        <v>46209</v>
      </c>
      <c r="T49" s="74">
        <f t="shared" si="152"/>
        <v>46220</v>
      </c>
      <c r="U49" s="72">
        <f t="shared" si="153"/>
        <v>46220</v>
      </c>
      <c r="V49" s="139"/>
      <c r="X49" s="184" t="str">
        <f t="shared" ca="1" si="9"/>
        <v>Completed</v>
      </c>
      <c r="Y49" s="184" t="str">
        <f t="shared" ca="1" si="10"/>
        <v>Completed</v>
      </c>
      <c r="Z49" s="184" t="str">
        <f t="shared" ca="1" si="11"/>
        <v>Completed</v>
      </c>
      <c r="AA49" s="185" t="str">
        <f t="shared" ca="1" si="12"/>
        <v>Overdue</v>
      </c>
    </row>
    <row r="50" spans="1:27" s="64" customFormat="1" ht="19" x14ac:dyDescent="0.25">
      <c r="A50" s="133" t="s">
        <v>61</v>
      </c>
      <c r="B50" s="133" t="s">
        <v>62</v>
      </c>
      <c r="C50" s="134" t="s">
        <v>63</v>
      </c>
      <c r="D50" s="135" t="s">
        <v>267</v>
      </c>
      <c r="E50" s="136" t="s">
        <v>250</v>
      </c>
      <c r="F50" s="137">
        <f t="shared" si="144"/>
        <v>1</v>
      </c>
      <c r="G50" s="137">
        <f t="shared" si="145"/>
        <v>1</v>
      </c>
      <c r="H50" s="137">
        <f t="shared" si="146"/>
        <v>1</v>
      </c>
      <c r="I50" s="137">
        <f t="shared" si="147"/>
        <v>0</v>
      </c>
      <c r="J50" s="138">
        <v>1.5</v>
      </c>
      <c r="K50" s="107">
        <v>46142</v>
      </c>
      <c r="L50" s="68">
        <f t="shared" si="2"/>
        <v>46142</v>
      </c>
      <c r="M50" s="72">
        <v>46164</v>
      </c>
      <c r="N50" s="74">
        <f t="shared" si="148"/>
        <v>46184</v>
      </c>
      <c r="O50" s="74">
        <f t="shared" si="149"/>
        <v>46184</v>
      </c>
      <c r="P50" s="72">
        <v>46191</v>
      </c>
      <c r="Q50" s="74">
        <f t="shared" si="150"/>
        <v>46226</v>
      </c>
      <c r="R50" s="74">
        <f t="shared" si="151"/>
        <v>46226</v>
      </c>
      <c r="S50" s="74">
        <v>46220</v>
      </c>
      <c r="T50" s="74">
        <f t="shared" si="152"/>
        <v>46240</v>
      </c>
      <c r="U50" s="74">
        <f t="shared" si="153"/>
        <v>46240</v>
      </c>
      <c r="V50" s="139">
        <v>46233</v>
      </c>
      <c r="X50" s="184" t="str">
        <f t="shared" ca="1" si="9"/>
        <v>Completed</v>
      </c>
      <c r="Y50" s="184" t="str">
        <f t="shared" ca="1" si="10"/>
        <v>Completed</v>
      </c>
      <c r="Z50" s="184" t="str">
        <f t="shared" ca="1" si="11"/>
        <v>Completed</v>
      </c>
      <c r="AA50" s="185" t="str">
        <f t="shared" ca="1" si="12"/>
        <v>Completed</v>
      </c>
    </row>
    <row r="51" spans="1:27" s="64" customFormat="1" ht="11.5" x14ac:dyDescent="0.25">
      <c r="A51" s="70" t="s">
        <v>61</v>
      </c>
      <c r="B51" s="70" t="s">
        <v>62</v>
      </c>
      <c r="C51" s="65" t="s">
        <v>63</v>
      </c>
      <c r="D51" s="82" t="s">
        <v>268</v>
      </c>
      <c r="E51" s="132" t="s">
        <v>251</v>
      </c>
      <c r="F51" s="66">
        <f t="shared" si="144"/>
        <v>1</v>
      </c>
      <c r="G51" s="66">
        <f t="shared" si="145"/>
        <v>1</v>
      </c>
      <c r="H51" s="66">
        <f t="shared" si="146"/>
        <v>0.79999999999999993</v>
      </c>
      <c r="I51" s="66">
        <f t="shared" si="147"/>
        <v>-0.20000000000000007</v>
      </c>
      <c r="J51" s="89">
        <v>1.5</v>
      </c>
      <c r="K51" s="74">
        <v>46136</v>
      </c>
      <c r="L51" s="68">
        <f t="shared" si="2"/>
        <v>46136</v>
      </c>
      <c r="M51" s="72">
        <v>46135</v>
      </c>
      <c r="N51" s="74">
        <f t="shared" si="148"/>
        <v>46178</v>
      </c>
      <c r="O51" s="68">
        <f t="shared" si="149"/>
        <v>46178</v>
      </c>
      <c r="P51" s="72">
        <v>46191</v>
      </c>
      <c r="Q51" s="74">
        <f t="shared" si="150"/>
        <v>46220</v>
      </c>
      <c r="R51" s="68">
        <f t="shared" si="151"/>
        <v>46220</v>
      </c>
      <c r="S51" s="74">
        <v>46209</v>
      </c>
      <c r="T51" s="74">
        <f t="shared" si="152"/>
        <v>46234</v>
      </c>
      <c r="U51" s="72">
        <f t="shared" si="153"/>
        <v>46234</v>
      </c>
      <c r="V51" s="72"/>
      <c r="X51" s="184" t="str">
        <f t="shared" ca="1" si="9"/>
        <v>Completed</v>
      </c>
      <c r="Y51" s="184" t="str">
        <f t="shared" ca="1" si="10"/>
        <v>Completed</v>
      </c>
      <c r="Z51" s="184" t="str">
        <f t="shared" ca="1" si="11"/>
        <v>Completed</v>
      </c>
      <c r="AA51" s="185" t="str">
        <f t="shared" ca="1" si="12"/>
        <v>Overdue</v>
      </c>
    </row>
    <row r="52" spans="1:27" s="64" customFormat="1" ht="11.5" x14ac:dyDescent="0.25">
      <c r="A52" s="70" t="s">
        <v>61</v>
      </c>
      <c r="B52" s="70" t="s">
        <v>62</v>
      </c>
      <c r="C52" s="65" t="s">
        <v>63</v>
      </c>
      <c r="D52" s="82" t="s">
        <v>269</v>
      </c>
      <c r="E52" s="132" t="s">
        <v>252</v>
      </c>
      <c r="F52" s="66">
        <f t="shared" si="144"/>
        <v>1</v>
      </c>
      <c r="G52" s="66">
        <f t="shared" si="145"/>
        <v>1</v>
      </c>
      <c r="H52" s="66">
        <f t="shared" si="146"/>
        <v>1</v>
      </c>
      <c r="I52" s="66">
        <f t="shared" si="147"/>
        <v>0</v>
      </c>
      <c r="J52" s="138">
        <v>1.5</v>
      </c>
      <c r="K52" s="74">
        <v>46142</v>
      </c>
      <c r="L52" s="68">
        <f t="shared" si="2"/>
        <v>46142</v>
      </c>
      <c r="M52" s="72">
        <v>46171</v>
      </c>
      <c r="N52" s="74">
        <f t="shared" si="148"/>
        <v>46184</v>
      </c>
      <c r="O52" s="74">
        <f t="shared" si="149"/>
        <v>46184</v>
      </c>
      <c r="P52" s="72">
        <v>46191</v>
      </c>
      <c r="Q52" s="74">
        <f t="shared" si="150"/>
        <v>46226</v>
      </c>
      <c r="R52" s="74">
        <f t="shared" si="151"/>
        <v>46226</v>
      </c>
      <c r="S52" s="74">
        <v>46237</v>
      </c>
      <c r="T52" s="74">
        <f t="shared" si="152"/>
        <v>46240</v>
      </c>
      <c r="U52" s="74">
        <f t="shared" si="153"/>
        <v>46240</v>
      </c>
      <c r="V52" s="149">
        <v>46247</v>
      </c>
      <c r="X52" s="184" t="str">
        <f t="shared" ca="1" si="9"/>
        <v>Completed</v>
      </c>
      <c r="Y52" s="184" t="str">
        <f t="shared" ca="1" si="10"/>
        <v>Completed</v>
      </c>
      <c r="Z52" s="184" t="str">
        <f t="shared" ca="1" si="11"/>
        <v>Completed</v>
      </c>
      <c r="AA52" s="185" t="str">
        <f t="shared" ca="1" si="12"/>
        <v>Completed</v>
      </c>
    </row>
    <row r="53" spans="1:27" s="64" customFormat="1" ht="11.5" x14ac:dyDescent="0.25">
      <c r="A53" s="70" t="s">
        <v>61</v>
      </c>
      <c r="B53" s="70" t="s">
        <v>58</v>
      </c>
      <c r="C53" s="65" t="s">
        <v>63</v>
      </c>
      <c r="D53" s="82" t="s">
        <v>477</v>
      </c>
      <c r="E53" s="80" t="s">
        <v>224</v>
      </c>
      <c r="F53" s="66">
        <f t="shared" ref="F53:F68" si="154">(COUNTIFS(K53,"&lt;="&amp;$D$1)*50%)+(COUNTIFS(N53,"&lt;="&amp;$D$1)*20%)+(COUNTIFS(Q53,"&lt;="&amp;$D$1)*10%)+(COUNTIFS(T53,"&lt;="&amp;$D$1)*20%)</f>
        <v>0</v>
      </c>
      <c r="G53" s="66">
        <f t="shared" ref="G53:G68" si="155">(COUNTIFS(L53,"&lt;="&amp;$D$1)*50%)+(COUNTIFS(O53,"&lt;="&amp;$D$1)*20%)+(COUNTIFS(R53,"&lt;="&amp;$D$1)*10%)+(COUNTIFS(U53,"&lt;="&amp;$D$1)*20%)</f>
        <v>0</v>
      </c>
      <c r="H53" s="66">
        <f t="shared" ref="H53:H68" si="156">(COUNTIFS(M53,"&lt;="&amp;$D$1)*50%)+(COUNTIFS(P53,"&lt;="&amp;$D$1)*20%)+(COUNTIFS(S53,"&lt;="&amp;$D$1)*10%)+(COUNTIFS(V53,"&lt;="&amp;$D$1)*20%)</f>
        <v>0</v>
      </c>
      <c r="I53" s="66">
        <f t="shared" ref="I53:I68" si="157">H53-F53</f>
        <v>0</v>
      </c>
      <c r="J53" s="67">
        <v>0.25</v>
      </c>
      <c r="K53" s="74"/>
      <c r="L53" s="74"/>
      <c r="M53" s="72"/>
      <c r="N53" s="74"/>
      <c r="O53" s="74"/>
      <c r="P53" s="72"/>
      <c r="Q53" s="74"/>
      <c r="R53" s="74"/>
      <c r="S53" s="74"/>
      <c r="T53" s="74"/>
      <c r="U53" s="74"/>
      <c r="V53" s="72"/>
      <c r="X53" s="184" t="str">
        <f t="shared" ca="1" si="9"/>
        <v/>
      </c>
      <c r="Y53" s="184" t="str">
        <f t="shared" ca="1" si="10"/>
        <v/>
      </c>
      <c r="Z53" s="184" t="str">
        <f t="shared" ca="1" si="11"/>
        <v/>
      </c>
      <c r="AA53" s="185" t="str">
        <f t="shared" ca="1" si="12"/>
        <v/>
      </c>
    </row>
    <row r="54" spans="1:27" s="64" customFormat="1" ht="11.5" x14ac:dyDescent="0.25">
      <c r="A54" s="70" t="s">
        <v>61</v>
      </c>
      <c r="B54" s="70" t="s">
        <v>58</v>
      </c>
      <c r="C54" s="65" t="s">
        <v>63</v>
      </c>
      <c r="D54" s="82" t="s">
        <v>478</v>
      </c>
      <c r="E54" s="80" t="s">
        <v>235</v>
      </c>
      <c r="F54" s="66">
        <f t="shared" si="154"/>
        <v>0</v>
      </c>
      <c r="G54" s="66">
        <f t="shared" si="155"/>
        <v>0</v>
      </c>
      <c r="H54" s="66">
        <f t="shared" si="156"/>
        <v>0</v>
      </c>
      <c r="I54" s="66">
        <f t="shared" si="157"/>
        <v>0</v>
      </c>
      <c r="J54" s="89">
        <v>0.25</v>
      </c>
      <c r="K54" s="74"/>
      <c r="L54" s="74"/>
      <c r="M54" s="72"/>
      <c r="N54" s="74"/>
      <c r="O54" s="74"/>
      <c r="P54" s="72"/>
      <c r="Q54" s="74"/>
      <c r="R54" s="74"/>
      <c r="S54" s="74"/>
      <c r="T54" s="74"/>
      <c r="U54" s="74"/>
      <c r="V54" s="72"/>
      <c r="X54" s="184" t="str">
        <f t="shared" ca="1" si="9"/>
        <v/>
      </c>
      <c r="Y54" s="184" t="str">
        <f t="shared" ca="1" si="10"/>
        <v/>
      </c>
      <c r="Z54" s="184" t="str">
        <f t="shared" ca="1" si="11"/>
        <v/>
      </c>
      <c r="AA54" s="185" t="str">
        <f t="shared" ca="1" si="12"/>
        <v/>
      </c>
    </row>
    <row r="55" spans="1:27" s="64" customFormat="1" ht="11.5" x14ac:dyDescent="0.25">
      <c r="A55" s="70" t="s">
        <v>61</v>
      </c>
      <c r="B55" s="70" t="s">
        <v>58</v>
      </c>
      <c r="C55" s="65" t="s">
        <v>63</v>
      </c>
      <c r="D55" s="82" t="s">
        <v>479</v>
      </c>
      <c r="E55" s="80" t="s">
        <v>225</v>
      </c>
      <c r="F55" s="66">
        <f t="shared" si="154"/>
        <v>0</v>
      </c>
      <c r="G55" s="66">
        <f t="shared" si="155"/>
        <v>0</v>
      </c>
      <c r="H55" s="66">
        <f t="shared" si="156"/>
        <v>0</v>
      </c>
      <c r="I55" s="66">
        <f t="shared" si="157"/>
        <v>0</v>
      </c>
      <c r="J55" s="67">
        <v>0.25</v>
      </c>
      <c r="K55" s="74"/>
      <c r="L55" s="74"/>
      <c r="M55" s="72"/>
      <c r="N55" s="74"/>
      <c r="O55" s="74"/>
      <c r="P55" s="72"/>
      <c r="Q55" s="74"/>
      <c r="R55" s="74"/>
      <c r="S55" s="74"/>
      <c r="T55" s="74"/>
      <c r="U55" s="74"/>
      <c r="V55" s="72"/>
      <c r="X55" s="184" t="str">
        <f t="shared" ca="1" si="9"/>
        <v/>
      </c>
      <c r="Y55" s="184" t="str">
        <f t="shared" ca="1" si="10"/>
        <v/>
      </c>
      <c r="Z55" s="184" t="str">
        <f t="shared" ca="1" si="11"/>
        <v/>
      </c>
      <c r="AA55" s="185" t="str">
        <f t="shared" ca="1" si="12"/>
        <v/>
      </c>
    </row>
    <row r="56" spans="1:27" s="64" customFormat="1" ht="11.5" x14ac:dyDescent="0.25">
      <c r="A56" s="70" t="s">
        <v>61</v>
      </c>
      <c r="B56" s="70" t="s">
        <v>58</v>
      </c>
      <c r="C56" s="65" t="s">
        <v>63</v>
      </c>
      <c r="D56" s="82" t="s">
        <v>480</v>
      </c>
      <c r="E56" s="80" t="s">
        <v>237</v>
      </c>
      <c r="F56" s="66">
        <f t="shared" si="154"/>
        <v>0</v>
      </c>
      <c r="G56" s="66">
        <f t="shared" si="155"/>
        <v>0</v>
      </c>
      <c r="H56" s="66">
        <f t="shared" si="156"/>
        <v>0</v>
      </c>
      <c r="I56" s="66">
        <f t="shared" si="157"/>
        <v>0</v>
      </c>
      <c r="J56" s="89">
        <v>0.25</v>
      </c>
      <c r="K56" s="74"/>
      <c r="L56" s="74"/>
      <c r="M56" s="72"/>
      <c r="N56" s="74"/>
      <c r="O56" s="74"/>
      <c r="P56" s="72"/>
      <c r="Q56" s="74"/>
      <c r="R56" s="74"/>
      <c r="S56" s="74"/>
      <c r="T56" s="74"/>
      <c r="U56" s="74"/>
      <c r="V56" s="72"/>
      <c r="X56" s="184" t="str">
        <f t="shared" ca="1" si="9"/>
        <v/>
      </c>
      <c r="Y56" s="184" t="str">
        <f t="shared" ca="1" si="10"/>
        <v/>
      </c>
      <c r="Z56" s="184" t="str">
        <f t="shared" ca="1" si="11"/>
        <v/>
      </c>
      <c r="AA56" s="185" t="str">
        <f t="shared" ca="1" si="12"/>
        <v/>
      </c>
    </row>
    <row r="57" spans="1:27" s="64" customFormat="1" ht="11.5" x14ac:dyDescent="0.25">
      <c r="A57" s="70" t="s">
        <v>61</v>
      </c>
      <c r="B57" s="70" t="s">
        <v>58</v>
      </c>
      <c r="C57" s="65" t="s">
        <v>63</v>
      </c>
      <c r="D57" s="82" t="s">
        <v>481</v>
      </c>
      <c r="E57" s="80" t="s">
        <v>226</v>
      </c>
      <c r="F57" s="66">
        <f t="shared" si="154"/>
        <v>0</v>
      </c>
      <c r="G57" s="66">
        <f t="shared" si="155"/>
        <v>0</v>
      </c>
      <c r="H57" s="66">
        <f t="shared" si="156"/>
        <v>0</v>
      </c>
      <c r="I57" s="66">
        <f t="shared" si="157"/>
        <v>0</v>
      </c>
      <c r="J57" s="67">
        <v>0.25</v>
      </c>
      <c r="K57" s="74"/>
      <c r="L57" s="74"/>
      <c r="M57" s="72"/>
      <c r="N57" s="74"/>
      <c r="O57" s="74"/>
      <c r="P57" s="72"/>
      <c r="Q57" s="74"/>
      <c r="R57" s="74"/>
      <c r="S57" s="74"/>
      <c r="T57" s="74"/>
      <c r="U57" s="74"/>
      <c r="V57" s="72"/>
      <c r="X57" s="184" t="str">
        <f t="shared" ca="1" si="9"/>
        <v/>
      </c>
      <c r="Y57" s="184" t="str">
        <f t="shared" ca="1" si="10"/>
        <v/>
      </c>
      <c r="Z57" s="184" t="str">
        <f t="shared" ca="1" si="11"/>
        <v/>
      </c>
      <c r="AA57" s="185" t="str">
        <f t="shared" ca="1" si="12"/>
        <v/>
      </c>
    </row>
    <row r="58" spans="1:27" s="64" customFormat="1" ht="11.5" x14ac:dyDescent="0.25">
      <c r="A58" s="70" t="s">
        <v>61</v>
      </c>
      <c r="B58" s="70" t="s">
        <v>58</v>
      </c>
      <c r="C58" s="65" t="s">
        <v>63</v>
      </c>
      <c r="D58" s="82" t="s">
        <v>482</v>
      </c>
      <c r="E58" s="80" t="s">
        <v>238</v>
      </c>
      <c r="F58" s="66">
        <f t="shared" si="154"/>
        <v>0</v>
      </c>
      <c r="G58" s="66">
        <f t="shared" si="155"/>
        <v>0</v>
      </c>
      <c r="H58" s="66">
        <f t="shared" si="156"/>
        <v>0</v>
      </c>
      <c r="I58" s="66">
        <f t="shared" si="157"/>
        <v>0</v>
      </c>
      <c r="J58" s="89">
        <v>0.25</v>
      </c>
      <c r="K58" s="74"/>
      <c r="L58" s="74"/>
      <c r="M58" s="72"/>
      <c r="N58" s="74"/>
      <c r="O58" s="74"/>
      <c r="P58" s="72"/>
      <c r="Q58" s="74"/>
      <c r="R58" s="74"/>
      <c r="S58" s="74"/>
      <c r="T58" s="74"/>
      <c r="U58" s="74"/>
      <c r="V58" s="72"/>
      <c r="X58" s="184" t="str">
        <f t="shared" ca="1" si="9"/>
        <v/>
      </c>
      <c r="Y58" s="184" t="str">
        <f t="shared" ca="1" si="10"/>
        <v/>
      </c>
      <c r="Z58" s="184" t="str">
        <f t="shared" ca="1" si="11"/>
        <v/>
      </c>
      <c r="AA58" s="185" t="str">
        <f t="shared" ca="1" si="12"/>
        <v/>
      </c>
    </row>
    <row r="59" spans="1:27" s="64" customFormat="1" ht="11.5" x14ac:dyDescent="0.25">
      <c r="A59" s="70" t="s">
        <v>61</v>
      </c>
      <c r="B59" s="70" t="s">
        <v>58</v>
      </c>
      <c r="C59" s="65" t="s">
        <v>63</v>
      </c>
      <c r="D59" s="82" t="s">
        <v>483</v>
      </c>
      <c r="E59" s="80" t="s">
        <v>227</v>
      </c>
      <c r="F59" s="66">
        <f t="shared" si="154"/>
        <v>0</v>
      </c>
      <c r="G59" s="66">
        <f t="shared" si="155"/>
        <v>0</v>
      </c>
      <c r="H59" s="66">
        <f t="shared" si="156"/>
        <v>0</v>
      </c>
      <c r="I59" s="66">
        <f t="shared" si="157"/>
        <v>0</v>
      </c>
      <c r="J59" s="67">
        <v>0.25</v>
      </c>
      <c r="K59" s="74"/>
      <c r="L59" s="74"/>
      <c r="M59" s="72"/>
      <c r="N59" s="74"/>
      <c r="O59" s="74"/>
      <c r="P59" s="72"/>
      <c r="Q59" s="74"/>
      <c r="R59" s="74"/>
      <c r="S59" s="74"/>
      <c r="T59" s="74"/>
      <c r="U59" s="74"/>
      <c r="V59" s="72"/>
      <c r="X59" s="184" t="str">
        <f t="shared" ca="1" si="9"/>
        <v/>
      </c>
      <c r="Y59" s="184" t="str">
        <f t="shared" ca="1" si="10"/>
        <v/>
      </c>
      <c r="Z59" s="184" t="str">
        <f t="shared" ca="1" si="11"/>
        <v/>
      </c>
      <c r="AA59" s="185" t="str">
        <f t="shared" ca="1" si="12"/>
        <v/>
      </c>
    </row>
    <row r="60" spans="1:27" s="64" customFormat="1" ht="11.5" x14ac:dyDescent="0.25">
      <c r="A60" s="70" t="s">
        <v>61</v>
      </c>
      <c r="B60" s="70" t="s">
        <v>58</v>
      </c>
      <c r="C60" s="65" t="s">
        <v>63</v>
      </c>
      <c r="D60" s="82" t="s">
        <v>484</v>
      </c>
      <c r="E60" s="80" t="s">
        <v>228</v>
      </c>
      <c r="F60" s="66">
        <f t="shared" si="154"/>
        <v>0</v>
      </c>
      <c r="G60" s="66">
        <f t="shared" si="155"/>
        <v>0</v>
      </c>
      <c r="H60" s="66">
        <f t="shared" si="156"/>
        <v>0</v>
      </c>
      <c r="I60" s="66">
        <f t="shared" si="157"/>
        <v>0</v>
      </c>
      <c r="J60" s="89">
        <v>0.25</v>
      </c>
      <c r="K60" s="74"/>
      <c r="L60" s="74"/>
      <c r="M60" s="72"/>
      <c r="N60" s="74"/>
      <c r="O60" s="74"/>
      <c r="P60" s="72"/>
      <c r="Q60" s="74"/>
      <c r="R60" s="74"/>
      <c r="S60" s="74"/>
      <c r="T60" s="74"/>
      <c r="U60" s="74"/>
      <c r="V60" s="72"/>
      <c r="X60" s="184" t="str">
        <f t="shared" ca="1" si="9"/>
        <v/>
      </c>
      <c r="Y60" s="184" t="str">
        <f t="shared" ca="1" si="10"/>
        <v/>
      </c>
      <c r="Z60" s="184" t="str">
        <f t="shared" ca="1" si="11"/>
        <v/>
      </c>
      <c r="AA60" s="185" t="str">
        <f t="shared" ca="1" si="12"/>
        <v/>
      </c>
    </row>
    <row r="61" spans="1:27" s="64" customFormat="1" ht="11.5" x14ac:dyDescent="0.25">
      <c r="A61" s="70" t="s">
        <v>61</v>
      </c>
      <c r="B61" s="70" t="s">
        <v>58</v>
      </c>
      <c r="C61" s="65" t="s">
        <v>63</v>
      </c>
      <c r="D61" s="82" t="s">
        <v>485</v>
      </c>
      <c r="E61" s="80" t="s">
        <v>229</v>
      </c>
      <c r="F61" s="66">
        <f t="shared" si="154"/>
        <v>0</v>
      </c>
      <c r="G61" s="66">
        <f t="shared" si="155"/>
        <v>0</v>
      </c>
      <c r="H61" s="66">
        <f t="shared" si="156"/>
        <v>0</v>
      </c>
      <c r="I61" s="66">
        <f t="shared" si="157"/>
        <v>0</v>
      </c>
      <c r="J61" s="67">
        <v>0.25</v>
      </c>
      <c r="K61" s="74"/>
      <c r="L61" s="74"/>
      <c r="M61" s="72"/>
      <c r="N61" s="74"/>
      <c r="O61" s="74"/>
      <c r="P61" s="72"/>
      <c r="Q61" s="74"/>
      <c r="R61" s="74"/>
      <c r="S61" s="74"/>
      <c r="T61" s="74"/>
      <c r="U61" s="74"/>
      <c r="V61" s="72"/>
      <c r="X61" s="184" t="str">
        <f t="shared" ca="1" si="9"/>
        <v/>
      </c>
      <c r="Y61" s="184" t="str">
        <f t="shared" ca="1" si="10"/>
        <v/>
      </c>
      <c r="Z61" s="184" t="str">
        <f t="shared" ca="1" si="11"/>
        <v/>
      </c>
      <c r="AA61" s="185" t="str">
        <f t="shared" ca="1" si="12"/>
        <v/>
      </c>
    </row>
    <row r="62" spans="1:27" s="64" customFormat="1" ht="11.5" x14ac:dyDescent="0.25">
      <c r="A62" s="70" t="s">
        <v>61</v>
      </c>
      <c r="B62" s="70" t="s">
        <v>58</v>
      </c>
      <c r="C62" s="65" t="s">
        <v>63</v>
      </c>
      <c r="D62" s="82" t="s">
        <v>486</v>
      </c>
      <c r="E62" s="80" t="s">
        <v>239</v>
      </c>
      <c r="F62" s="66">
        <f t="shared" si="154"/>
        <v>0</v>
      </c>
      <c r="G62" s="66">
        <f t="shared" si="155"/>
        <v>0</v>
      </c>
      <c r="H62" s="66">
        <f t="shared" si="156"/>
        <v>0</v>
      </c>
      <c r="I62" s="66">
        <f t="shared" si="157"/>
        <v>0</v>
      </c>
      <c r="J62" s="89">
        <v>0.25</v>
      </c>
      <c r="K62" s="74"/>
      <c r="L62" s="74"/>
      <c r="M62" s="72"/>
      <c r="N62" s="74"/>
      <c r="O62" s="74"/>
      <c r="P62" s="72"/>
      <c r="Q62" s="74"/>
      <c r="R62" s="74"/>
      <c r="S62" s="74"/>
      <c r="T62" s="74"/>
      <c r="U62" s="74"/>
      <c r="V62" s="72"/>
      <c r="X62" s="184" t="str">
        <f t="shared" ca="1" si="9"/>
        <v/>
      </c>
      <c r="Y62" s="184" t="str">
        <f t="shared" ca="1" si="10"/>
        <v/>
      </c>
      <c r="Z62" s="184" t="str">
        <f t="shared" ca="1" si="11"/>
        <v/>
      </c>
      <c r="AA62" s="185" t="str">
        <f t="shared" ca="1" si="12"/>
        <v/>
      </c>
    </row>
    <row r="63" spans="1:27" s="64" customFormat="1" ht="11.5" x14ac:dyDescent="0.25">
      <c r="A63" s="70" t="s">
        <v>61</v>
      </c>
      <c r="B63" s="70" t="s">
        <v>58</v>
      </c>
      <c r="C63" s="65" t="s">
        <v>63</v>
      </c>
      <c r="D63" s="82" t="s">
        <v>487</v>
      </c>
      <c r="E63" s="80" t="s">
        <v>230</v>
      </c>
      <c r="F63" s="66">
        <f t="shared" si="154"/>
        <v>0</v>
      </c>
      <c r="G63" s="66">
        <f t="shared" si="155"/>
        <v>0</v>
      </c>
      <c r="H63" s="66">
        <f t="shared" si="156"/>
        <v>0</v>
      </c>
      <c r="I63" s="66">
        <f t="shared" si="157"/>
        <v>0</v>
      </c>
      <c r="J63" s="67">
        <v>0.25</v>
      </c>
      <c r="K63" s="74"/>
      <c r="L63" s="74"/>
      <c r="M63" s="72"/>
      <c r="N63" s="74"/>
      <c r="O63" s="74"/>
      <c r="P63" s="72"/>
      <c r="Q63" s="74"/>
      <c r="R63" s="74"/>
      <c r="S63" s="74"/>
      <c r="T63" s="74"/>
      <c r="U63" s="74"/>
      <c r="V63" s="72"/>
      <c r="X63" s="184" t="str">
        <f t="shared" ca="1" si="9"/>
        <v/>
      </c>
      <c r="Y63" s="184" t="str">
        <f t="shared" ca="1" si="10"/>
        <v/>
      </c>
      <c r="Z63" s="184" t="str">
        <f t="shared" ca="1" si="11"/>
        <v/>
      </c>
      <c r="AA63" s="185" t="str">
        <f t="shared" ca="1" si="12"/>
        <v/>
      </c>
    </row>
    <row r="64" spans="1:27" s="64" customFormat="1" ht="11.5" x14ac:dyDescent="0.25">
      <c r="A64" s="70" t="s">
        <v>61</v>
      </c>
      <c r="B64" s="70" t="s">
        <v>58</v>
      </c>
      <c r="C64" s="65" t="s">
        <v>63</v>
      </c>
      <c r="D64" s="82" t="s">
        <v>488</v>
      </c>
      <c r="E64" s="80" t="s">
        <v>231</v>
      </c>
      <c r="F64" s="66">
        <f t="shared" si="154"/>
        <v>0</v>
      </c>
      <c r="G64" s="66">
        <f t="shared" si="155"/>
        <v>0</v>
      </c>
      <c r="H64" s="66">
        <f t="shared" si="156"/>
        <v>0</v>
      </c>
      <c r="I64" s="66">
        <f t="shared" si="157"/>
        <v>0</v>
      </c>
      <c r="J64" s="89">
        <v>0.25</v>
      </c>
      <c r="K64" s="74"/>
      <c r="L64" s="74"/>
      <c r="M64" s="72"/>
      <c r="N64" s="74"/>
      <c r="O64" s="74"/>
      <c r="P64" s="72"/>
      <c r="Q64" s="74"/>
      <c r="R64" s="74"/>
      <c r="S64" s="74"/>
      <c r="T64" s="74"/>
      <c r="U64" s="74"/>
      <c r="V64" s="72"/>
      <c r="X64" s="184" t="str">
        <f t="shared" ca="1" si="9"/>
        <v/>
      </c>
      <c r="Y64" s="184" t="str">
        <f t="shared" ca="1" si="10"/>
        <v/>
      </c>
      <c r="Z64" s="184" t="str">
        <f t="shared" ca="1" si="11"/>
        <v/>
      </c>
      <c r="AA64" s="185" t="str">
        <f t="shared" ca="1" si="12"/>
        <v/>
      </c>
    </row>
    <row r="65" spans="1:27" s="64" customFormat="1" ht="11.5" x14ac:dyDescent="0.25">
      <c r="A65" s="70" t="s">
        <v>61</v>
      </c>
      <c r="B65" s="70" t="s">
        <v>58</v>
      </c>
      <c r="C65" s="65" t="s">
        <v>63</v>
      </c>
      <c r="D65" s="82" t="s">
        <v>489</v>
      </c>
      <c r="E65" s="80" t="s">
        <v>232</v>
      </c>
      <c r="F65" s="66">
        <f t="shared" si="154"/>
        <v>0</v>
      </c>
      <c r="G65" s="66">
        <f t="shared" si="155"/>
        <v>0</v>
      </c>
      <c r="H65" s="66">
        <f t="shared" si="156"/>
        <v>0</v>
      </c>
      <c r="I65" s="66">
        <f t="shared" si="157"/>
        <v>0</v>
      </c>
      <c r="J65" s="67">
        <v>0.25</v>
      </c>
      <c r="K65" s="74"/>
      <c r="L65" s="74"/>
      <c r="M65" s="72"/>
      <c r="N65" s="74"/>
      <c r="O65" s="74"/>
      <c r="P65" s="72"/>
      <c r="Q65" s="74"/>
      <c r="R65" s="74"/>
      <c r="S65" s="74"/>
      <c r="T65" s="74"/>
      <c r="U65" s="74"/>
      <c r="V65" s="72"/>
      <c r="X65" s="184" t="str">
        <f t="shared" ca="1" si="9"/>
        <v/>
      </c>
      <c r="Y65" s="184" t="str">
        <f t="shared" ca="1" si="10"/>
        <v/>
      </c>
      <c r="Z65" s="184" t="str">
        <f t="shared" ca="1" si="11"/>
        <v/>
      </c>
      <c r="AA65" s="185" t="str">
        <f t="shared" ca="1" si="12"/>
        <v/>
      </c>
    </row>
    <row r="66" spans="1:27" s="64" customFormat="1" ht="11.5" x14ac:dyDescent="0.25">
      <c r="A66" s="70" t="s">
        <v>61</v>
      </c>
      <c r="B66" s="70" t="s">
        <v>58</v>
      </c>
      <c r="C66" s="65" t="s">
        <v>63</v>
      </c>
      <c r="D66" s="82" t="s">
        <v>490</v>
      </c>
      <c r="E66" s="80" t="s">
        <v>236</v>
      </c>
      <c r="F66" s="66">
        <f t="shared" si="154"/>
        <v>0</v>
      </c>
      <c r="G66" s="66">
        <f t="shared" si="155"/>
        <v>0</v>
      </c>
      <c r="H66" s="66">
        <f t="shared" si="156"/>
        <v>0</v>
      </c>
      <c r="I66" s="66">
        <f t="shared" si="157"/>
        <v>0</v>
      </c>
      <c r="J66" s="89">
        <v>0.25</v>
      </c>
      <c r="K66" s="74"/>
      <c r="L66" s="74"/>
      <c r="M66" s="72"/>
      <c r="N66" s="74"/>
      <c r="O66" s="74"/>
      <c r="P66" s="72"/>
      <c r="Q66" s="74"/>
      <c r="R66" s="74"/>
      <c r="S66" s="74"/>
      <c r="T66" s="74"/>
      <c r="U66" s="74"/>
      <c r="V66" s="72"/>
      <c r="X66" s="184" t="str">
        <f t="shared" ca="1" si="9"/>
        <v/>
      </c>
      <c r="Y66" s="184" t="str">
        <f t="shared" ca="1" si="10"/>
        <v/>
      </c>
      <c r="Z66" s="184" t="str">
        <f t="shared" ca="1" si="11"/>
        <v/>
      </c>
      <c r="AA66" s="185" t="str">
        <f t="shared" ca="1" si="12"/>
        <v/>
      </c>
    </row>
    <row r="67" spans="1:27" s="64" customFormat="1" ht="11.5" x14ac:dyDescent="0.25">
      <c r="A67" s="70" t="s">
        <v>61</v>
      </c>
      <c r="B67" s="70" t="s">
        <v>58</v>
      </c>
      <c r="C67" s="65" t="s">
        <v>63</v>
      </c>
      <c r="D67" s="82" t="s">
        <v>491</v>
      </c>
      <c r="E67" s="80" t="s">
        <v>233</v>
      </c>
      <c r="F67" s="66">
        <f t="shared" si="154"/>
        <v>0</v>
      </c>
      <c r="G67" s="66">
        <f t="shared" si="155"/>
        <v>0</v>
      </c>
      <c r="H67" s="66">
        <f t="shared" si="156"/>
        <v>0</v>
      </c>
      <c r="I67" s="66">
        <f t="shared" si="157"/>
        <v>0</v>
      </c>
      <c r="J67" s="67">
        <v>0.25</v>
      </c>
      <c r="K67" s="74"/>
      <c r="L67" s="74"/>
      <c r="M67" s="72"/>
      <c r="N67" s="74"/>
      <c r="O67" s="74"/>
      <c r="P67" s="72"/>
      <c r="Q67" s="74"/>
      <c r="R67" s="74"/>
      <c r="S67" s="74"/>
      <c r="T67" s="74"/>
      <c r="U67" s="74"/>
      <c r="V67" s="72"/>
      <c r="X67" s="184" t="str">
        <f t="shared" ca="1" si="9"/>
        <v/>
      </c>
      <c r="Y67" s="184" t="str">
        <f t="shared" ca="1" si="10"/>
        <v/>
      </c>
      <c r="Z67" s="184" t="str">
        <f t="shared" ca="1" si="11"/>
        <v/>
      </c>
      <c r="AA67" s="185" t="str">
        <f t="shared" ca="1" si="12"/>
        <v/>
      </c>
    </row>
    <row r="68" spans="1:27" s="64" customFormat="1" ht="11.5" x14ac:dyDescent="0.25">
      <c r="A68" s="70" t="s">
        <v>61</v>
      </c>
      <c r="B68" s="70" t="s">
        <v>58</v>
      </c>
      <c r="C68" s="65" t="s">
        <v>63</v>
      </c>
      <c r="D68" s="82" t="s">
        <v>492</v>
      </c>
      <c r="E68" s="80" t="s">
        <v>234</v>
      </c>
      <c r="F68" s="66">
        <f t="shared" si="154"/>
        <v>0</v>
      </c>
      <c r="G68" s="66">
        <f t="shared" si="155"/>
        <v>0</v>
      </c>
      <c r="H68" s="66">
        <f t="shared" si="156"/>
        <v>0</v>
      </c>
      <c r="I68" s="66">
        <f t="shared" si="157"/>
        <v>0</v>
      </c>
      <c r="J68" s="89">
        <v>0.25</v>
      </c>
      <c r="K68" s="74"/>
      <c r="L68" s="74"/>
      <c r="M68" s="72"/>
      <c r="N68" s="74"/>
      <c r="O68" s="74"/>
      <c r="P68" s="72"/>
      <c r="Q68" s="74"/>
      <c r="R68" s="74"/>
      <c r="S68" s="74"/>
      <c r="T68" s="74"/>
      <c r="U68" s="74"/>
      <c r="V68" s="72"/>
      <c r="X68" s="184" t="str">
        <f t="shared" ca="1" si="9"/>
        <v/>
      </c>
      <c r="Y68" s="184" t="str">
        <f t="shared" ca="1" si="10"/>
        <v/>
      </c>
      <c r="Z68" s="184" t="str">
        <f t="shared" ca="1" si="11"/>
        <v/>
      </c>
      <c r="AA68" s="185" t="str">
        <f t="shared" ca="1" si="12"/>
        <v/>
      </c>
    </row>
    <row r="69" spans="1:27" s="64" customFormat="1" ht="11.5" x14ac:dyDescent="0.25">
      <c r="A69" s="117"/>
      <c r="B69" s="117"/>
      <c r="C69" s="117"/>
      <c r="D69" s="118"/>
      <c r="E69" s="119"/>
      <c r="F69" s="120"/>
      <c r="G69" s="120"/>
      <c r="H69" s="120"/>
      <c r="I69" s="120"/>
      <c r="J69" s="121"/>
      <c r="K69" s="122"/>
      <c r="L69" s="122"/>
      <c r="M69" s="123"/>
      <c r="N69" s="122"/>
      <c r="O69" s="122"/>
      <c r="P69" s="123"/>
      <c r="Q69" s="122"/>
      <c r="R69" s="122"/>
      <c r="S69" s="123"/>
      <c r="T69" s="122"/>
      <c r="U69" s="122"/>
      <c r="V69" s="123"/>
      <c r="X69" s="184" t="str">
        <f t="shared" ca="1" si="9"/>
        <v/>
      </c>
      <c r="Y69" s="184" t="str">
        <f t="shared" ca="1" si="10"/>
        <v/>
      </c>
      <c r="Z69" s="184" t="str">
        <f t="shared" ca="1" si="11"/>
        <v/>
      </c>
      <c r="AA69" s="185" t="str">
        <f t="shared" ca="1" si="12"/>
        <v/>
      </c>
    </row>
    <row r="70" spans="1:27" s="64" customFormat="1" ht="11.5" x14ac:dyDescent="0.25">
      <c r="A70" s="70" t="s">
        <v>61</v>
      </c>
      <c r="B70" s="70" t="s">
        <v>62</v>
      </c>
      <c r="C70" s="65" t="s">
        <v>94</v>
      </c>
      <c r="D70" s="82" t="s">
        <v>273</v>
      </c>
      <c r="E70" s="65" t="s">
        <v>95</v>
      </c>
      <c r="F70" s="66">
        <f t="shared" ref="F70:H72" si="158">(COUNTIFS(K70,"&lt;="&amp;$D$1)*50%)+(COUNTIFS(N70,"&lt;="&amp;$D$1)*20%)+(COUNTIFS(Q70,"&lt;="&amp;$D$1)*10%)+(COUNTIFS(T70,"&lt;="&amp;$D$1)*20%)</f>
        <v>0.79999999999999993</v>
      </c>
      <c r="G70" s="66">
        <f t="shared" si="158"/>
        <v>0.79999999999999993</v>
      </c>
      <c r="H70" s="66">
        <f t="shared" si="158"/>
        <v>1</v>
      </c>
      <c r="I70" s="66">
        <f t="shared" si="1"/>
        <v>0.20000000000000007</v>
      </c>
      <c r="J70" s="81">
        <v>0.05</v>
      </c>
      <c r="K70" s="68">
        <v>46157</v>
      </c>
      <c r="L70" s="68">
        <f t="shared" si="2"/>
        <v>46157</v>
      </c>
      <c r="M70" s="72">
        <v>46135</v>
      </c>
      <c r="N70" s="72">
        <f t="shared" si="3"/>
        <v>46199</v>
      </c>
      <c r="O70" s="68">
        <f t="shared" si="4"/>
        <v>46199</v>
      </c>
      <c r="P70" s="72">
        <v>46185</v>
      </c>
      <c r="Q70" s="72">
        <f t="shared" si="5"/>
        <v>46241</v>
      </c>
      <c r="R70" s="72">
        <f t="shared" si="6"/>
        <v>46241</v>
      </c>
      <c r="S70" s="72">
        <v>46185</v>
      </c>
      <c r="T70" s="72">
        <f t="shared" si="7"/>
        <v>46255</v>
      </c>
      <c r="U70" s="72">
        <f t="shared" si="8"/>
        <v>46255</v>
      </c>
      <c r="V70" s="72">
        <v>46192</v>
      </c>
      <c r="X70" s="184" t="str">
        <f t="shared" ca="1" si="9"/>
        <v>Completed</v>
      </c>
      <c r="Y70" s="184" t="str">
        <f t="shared" ca="1" si="10"/>
        <v>Completed</v>
      </c>
      <c r="Z70" s="184" t="str">
        <f t="shared" ca="1" si="11"/>
        <v>Completed</v>
      </c>
      <c r="AA70" s="185" t="str">
        <f t="shared" ca="1" si="12"/>
        <v>Completed</v>
      </c>
    </row>
    <row r="71" spans="1:27" s="64" customFormat="1" ht="11.5" x14ac:dyDescent="0.25">
      <c r="A71" s="70" t="s">
        <v>61</v>
      </c>
      <c r="B71" s="70" t="s">
        <v>62</v>
      </c>
      <c r="C71" s="65" t="s">
        <v>94</v>
      </c>
      <c r="D71" s="82" t="s">
        <v>274</v>
      </c>
      <c r="E71" s="65" t="s">
        <v>96</v>
      </c>
      <c r="F71" s="66">
        <f t="shared" si="158"/>
        <v>0.79999999999999993</v>
      </c>
      <c r="G71" s="66">
        <f t="shared" si="158"/>
        <v>0.79999999999999993</v>
      </c>
      <c r="H71" s="66">
        <f t="shared" si="158"/>
        <v>1</v>
      </c>
      <c r="I71" s="66">
        <f t="shared" si="1"/>
        <v>0.20000000000000007</v>
      </c>
      <c r="J71" s="81">
        <v>0.05</v>
      </c>
      <c r="K71" s="68">
        <v>46157</v>
      </c>
      <c r="L71" s="72">
        <f t="shared" si="2"/>
        <v>46157</v>
      </c>
      <c r="M71" s="72">
        <v>46135</v>
      </c>
      <c r="N71" s="72">
        <f t="shared" si="3"/>
        <v>46199</v>
      </c>
      <c r="O71" s="72">
        <f t="shared" si="4"/>
        <v>46199</v>
      </c>
      <c r="P71" s="72">
        <v>46185</v>
      </c>
      <c r="Q71" s="72">
        <f t="shared" si="5"/>
        <v>46241</v>
      </c>
      <c r="R71" s="72">
        <f t="shared" si="6"/>
        <v>46241</v>
      </c>
      <c r="S71" s="72">
        <v>46185</v>
      </c>
      <c r="T71" s="72">
        <f t="shared" si="7"/>
        <v>46255</v>
      </c>
      <c r="U71" s="72">
        <f t="shared" si="8"/>
        <v>46255</v>
      </c>
      <c r="V71" s="72">
        <v>46192</v>
      </c>
      <c r="X71" s="184" t="str">
        <f t="shared" ca="1" si="9"/>
        <v>Completed</v>
      </c>
      <c r="Y71" s="184" t="str">
        <f t="shared" ca="1" si="10"/>
        <v>Completed</v>
      </c>
      <c r="Z71" s="184" t="str">
        <f t="shared" ca="1" si="11"/>
        <v>Completed</v>
      </c>
      <c r="AA71" s="185" t="str">
        <f t="shared" ca="1" si="12"/>
        <v>Completed</v>
      </c>
    </row>
    <row r="72" spans="1:27" s="64" customFormat="1" ht="11.5" x14ac:dyDescent="0.25">
      <c r="A72" s="70" t="s">
        <v>61</v>
      </c>
      <c r="B72" s="70" t="s">
        <v>62</v>
      </c>
      <c r="C72" s="65" t="s">
        <v>94</v>
      </c>
      <c r="D72" s="73" t="s">
        <v>275</v>
      </c>
      <c r="E72" s="65" t="s">
        <v>97</v>
      </c>
      <c r="F72" s="66">
        <f t="shared" si="158"/>
        <v>0.79999999999999993</v>
      </c>
      <c r="G72" s="66">
        <f t="shared" si="158"/>
        <v>0.79999999999999993</v>
      </c>
      <c r="H72" s="66">
        <f t="shared" si="158"/>
        <v>1</v>
      </c>
      <c r="I72" s="66">
        <f t="shared" si="1"/>
        <v>0.20000000000000007</v>
      </c>
      <c r="J72" s="81">
        <v>0.1</v>
      </c>
      <c r="K72" s="68">
        <v>46157</v>
      </c>
      <c r="L72" s="72">
        <f t="shared" si="2"/>
        <v>46157</v>
      </c>
      <c r="M72" s="72">
        <v>46135</v>
      </c>
      <c r="N72" s="72">
        <f t="shared" si="3"/>
        <v>46199</v>
      </c>
      <c r="O72" s="72">
        <f t="shared" si="4"/>
        <v>46199</v>
      </c>
      <c r="P72" s="72">
        <v>46185</v>
      </c>
      <c r="Q72" s="72">
        <f t="shared" si="5"/>
        <v>46241</v>
      </c>
      <c r="R72" s="72">
        <f t="shared" si="6"/>
        <v>46241</v>
      </c>
      <c r="S72" s="72">
        <v>46185</v>
      </c>
      <c r="T72" s="72">
        <f t="shared" si="7"/>
        <v>46255</v>
      </c>
      <c r="U72" s="72">
        <f t="shared" si="8"/>
        <v>46255</v>
      </c>
      <c r="V72" s="72">
        <v>46192</v>
      </c>
      <c r="X72" s="184" t="str">
        <f t="shared" ca="1" si="9"/>
        <v>Completed</v>
      </c>
      <c r="Y72" s="184" t="str">
        <f t="shared" ca="1" si="10"/>
        <v>Completed</v>
      </c>
      <c r="Z72" s="184" t="str">
        <f t="shared" ca="1" si="11"/>
        <v>Completed</v>
      </c>
      <c r="AA72" s="185" t="str">
        <f t="shared" ca="1" si="12"/>
        <v>Completed</v>
      </c>
    </row>
    <row r="73" spans="1:27" s="64" customFormat="1" ht="11.5" x14ac:dyDescent="0.25">
      <c r="A73" s="70" t="s">
        <v>61</v>
      </c>
      <c r="B73" s="70" t="s">
        <v>62</v>
      </c>
      <c r="C73" s="65" t="s">
        <v>94</v>
      </c>
      <c r="D73" s="73" t="s">
        <v>276</v>
      </c>
      <c r="E73" s="65" t="s">
        <v>98</v>
      </c>
      <c r="F73" s="66">
        <f t="shared" ref="F73:F85" si="159">(COUNTIFS(K73,"&lt;="&amp;$D$1)*50%)+(COUNTIFS(N73,"&lt;="&amp;$D$1)*20%)+(COUNTIFS(Q73,"&lt;="&amp;$D$1)*10%)+(COUNTIFS(T73,"&lt;="&amp;$D$1)*20%)</f>
        <v>0.79999999999999993</v>
      </c>
      <c r="G73" s="66">
        <f t="shared" ref="G73:G85" si="160">(COUNTIFS(L73,"&lt;="&amp;$D$1)*50%)+(COUNTIFS(O73,"&lt;="&amp;$D$1)*20%)+(COUNTIFS(R73,"&lt;="&amp;$D$1)*10%)+(COUNTIFS(U73,"&lt;="&amp;$D$1)*20%)</f>
        <v>0.79999999999999993</v>
      </c>
      <c r="H73" s="66">
        <f t="shared" ref="H73:H85" si="161">(COUNTIFS(M73,"&lt;="&amp;$D$1)*50%)+(COUNTIFS(P73,"&lt;="&amp;$D$1)*20%)+(COUNTIFS(S73,"&lt;="&amp;$D$1)*10%)+(COUNTIFS(V73,"&lt;="&amp;$D$1)*20%)</f>
        <v>0.79999999999999993</v>
      </c>
      <c r="I73" s="66">
        <f t="shared" ref="I73:I85" si="162">H73-F73</f>
        <v>0</v>
      </c>
      <c r="J73" s="81">
        <v>0.15</v>
      </c>
      <c r="K73" s="68">
        <v>46157</v>
      </c>
      <c r="L73" s="72">
        <f t="shared" si="2"/>
        <v>46157</v>
      </c>
      <c r="M73" s="72">
        <v>46135</v>
      </c>
      <c r="N73" s="72">
        <f t="shared" si="3"/>
        <v>46199</v>
      </c>
      <c r="O73" s="72">
        <f t="shared" si="4"/>
        <v>46199</v>
      </c>
      <c r="P73" s="72">
        <v>46191</v>
      </c>
      <c r="Q73" s="72">
        <f t="shared" si="5"/>
        <v>46241</v>
      </c>
      <c r="R73" s="72">
        <f t="shared" si="6"/>
        <v>46241</v>
      </c>
      <c r="S73" s="72">
        <v>46241</v>
      </c>
      <c r="T73" s="72">
        <f t="shared" si="7"/>
        <v>46255</v>
      </c>
      <c r="U73" s="72">
        <f t="shared" si="8"/>
        <v>46255</v>
      </c>
      <c r="V73" s="76"/>
      <c r="X73" s="184" t="str">
        <f t="shared" ca="1" si="9"/>
        <v>Completed</v>
      </c>
      <c r="Y73" s="184" t="str">
        <f t="shared" ca="1" si="10"/>
        <v>Completed</v>
      </c>
      <c r="Z73" s="184" t="str">
        <f t="shared" ca="1" si="11"/>
        <v>Completed</v>
      </c>
      <c r="AA73" s="185" t="str">
        <f t="shared" ca="1" si="12"/>
        <v>Follow-Next Week</v>
      </c>
    </row>
    <row r="74" spans="1:27" s="64" customFormat="1" ht="11.5" x14ac:dyDescent="0.25">
      <c r="A74" s="70" t="s">
        <v>61</v>
      </c>
      <c r="B74" s="70" t="s">
        <v>62</v>
      </c>
      <c r="C74" s="65" t="s">
        <v>94</v>
      </c>
      <c r="D74" s="82" t="s">
        <v>277</v>
      </c>
      <c r="E74" s="65" t="s">
        <v>99</v>
      </c>
      <c r="F74" s="66">
        <f t="shared" si="159"/>
        <v>0.79999999999999993</v>
      </c>
      <c r="G74" s="66">
        <f t="shared" si="160"/>
        <v>0.79999999999999993</v>
      </c>
      <c r="H74" s="66">
        <f t="shared" si="161"/>
        <v>1</v>
      </c>
      <c r="I74" s="66">
        <f t="shared" si="162"/>
        <v>0.20000000000000007</v>
      </c>
      <c r="J74" s="81">
        <v>0.15</v>
      </c>
      <c r="K74" s="68">
        <v>46157</v>
      </c>
      <c r="L74" s="72">
        <f t="shared" si="2"/>
        <v>46157</v>
      </c>
      <c r="M74" s="72">
        <v>46135</v>
      </c>
      <c r="N74" s="72">
        <f t="shared" si="3"/>
        <v>46199</v>
      </c>
      <c r="O74" s="72">
        <f t="shared" si="4"/>
        <v>46199</v>
      </c>
      <c r="P74" s="72">
        <v>46185</v>
      </c>
      <c r="Q74" s="72">
        <f t="shared" si="5"/>
        <v>46241</v>
      </c>
      <c r="R74" s="72">
        <f t="shared" si="6"/>
        <v>46241</v>
      </c>
      <c r="S74" s="72">
        <v>46185</v>
      </c>
      <c r="T74" s="72">
        <f t="shared" si="7"/>
        <v>46255</v>
      </c>
      <c r="U74" s="72">
        <f t="shared" si="8"/>
        <v>46255</v>
      </c>
      <c r="V74" s="72">
        <v>46192</v>
      </c>
      <c r="X74" s="184" t="str">
        <f t="shared" ref="X74:X137" ca="1" si="163">IF(OR(M74&lt;&gt;""),"Completed",
IF(L74="","",IF(L74&lt;TODAY(),"Overdue",
IF(AND(L74&gt;=TODAY()-WEEKDAY(TODAY(),2)+1,L74&lt;=TODAY()-WEEKDAY(TODAY(),2)+7),"Follow-This Week",
IF(AND(L74&gt;=TODAY()-WEEKDAY(TODAY(),2)+8,L74&lt;=TODAY()-WEEKDAY(TODAY(),2)+14),"Follow-Next Week","")))))</f>
        <v>Completed</v>
      </c>
      <c r="Y74" s="184" t="str">
        <f t="shared" ref="Y74:Y137" ca="1" si="164">IF(OR(P74&lt;&gt;""),"Completed",IF(O74="","",
IF(O74&lt;TODAY(),"Overdue",
IF(AND(O74&gt;=TODAY()-WEEKDAY(TODAY(),2)+1,O74&lt;=TODAY()-WEEKDAY(TODAY(),2)+7),"Follow-This Week",
IF(AND(O74&gt;=TODAY()-WEEKDAY(TODAY(),2)+8,O74&lt;=TODAY()-WEEKDAY(TODAY(),2)+14),"Follow-Next Week","")))))</f>
        <v>Completed</v>
      </c>
      <c r="Z74" s="184" t="str">
        <f t="shared" ref="Z74:Z137" ca="1" si="165">IF(OR(S74&lt;&gt;""),"Completed",IF(R74="","",
IF(R74&lt;TODAY(),"Overdue",
IF(AND(R74&gt;=TODAY()-WEEKDAY(TODAY(),2)+1,R74&lt;=TODAY()-WEEKDAY(TODAY(),2)+7),"Follow-This Week",
IF(AND(R74&gt;=TODAY()-WEEKDAY(TODAY(),2)+8,R74&lt;=TODAY()-WEEKDAY(TODAY(),2)+14),"Follow-Next Week","")))))</f>
        <v>Completed</v>
      </c>
      <c r="AA74" s="185" t="str">
        <f t="shared" ref="AA74:AA137" ca="1" si="166">IF(OR(V74&lt;&gt;""),"Completed",IF(U74="","",
IF(U74&lt;TODAY(),"Overdue",
IF(AND(U74&gt;=TODAY()-WEEKDAY(TODAY(),2)+1,U74&lt;=TODAY()-WEEKDAY(TODAY(),2)+7),"Follow-This Week",
IF(AND(U74&gt;=TODAY()-WEEKDAY(TODAY(),2)+8,U74&lt;=TODAY()-WEEKDAY(TODAY(),2)+14),"Follow-Next Week","")))))</f>
        <v>Completed</v>
      </c>
    </row>
    <row r="75" spans="1:27" s="64" customFormat="1" ht="11.5" x14ac:dyDescent="0.25">
      <c r="A75" s="70" t="s">
        <v>61</v>
      </c>
      <c r="B75" s="70" t="s">
        <v>62</v>
      </c>
      <c r="C75" s="65" t="s">
        <v>94</v>
      </c>
      <c r="D75" s="82" t="s">
        <v>278</v>
      </c>
      <c r="E75" s="65" t="s">
        <v>100</v>
      </c>
      <c r="F75" s="66">
        <f t="shared" si="159"/>
        <v>0.79999999999999993</v>
      </c>
      <c r="G75" s="66">
        <f t="shared" si="160"/>
        <v>0.79999999999999993</v>
      </c>
      <c r="H75" s="66">
        <f t="shared" si="161"/>
        <v>0.79999999999999993</v>
      </c>
      <c r="I75" s="66">
        <f t="shared" si="162"/>
        <v>0</v>
      </c>
      <c r="J75" s="81">
        <v>0.15</v>
      </c>
      <c r="K75" s="68">
        <v>46157</v>
      </c>
      <c r="L75" s="72">
        <f t="shared" si="2"/>
        <v>46157</v>
      </c>
      <c r="M75" s="72">
        <v>46135</v>
      </c>
      <c r="N75" s="72">
        <f t="shared" si="3"/>
        <v>46199</v>
      </c>
      <c r="O75" s="72">
        <f t="shared" si="4"/>
        <v>46199</v>
      </c>
      <c r="P75" s="72">
        <v>46191</v>
      </c>
      <c r="Q75" s="72">
        <f t="shared" si="5"/>
        <v>46241</v>
      </c>
      <c r="R75" s="72">
        <f t="shared" si="6"/>
        <v>46241</v>
      </c>
      <c r="S75" s="72">
        <v>46241</v>
      </c>
      <c r="T75" s="72">
        <f t="shared" si="7"/>
        <v>46255</v>
      </c>
      <c r="U75" s="72">
        <f t="shared" si="8"/>
        <v>46255</v>
      </c>
      <c r="V75" s="72"/>
      <c r="X75" s="184" t="str">
        <f t="shared" ca="1" si="163"/>
        <v>Completed</v>
      </c>
      <c r="Y75" s="184" t="str">
        <f t="shared" ca="1" si="164"/>
        <v>Completed</v>
      </c>
      <c r="Z75" s="184" t="str">
        <f t="shared" ca="1" si="165"/>
        <v>Completed</v>
      </c>
      <c r="AA75" s="185" t="str">
        <f t="shared" ca="1" si="166"/>
        <v>Follow-Next Week</v>
      </c>
    </row>
    <row r="76" spans="1:27" s="64" customFormat="1" ht="11.5" x14ac:dyDescent="0.25">
      <c r="A76" s="70" t="s">
        <v>61</v>
      </c>
      <c r="B76" s="70" t="s">
        <v>62</v>
      </c>
      <c r="C76" s="65" t="s">
        <v>94</v>
      </c>
      <c r="D76" s="73" t="s">
        <v>279</v>
      </c>
      <c r="E76" s="65" t="s">
        <v>101</v>
      </c>
      <c r="F76" s="66">
        <f t="shared" si="159"/>
        <v>0.79999999999999993</v>
      </c>
      <c r="G76" s="66">
        <f t="shared" si="160"/>
        <v>0.79999999999999993</v>
      </c>
      <c r="H76" s="66">
        <f t="shared" si="161"/>
        <v>1</v>
      </c>
      <c r="I76" s="66">
        <f t="shared" si="162"/>
        <v>0.20000000000000007</v>
      </c>
      <c r="J76" s="81">
        <v>0.15</v>
      </c>
      <c r="K76" s="68">
        <v>46157</v>
      </c>
      <c r="L76" s="72">
        <f t="shared" si="2"/>
        <v>46157</v>
      </c>
      <c r="M76" s="72">
        <v>46135</v>
      </c>
      <c r="N76" s="72">
        <f t="shared" si="3"/>
        <v>46199</v>
      </c>
      <c r="O76" s="72">
        <f t="shared" si="4"/>
        <v>46199</v>
      </c>
      <c r="P76" s="72">
        <v>46185</v>
      </c>
      <c r="Q76" s="72">
        <f t="shared" si="5"/>
        <v>46241</v>
      </c>
      <c r="R76" s="72">
        <f t="shared" si="6"/>
        <v>46241</v>
      </c>
      <c r="S76" s="72">
        <v>46185</v>
      </c>
      <c r="T76" s="72">
        <f t="shared" si="7"/>
        <v>46255</v>
      </c>
      <c r="U76" s="72">
        <f t="shared" si="8"/>
        <v>46255</v>
      </c>
      <c r="V76" s="72">
        <v>46192</v>
      </c>
      <c r="X76" s="184" t="str">
        <f t="shared" ca="1" si="163"/>
        <v>Completed</v>
      </c>
      <c r="Y76" s="184" t="str">
        <f t="shared" ca="1" si="164"/>
        <v>Completed</v>
      </c>
      <c r="Z76" s="184" t="str">
        <f t="shared" ca="1" si="165"/>
        <v>Completed</v>
      </c>
      <c r="AA76" s="185" t="str">
        <f t="shared" ca="1" si="166"/>
        <v>Completed</v>
      </c>
    </row>
    <row r="77" spans="1:27" s="64" customFormat="1" ht="11.5" x14ac:dyDescent="0.25">
      <c r="A77" s="70" t="s">
        <v>61</v>
      </c>
      <c r="B77" s="70" t="s">
        <v>62</v>
      </c>
      <c r="C77" s="65" t="s">
        <v>94</v>
      </c>
      <c r="D77" s="73" t="s">
        <v>280</v>
      </c>
      <c r="E77" s="65" t="s">
        <v>102</v>
      </c>
      <c r="F77" s="66">
        <f t="shared" si="159"/>
        <v>0.79999999999999993</v>
      </c>
      <c r="G77" s="66">
        <f t="shared" si="160"/>
        <v>0.79999999999999993</v>
      </c>
      <c r="H77" s="66">
        <f t="shared" si="161"/>
        <v>1</v>
      </c>
      <c r="I77" s="66">
        <f t="shared" si="162"/>
        <v>0.20000000000000007</v>
      </c>
      <c r="J77" s="81">
        <v>0.15</v>
      </c>
      <c r="K77" s="68">
        <v>46157</v>
      </c>
      <c r="L77" s="72">
        <f t="shared" si="2"/>
        <v>46157</v>
      </c>
      <c r="M77" s="72">
        <v>46135</v>
      </c>
      <c r="N77" s="72">
        <f t="shared" si="3"/>
        <v>46199</v>
      </c>
      <c r="O77" s="72">
        <f t="shared" si="4"/>
        <v>46199</v>
      </c>
      <c r="P77" s="72">
        <v>46185</v>
      </c>
      <c r="Q77" s="72">
        <f t="shared" si="5"/>
        <v>46241</v>
      </c>
      <c r="R77" s="72">
        <f t="shared" si="6"/>
        <v>46241</v>
      </c>
      <c r="S77" s="72">
        <v>46185</v>
      </c>
      <c r="T77" s="72">
        <f t="shared" si="7"/>
        <v>46255</v>
      </c>
      <c r="U77" s="72">
        <f t="shared" si="8"/>
        <v>46255</v>
      </c>
      <c r="V77" s="72">
        <v>46192</v>
      </c>
      <c r="X77" s="184" t="str">
        <f t="shared" ca="1" si="163"/>
        <v>Completed</v>
      </c>
      <c r="Y77" s="184" t="str">
        <f t="shared" ca="1" si="164"/>
        <v>Completed</v>
      </c>
      <c r="Z77" s="184" t="str">
        <f t="shared" ca="1" si="165"/>
        <v>Completed</v>
      </c>
      <c r="AA77" s="185" t="str">
        <f t="shared" ca="1" si="166"/>
        <v>Completed</v>
      </c>
    </row>
    <row r="78" spans="1:27" s="64" customFormat="1" ht="11.5" x14ac:dyDescent="0.25">
      <c r="A78" s="70" t="s">
        <v>61</v>
      </c>
      <c r="B78" s="70" t="s">
        <v>62</v>
      </c>
      <c r="C78" s="65" t="s">
        <v>94</v>
      </c>
      <c r="D78" s="82" t="s">
        <v>281</v>
      </c>
      <c r="E78" s="65" t="s">
        <v>103</v>
      </c>
      <c r="F78" s="66">
        <f t="shared" si="159"/>
        <v>0.79999999999999993</v>
      </c>
      <c r="G78" s="66">
        <f t="shared" si="160"/>
        <v>0.79999999999999993</v>
      </c>
      <c r="H78" s="66">
        <f t="shared" si="161"/>
        <v>0.79999999999999993</v>
      </c>
      <c r="I78" s="66">
        <f t="shared" si="162"/>
        <v>0</v>
      </c>
      <c r="J78" s="81">
        <v>0.15</v>
      </c>
      <c r="K78" s="68">
        <v>46157</v>
      </c>
      <c r="L78" s="72">
        <f t="shared" si="2"/>
        <v>46157</v>
      </c>
      <c r="M78" s="72">
        <v>46135</v>
      </c>
      <c r="N78" s="72">
        <f t="shared" si="3"/>
        <v>46199</v>
      </c>
      <c r="O78" s="72">
        <f t="shared" si="4"/>
        <v>46199</v>
      </c>
      <c r="P78" s="72">
        <v>46191</v>
      </c>
      <c r="Q78" s="72">
        <f t="shared" si="5"/>
        <v>46241</v>
      </c>
      <c r="R78" s="72">
        <f t="shared" si="6"/>
        <v>46241</v>
      </c>
      <c r="S78" s="72">
        <v>46241</v>
      </c>
      <c r="T78" s="72">
        <f t="shared" si="7"/>
        <v>46255</v>
      </c>
      <c r="U78" s="72">
        <f t="shared" si="8"/>
        <v>46255</v>
      </c>
      <c r="V78" s="76"/>
      <c r="X78" s="184" t="str">
        <f t="shared" ca="1" si="163"/>
        <v>Completed</v>
      </c>
      <c r="Y78" s="184" t="str">
        <f t="shared" ca="1" si="164"/>
        <v>Completed</v>
      </c>
      <c r="Z78" s="184" t="str">
        <f t="shared" ca="1" si="165"/>
        <v>Completed</v>
      </c>
      <c r="AA78" s="185" t="str">
        <f t="shared" ca="1" si="166"/>
        <v>Follow-Next Week</v>
      </c>
    </row>
    <row r="79" spans="1:27" s="64" customFormat="1" ht="11.5" x14ac:dyDescent="0.25">
      <c r="A79" s="70" t="s">
        <v>61</v>
      </c>
      <c r="B79" s="70" t="s">
        <v>62</v>
      </c>
      <c r="C79" s="65" t="s">
        <v>94</v>
      </c>
      <c r="D79" s="82" t="s">
        <v>282</v>
      </c>
      <c r="E79" s="65" t="s">
        <v>104</v>
      </c>
      <c r="F79" s="66">
        <f t="shared" si="159"/>
        <v>0.79999999999999993</v>
      </c>
      <c r="G79" s="66">
        <f t="shared" si="160"/>
        <v>0.79999999999999993</v>
      </c>
      <c r="H79" s="66">
        <f t="shared" si="161"/>
        <v>1</v>
      </c>
      <c r="I79" s="66">
        <f t="shared" si="162"/>
        <v>0.20000000000000007</v>
      </c>
      <c r="J79" s="81">
        <v>0.15</v>
      </c>
      <c r="K79" s="68">
        <v>46157</v>
      </c>
      <c r="L79" s="72">
        <f t="shared" si="2"/>
        <v>46157</v>
      </c>
      <c r="M79" s="72">
        <v>46135</v>
      </c>
      <c r="N79" s="72">
        <f t="shared" si="3"/>
        <v>46199</v>
      </c>
      <c r="O79" s="72">
        <f t="shared" si="4"/>
        <v>46199</v>
      </c>
      <c r="P79" s="72">
        <v>46185</v>
      </c>
      <c r="Q79" s="72">
        <f t="shared" si="5"/>
        <v>46241</v>
      </c>
      <c r="R79" s="72">
        <f t="shared" si="6"/>
        <v>46241</v>
      </c>
      <c r="S79" s="72">
        <v>46185</v>
      </c>
      <c r="T79" s="72">
        <f t="shared" si="7"/>
        <v>46255</v>
      </c>
      <c r="U79" s="72">
        <f t="shared" si="8"/>
        <v>46255</v>
      </c>
      <c r="V79" s="76">
        <v>46198</v>
      </c>
      <c r="X79" s="184" t="str">
        <f t="shared" ca="1" si="163"/>
        <v>Completed</v>
      </c>
      <c r="Y79" s="184" t="str">
        <f t="shared" ca="1" si="164"/>
        <v>Completed</v>
      </c>
      <c r="Z79" s="184" t="str">
        <f t="shared" ca="1" si="165"/>
        <v>Completed</v>
      </c>
      <c r="AA79" s="185" t="str">
        <f t="shared" ca="1" si="166"/>
        <v>Completed</v>
      </c>
    </row>
    <row r="80" spans="1:27" s="64" customFormat="1" ht="11.5" x14ac:dyDescent="0.25">
      <c r="A80" s="70" t="s">
        <v>61</v>
      </c>
      <c r="B80" s="70" t="s">
        <v>62</v>
      </c>
      <c r="C80" s="65" t="s">
        <v>94</v>
      </c>
      <c r="D80" s="73" t="s">
        <v>283</v>
      </c>
      <c r="E80" s="65" t="s">
        <v>105</v>
      </c>
      <c r="F80" s="66">
        <f t="shared" si="159"/>
        <v>0.79999999999999993</v>
      </c>
      <c r="G80" s="66">
        <f t="shared" si="160"/>
        <v>0.79999999999999993</v>
      </c>
      <c r="H80" s="66">
        <f t="shared" si="161"/>
        <v>0.79999999999999993</v>
      </c>
      <c r="I80" s="66">
        <f t="shared" si="162"/>
        <v>0</v>
      </c>
      <c r="J80" s="81">
        <v>0.15</v>
      </c>
      <c r="K80" s="68">
        <v>46157</v>
      </c>
      <c r="L80" s="72">
        <f t="shared" si="2"/>
        <v>46157</v>
      </c>
      <c r="M80" s="72">
        <v>46135</v>
      </c>
      <c r="N80" s="72">
        <f t="shared" si="3"/>
        <v>46199</v>
      </c>
      <c r="O80" s="72">
        <f t="shared" si="4"/>
        <v>46199</v>
      </c>
      <c r="P80" s="72">
        <v>46191</v>
      </c>
      <c r="Q80" s="72">
        <f t="shared" si="5"/>
        <v>46241</v>
      </c>
      <c r="R80" s="72">
        <f t="shared" si="6"/>
        <v>46241</v>
      </c>
      <c r="S80" s="72">
        <v>46241</v>
      </c>
      <c r="T80" s="72">
        <f t="shared" si="7"/>
        <v>46255</v>
      </c>
      <c r="U80" s="72">
        <f t="shared" si="8"/>
        <v>46255</v>
      </c>
      <c r="V80" s="76"/>
      <c r="X80" s="184" t="str">
        <f t="shared" ca="1" si="163"/>
        <v>Completed</v>
      </c>
      <c r="Y80" s="184" t="str">
        <f t="shared" ca="1" si="164"/>
        <v>Completed</v>
      </c>
      <c r="Z80" s="184" t="str">
        <f t="shared" ca="1" si="165"/>
        <v>Completed</v>
      </c>
      <c r="AA80" s="185" t="str">
        <f t="shared" ca="1" si="166"/>
        <v>Follow-Next Week</v>
      </c>
    </row>
    <row r="81" spans="1:27" s="64" customFormat="1" ht="11.5" x14ac:dyDescent="0.25">
      <c r="A81" s="70" t="s">
        <v>61</v>
      </c>
      <c r="B81" s="70" t="s">
        <v>62</v>
      </c>
      <c r="C81" s="65" t="s">
        <v>94</v>
      </c>
      <c r="D81" s="73" t="s">
        <v>284</v>
      </c>
      <c r="E81" s="65" t="s">
        <v>106</v>
      </c>
      <c r="F81" s="66">
        <f t="shared" si="159"/>
        <v>0.79999999999999993</v>
      </c>
      <c r="G81" s="66">
        <f t="shared" si="160"/>
        <v>0.79999999999999993</v>
      </c>
      <c r="H81" s="66">
        <f t="shared" si="161"/>
        <v>0.79999999999999993</v>
      </c>
      <c r="I81" s="66">
        <f t="shared" si="162"/>
        <v>0</v>
      </c>
      <c r="J81" s="81">
        <v>0.15</v>
      </c>
      <c r="K81" s="68">
        <v>46157</v>
      </c>
      <c r="L81" s="72">
        <f t="shared" si="2"/>
        <v>46157</v>
      </c>
      <c r="M81" s="72">
        <v>46135</v>
      </c>
      <c r="N81" s="72">
        <f t="shared" si="3"/>
        <v>46199</v>
      </c>
      <c r="O81" s="72">
        <f t="shared" si="4"/>
        <v>46199</v>
      </c>
      <c r="P81" s="72">
        <v>46191</v>
      </c>
      <c r="Q81" s="72">
        <f t="shared" si="5"/>
        <v>46241</v>
      </c>
      <c r="R81" s="72">
        <f t="shared" si="6"/>
        <v>46241</v>
      </c>
      <c r="S81" s="72">
        <v>46241</v>
      </c>
      <c r="T81" s="72">
        <f t="shared" si="7"/>
        <v>46255</v>
      </c>
      <c r="U81" s="72">
        <f t="shared" si="8"/>
        <v>46255</v>
      </c>
      <c r="V81" s="76"/>
      <c r="X81" s="184" t="str">
        <f t="shared" ca="1" si="163"/>
        <v>Completed</v>
      </c>
      <c r="Y81" s="184" t="str">
        <f t="shared" ca="1" si="164"/>
        <v>Completed</v>
      </c>
      <c r="Z81" s="184" t="str">
        <f t="shared" ca="1" si="165"/>
        <v>Completed</v>
      </c>
      <c r="AA81" s="185" t="str">
        <f t="shared" ca="1" si="166"/>
        <v>Follow-Next Week</v>
      </c>
    </row>
    <row r="82" spans="1:27" s="64" customFormat="1" ht="11.5" x14ac:dyDescent="0.25">
      <c r="A82" s="70" t="s">
        <v>61</v>
      </c>
      <c r="B82" s="70" t="s">
        <v>62</v>
      </c>
      <c r="C82" s="65" t="s">
        <v>94</v>
      </c>
      <c r="D82" s="82" t="s">
        <v>285</v>
      </c>
      <c r="E82" s="65" t="s">
        <v>107</v>
      </c>
      <c r="F82" s="66">
        <f t="shared" si="159"/>
        <v>0.79999999999999993</v>
      </c>
      <c r="G82" s="66">
        <f t="shared" si="160"/>
        <v>0.79999999999999993</v>
      </c>
      <c r="H82" s="66">
        <f t="shared" si="161"/>
        <v>0.7</v>
      </c>
      <c r="I82" s="66">
        <f t="shared" si="162"/>
        <v>-9.9999999999999978E-2</v>
      </c>
      <c r="J82" s="81">
        <v>0.15</v>
      </c>
      <c r="K82" s="68">
        <v>46157</v>
      </c>
      <c r="L82" s="72">
        <f t="shared" si="2"/>
        <v>46157</v>
      </c>
      <c r="M82" s="72">
        <v>46135</v>
      </c>
      <c r="N82" s="72">
        <f t="shared" si="3"/>
        <v>46199</v>
      </c>
      <c r="O82" s="72">
        <f t="shared" si="4"/>
        <v>46199</v>
      </c>
      <c r="P82" s="72">
        <v>46241</v>
      </c>
      <c r="Q82" s="72">
        <f t="shared" si="5"/>
        <v>46241</v>
      </c>
      <c r="R82" s="72">
        <f t="shared" si="6"/>
        <v>46241</v>
      </c>
      <c r="S82" s="72"/>
      <c r="T82" s="72">
        <f t="shared" si="7"/>
        <v>46255</v>
      </c>
      <c r="U82" s="72">
        <f t="shared" si="8"/>
        <v>46255</v>
      </c>
      <c r="V82" s="76"/>
      <c r="X82" s="184" t="str">
        <f t="shared" ca="1" si="163"/>
        <v>Completed</v>
      </c>
      <c r="Y82" s="184" t="str">
        <f t="shared" ca="1" si="164"/>
        <v>Completed</v>
      </c>
      <c r="Z82" s="184" t="str">
        <f t="shared" ca="1" si="165"/>
        <v>Overdue</v>
      </c>
      <c r="AA82" s="185" t="str">
        <f t="shared" ca="1" si="166"/>
        <v>Follow-Next Week</v>
      </c>
    </row>
    <row r="83" spans="1:27" s="64" customFormat="1" ht="11" customHeight="1" x14ac:dyDescent="0.25">
      <c r="A83" s="70" t="s">
        <v>61</v>
      </c>
      <c r="B83" s="70" t="s">
        <v>62</v>
      </c>
      <c r="C83" s="65" t="s">
        <v>94</v>
      </c>
      <c r="D83" s="82" t="s">
        <v>286</v>
      </c>
      <c r="E83" s="65" t="s">
        <v>108</v>
      </c>
      <c r="F83" s="66">
        <f t="shared" si="159"/>
        <v>0.79999999999999993</v>
      </c>
      <c r="G83" s="66">
        <f t="shared" si="160"/>
        <v>0.79999999999999993</v>
      </c>
      <c r="H83" s="66">
        <f t="shared" si="161"/>
        <v>1</v>
      </c>
      <c r="I83" s="66">
        <f t="shared" si="162"/>
        <v>0.20000000000000007</v>
      </c>
      <c r="J83" s="81">
        <v>0.15</v>
      </c>
      <c r="K83" s="68">
        <v>46157</v>
      </c>
      <c r="L83" s="72">
        <f t="shared" si="2"/>
        <v>46157</v>
      </c>
      <c r="M83" s="72">
        <v>46135</v>
      </c>
      <c r="N83" s="72">
        <f t="shared" si="3"/>
        <v>46199</v>
      </c>
      <c r="O83" s="72">
        <f t="shared" si="4"/>
        <v>46199</v>
      </c>
      <c r="P83" s="72">
        <v>46185</v>
      </c>
      <c r="Q83" s="72">
        <f t="shared" si="5"/>
        <v>46241</v>
      </c>
      <c r="R83" s="72">
        <f t="shared" si="6"/>
        <v>46241</v>
      </c>
      <c r="S83" s="72">
        <v>46185</v>
      </c>
      <c r="T83" s="72">
        <f t="shared" si="7"/>
        <v>46255</v>
      </c>
      <c r="U83" s="72">
        <f t="shared" si="8"/>
        <v>46255</v>
      </c>
      <c r="V83" s="72">
        <v>46192</v>
      </c>
      <c r="X83" s="184" t="str">
        <f t="shared" ca="1" si="163"/>
        <v>Completed</v>
      </c>
      <c r="Y83" s="184" t="str">
        <f t="shared" ca="1" si="164"/>
        <v>Completed</v>
      </c>
      <c r="Z83" s="184" t="str">
        <f t="shared" ca="1" si="165"/>
        <v>Completed</v>
      </c>
      <c r="AA83" s="185" t="str">
        <f t="shared" ca="1" si="166"/>
        <v>Completed</v>
      </c>
    </row>
    <row r="84" spans="1:27" s="64" customFormat="1" ht="11" customHeight="1" x14ac:dyDescent="0.25">
      <c r="A84" s="70" t="s">
        <v>61</v>
      </c>
      <c r="B84" s="70" t="s">
        <v>62</v>
      </c>
      <c r="C84" s="65" t="s">
        <v>94</v>
      </c>
      <c r="D84" s="73" t="s">
        <v>287</v>
      </c>
      <c r="E84" s="65" t="s">
        <v>109</v>
      </c>
      <c r="F84" s="66">
        <f t="shared" si="159"/>
        <v>0.79999999999999993</v>
      </c>
      <c r="G84" s="66">
        <f t="shared" si="160"/>
        <v>0.79999999999999993</v>
      </c>
      <c r="H84" s="66">
        <f t="shared" si="161"/>
        <v>1</v>
      </c>
      <c r="I84" s="66">
        <f t="shared" si="162"/>
        <v>0.20000000000000007</v>
      </c>
      <c r="J84" s="81">
        <v>0.15</v>
      </c>
      <c r="K84" s="68">
        <v>46157</v>
      </c>
      <c r="L84" s="72">
        <f t="shared" si="2"/>
        <v>46157</v>
      </c>
      <c r="M84" s="72">
        <v>46135</v>
      </c>
      <c r="N84" s="72">
        <f t="shared" si="3"/>
        <v>46199</v>
      </c>
      <c r="O84" s="72">
        <f t="shared" si="4"/>
        <v>46199</v>
      </c>
      <c r="P84" s="72">
        <v>46185</v>
      </c>
      <c r="Q84" s="72">
        <f t="shared" si="5"/>
        <v>46241</v>
      </c>
      <c r="R84" s="72">
        <f t="shared" si="6"/>
        <v>46241</v>
      </c>
      <c r="S84" s="72">
        <v>46185</v>
      </c>
      <c r="T84" s="72">
        <f t="shared" si="7"/>
        <v>46255</v>
      </c>
      <c r="U84" s="72">
        <f t="shared" si="8"/>
        <v>46255</v>
      </c>
      <c r="V84" s="76">
        <v>46198</v>
      </c>
      <c r="X84" s="184" t="str">
        <f t="shared" ca="1" si="163"/>
        <v>Completed</v>
      </c>
      <c r="Y84" s="184" t="str">
        <f t="shared" ca="1" si="164"/>
        <v>Completed</v>
      </c>
      <c r="Z84" s="184" t="str">
        <f t="shared" ca="1" si="165"/>
        <v>Completed</v>
      </c>
      <c r="AA84" s="185" t="str">
        <f t="shared" ca="1" si="166"/>
        <v>Completed</v>
      </c>
    </row>
    <row r="85" spans="1:27" s="64" customFormat="1" ht="11" customHeight="1" x14ac:dyDescent="0.25">
      <c r="A85" s="70" t="s">
        <v>61</v>
      </c>
      <c r="B85" s="70" t="s">
        <v>62</v>
      </c>
      <c r="C85" s="65" t="s">
        <v>94</v>
      </c>
      <c r="D85" s="73" t="s">
        <v>288</v>
      </c>
      <c r="E85" s="65" t="s">
        <v>110</v>
      </c>
      <c r="F85" s="66">
        <f t="shared" si="159"/>
        <v>0.79999999999999993</v>
      </c>
      <c r="G85" s="66">
        <f t="shared" si="160"/>
        <v>0.79999999999999993</v>
      </c>
      <c r="H85" s="66">
        <f t="shared" si="161"/>
        <v>0.7</v>
      </c>
      <c r="I85" s="66">
        <f t="shared" si="162"/>
        <v>-9.9999999999999978E-2</v>
      </c>
      <c r="J85" s="81">
        <v>0.15</v>
      </c>
      <c r="K85" s="68">
        <v>46157</v>
      </c>
      <c r="L85" s="72">
        <f t="shared" si="2"/>
        <v>46157</v>
      </c>
      <c r="M85" s="72">
        <v>46135</v>
      </c>
      <c r="N85" s="72">
        <f t="shared" si="3"/>
        <v>46199</v>
      </c>
      <c r="O85" s="72">
        <f t="shared" si="4"/>
        <v>46199</v>
      </c>
      <c r="P85" s="72">
        <v>46241</v>
      </c>
      <c r="Q85" s="72">
        <f t="shared" si="5"/>
        <v>46241</v>
      </c>
      <c r="R85" s="72">
        <f t="shared" si="6"/>
        <v>46241</v>
      </c>
      <c r="S85" s="72"/>
      <c r="T85" s="72">
        <f t="shared" si="7"/>
        <v>46255</v>
      </c>
      <c r="U85" s="72">
        <f t="shared" si="8"/>
        <v>46255</v>
      </c>
      <c r="V85" s="76"/>
      <c r="X85" s="184" t="str">
        <f t="shared" ca="1" si="163"/>
        <v>Completed</v>
      </c>
      <c r="Y85" s="184" t="str">
        <f t="shared" ca="1" si="164"/>
        <v>Completed</v>
      </c>
      <c r="Z85" s="184" t="str">
        <f t="shared" ca="1" si="165"/>
        <v>Overdue</v>
      </c>
      <c r="AA85" s="185" t="str">
        <f t="shared" ca="1" si="166"/>
        <v>Follow-Next Week</v>
      </c>
    </row>
    <row r="86" spans="1:27" s="64" customFormat="1" ht="11.5" x14ac:dyDescent="0.25">
      <c r="A86" s="70" t="s">
        <v>61</v>
      </c>
      <c r="B86" s="70" t="s">
        <v>62</v>
      </c>
      <c r="C86" s="70" t="s">
        <v>94</v>
      </c>
      <c r="D86" s="75" t="s">
        <v>289</v>
      </c>
      <c r="E86" s="75" t="s">
        <v>111</v>
      </c>
      <c r="F86" s="116">
        <f t="shared" ref="F86:G101" si="167">(COUNTIFS(K86,"&lt;="&amp;$D$1)*50%)+(COUNTIFS(N86,"&lt;="&amp;$D$1)*20%)+(COUNTIFS(Q86,"&lt;="&amp;$D$1)*10%)+(COUNTIFS(T86,"&lt;="&amp;$D$1)*20%)</f>
        <v>0.79999999999999993</v>
      </c>
      <c r="G86" s="116">
        <f>(COUNTIFS(L86,"&lt;="&amp;$D$1)*50%)+(COUNTIFS(O86,"&lt;="&amp;$D$1)*20%)+(COUNTIFS(R86,"&lt;="&amp;$D$1)*10%)+(COUNTIFS(U86,"&lt;="&amp;$D$1)*20%)</f>
        <v>0.79999999999999993</v>
      </c>
      <c r="H86" s="116">
        <f t="shared" ref="G86:H108" si="168">(COUNTIFS(M86,"&lt;="&amp;$D$1)*50%)+(COUNTIFS(P86,"&lt;="&amp;$D$1)*20%)+(COUNTIFS(S86,"&lt;="&amp;$D$1)*10%)+(COUNTIFS(V86,"&lt;="&amp;$D$1)*20%)</f>
        <v>0.7</v>
      </c>
      <c r="I86" s="116">
        <f t="shared" ref="I86:I145" si="169">H86-F86</f>
        <v>-9.9999999999999978E-2</v>
      </c>
      <c r="J86" s="81">
        <v>0.15</v>
      </c>
      <c r="K86" s="68">
        <v>46157</v>
      </c>
      <c r="L86" s="72">
        <f t="shared" si="2"/>
        <v>46157</v>
      </c>
      <c r="M86" s="72">
        <v>46135</v>
      </c>
      <c r="N86" s="72">
        <f t="shared" si="3"/>
        <v>46199</v>
      </c>
      <c r="O86" s="72">
        <f t="shared" si="4"/>
        <v>46199</v>
      </c>
      <c r="P86" s="72">
        <v>46241</v>
      </c>
      <c r="Q86" s="72">
        <f t="shared" si="5"/>
        <v>46241</v>
      </c>
      <c r="R86" s="72">
        <f t="shared" si="6"/>
        <v>46241</v>
      </c>
      <c r="S86" s="74"/>
      <c r="T86" s="72">
        <f t="shared" si="7"/>
        <v>46255</v>
      </c>
      <c r="U86" s="72">
        <f t="shared" si="8"/>
        <v>46255</v>
      </c>
      <c r="V86" s="72"/>
      <c r="X86" s="184" t="str">
        <f t="shared" ca="1" si="163"/>
        <v>Completed</v>
      </c>
      <c r="Y86" s="184" t="str">
        <f t="shared" ca="1" si="164"/>
        <v>Completed</v>
      </c>
      <c r="Z86" s="184" t="str">
        <f t="shared" ca="1" si="165"/>
        <v>Overdue</v>
      </c>
      <c r="AA86" s="185" t="str">
        <f t="shared" ca="1" si="166"/>
        <v>Follow-Next Week</v>
      </c>
    </row>
    <row r="87" spans="1:27" s="64" customFormat="1" ht="11.5" x14ac:dyDescent="0.25">
      <c r="A87" s="70" t="s">
        <v>61</v>
      </c>
      <c r="B87" s="70" t="s">
        <v>62</v>
      </c>
      <c r="C87" s="70" t="s">
        <v>94</v>
      </c>
      <c r="D87" s="75" t="s">
        <v>290</v>
      </c>
      <c r="E87" s="75" t="s">
        <v>112</v>
      </c>
      <c r="F87" s="116">
        <f t="shared" si="167"/>
        <v>0.79999999999999993</v>
      </c>
      <c r="G87" s="116">
        <f t="shared" si="167"/>
        <v>0.79999999999999993</v>
      </c>
      <c r="H87" s="116">
        <f t="shared" si="168"/>
        <v>1</v>
      </c>
      <c r="I87" s="116">
        <f t="shared" si="169"/>
        <v>0.20000000000000007</v>
      </c>
      <c r="J87" s="81">
        <v>0.15</v>
      </c>
      <c r="K87" s="68">
        <v>46157</v>
      </c>
      <c r="L87" s="72">
        <f t="shared" ref="L87:L158" si="170">K87</f>
        <v>46157</v>
      </c>
      <c r="M87" s="72">
        <v>46135</v>
      </c>
      <c r="N87" s="72">
        <f t="shared" ref="N87:N158" si="171">K87+42</f>
        <v>46199</v>
      </c>
      <c r="O87" s="72">
        <f t="shared" ref="O87:O158" si="172">N87</f>
        <v>46199</v>
      </c>
      <c r="P87" s="72">
        <v>46185</v>
      </c>
      <c r="Q87" s="72">
        <f t="shared" ref="Q87:Q158" si="173">N87+42</f>
        <v>46241</v>
      </c>
      <c r="R87" s="72">
        <f t="shared" ref="R87:R158" si="174">Q87</f>
        <v>46241</v>
      </c>
      <c r="S87" s="72">
        <v>46185</v>
      </c>
      <c r="T87" s="72">
        <f t="shared" ref="T87:T158" si="175">Q87+14</f>
        <v>46255</v>
      </c>
      <c r="U87" s="72">
        <f t="shared" ref="U87:U158" si="176">T87</f>
        <v>46255</v>
      </c>
      <c r="V87" s="76">
        <v>46198</v>
      </c>
      <c r="X87" s="184" t="str">
        <f t="shared" ca="1" si="163"/>
        <v>Completed</v>
      </c>
      <c r="Y87" s="184" t="str">
        <f t="shared" ca="1" si="164"/>
        <v>Completed</v>
      </c>
      <c r="Z87" s="184" t="str">
        <f t="shared" ca="1" si="165"/>
        <v>Completed</v>
      </c>
      <c r="AA87" s="185" t="str">
        <f t="shared" ca="1" si="166"/>
        <v>Completed</v>
      </c>
    </row>
    <row r="88" spans="1:27" s="64" customFormat="1" ht="11.5" x14ac:dyDescent="0.25">
      <c r="A88" s="70" t="s">
        <v>61</v>
      </c>
      <c r="B88" s="70" t="s">
        <v>62</v>
      </c>
      <c r="C88" s="70" t="s">
        <v>94</v>
      </c>
      <c r="D88" s="75" t="s">
        <v>291</v>
      </c>
      <c r="E88" s="75" t="s">
        <v>113</v>
      </c>
      <c r="F88" s="116">
        <f t="shared" si="167"/>
        <v>0.79999999999999993</v>
      </c>
      <c r="G88" s="116">
        <f t="shared" si="167"/>
        <v>0.79999999999999993</v>
      </c>
      <c r="H88" s="116">
        <f t="shared" si="168"/>
        <v>1</v>
      </c>
      <c r="I88" s="116">
        <f t="shared" si="169"/>
        <v>0.20000000000000007</v>
      </c>
      <c r="J88" s="81">
        <v>0.15</v>
      </c>
      <c r="K88" s="68">
        <v>46157</v>
      </c>
      <c r="L88" s="72">
        <f t="shared" si="170"/>
        <v>46157</v>
      </c>
      <c r="M88" s="72">
        <v>46135</v>
      </c>
      <c r="N88" s="72">
        <f t="shared" si="171"/>
        <v>46199</v>
      </c>
      <c r="O88" s="72">
        <f t="shared" si="172"/>
        <v>46199</v>
      </c>
      <c r="P88" s="72">
        <v>46185</v>
      </c>
      <c r="Q88" s="72">
        <f t="shared" si="173"/>
        <v>46241</v>
      </c>
      <c r="R88" s="72">
        <f t="shared" si="174"/>
        <v>46241</v>
      </c>
      <c r="S88" s="72">
        <v>46185</v>
      </c>
      <c r="T88" s="72">
        <f t="shared" si="175"/>
        <v>46255</v>
      </c>
      <c r="U88" s="72">
        <f t="shared" si="176"/>
        <v>46255</v>
      </c>
      <c r="V88" s="76">
        <v>46198</v>
      </c>
      <c r="X88" s="184" t="str">
        <f t="shared" ca="1" si="163"/>
        <v>Completed</v>
      </c>
      <c r="Y88" s="184" t="str">
        <f t="shared" ca="1" si="164"/>
        <v>Completed</v>
      </c>
      <c r="Z88" s="184" t="str">
        <f t="shared" ca="1" si="165"/>
        <v>Completed</v>
      </c>
      <c r="AA88" s="185" t="str">
        <f t="shared" ca="1" si="166"/>
        <v>Completed</v>
      </c>
    </row>
    <row r="89" spans="1:27" s="64" customFormat="1" ht="11.5" x14ac:dyDescent="0.25">
      <c r="A89" s="70" t="s">
        <v>61</v>
      </c>
      <c r="B89" s="70" t="s">
        <v>62</v>
      </c>
      <c r="C89" s="70" t="s">
        <v>94</v>
      </c>
      <c r="D89" s="75" t="s">
        <v>463</v>
      </c>
      <c r="E89" s="75" t="s">
        <v>464</v>
      </c>
      <c r="F89" s="116">
        <f t="shared" si="167"/>
        <v>0.79999999999999993</v>
      </c>
      <c r="G89" s="116">
        <f t="shared" si="167"/>
        <v>0.79999999999999993</v>
      </c>
      <c r="H89" s="116">
        <f t="shared" si="168"/>
        <v>1</v>
      </c>
      <c r="I89" s="116">
        <f t="shared" si="169"/>
        <v>0.20000000000000007</v>
      </c>
      <c r="J89" s="81">
        <v>0.15</v>
      </c>
      <c r="K89" s="68">
        <v>46157</v>
      </c>
      <c r="L89" s="72">
        <f t="shared" si="170"/>
        <v>46157</v>
      </c>
      <c r="M89" s="72">
        <v>46135</v>
      </c>
      <c r="N89" s="72">
        <f t="shared" si="171"/>
        <v>46199</v>
      </c>
      <c r="O89" s="72">
        <f t="shared" si="172"/>
        <v>46199</v>
      </c>
      <c r="P89" s="72">
        <v>46185</v>
      </c>
      <c r="Q89" s="72">
        <f t="shared" si="173"/>
        <v>46241</v>
      </c>
      <c r="R89" s="72">
        <f t="shared" si="174"/>
        <v>46241</v>
      </c>
      <c r="S89" s="72">
        <v>46185</v>
      </c>
      <c r="T89" s="72">
        <f t="shared" si="175"/>
        <v>46255</v>
      </c>
      <c r="U89" s="72">
        <f t="shared" si="176"/>
        <v>46255</v>
      </c>
      <c r="V89" s="72">
        <v>46192</v>
      </c>
      <c r="X89" s="184" t="str">
        <f t="shared" ca="1" si="163"/>
        <v>Completed</v>
      </c>
      <c r="Y89" s="184" t="str">
        <f t="shared" ca="1" si="164"/>
        <v>Completed</v>
      </c>
      <c r="Z89" s="184" t="str">
        <f t="shared" ca="1" si="165"/>
        <v>Completed</v>
      </c>
      <c r="AA89" s="185" t="str">
        <f t="shared" ca="1" si="166"/>
        <v>Completed</v>
      </c>
    </row>
    <row r="90" spans="1:27" s="64" customFormat="1" ht="11.5" x14ac:dyDescent="0.25">
      <c r="A90" s="70" t="s">
        <v>61</v>
      </c>
      <c r="B90" s="70" t="s">
        <v>62</v>
      </c>
      <c r="C90" s="70" t="s">
        <v>94</v>
      </c>
      <c r="D90" s="75" t="s">
        <v>292</v>
      </c>
      <c r="E90" s="75" t="s">
        <v>114</v>
      </c>
      <c r="F90" s="116">
        <f t="shared" si="167"/>
        <v>0.5</v>
      </c>
      <c r="G90" s="116">
        <f t="shared" si="167"/>
        <v>0.5</v>
      </c>
      <c r="H90" s="116">
        <f t="shared" si="168"/>
        <v>0.5</v>
      </c>
      <c r="I90" s="116">
        <f t="shared" si="169"/>
        <v>0</v>
      </c>
      <c r="J90" s="81">
        <v>0.05</v>
      </c>
      <c r="K90" s="72">
        <v>46234</v>
      </c>
      <c r="L90" s="72">
        <f t="shared" si="170"/>
        <v>46234</v>
      </c>
      <c r="M90" s="149">
        <v>46248</v>
      </c>
      <c r="N90" s="72">
        <f t="shared" si="171"/>
        <v>46276</v>
      </c>
      <c r="O90" s="72">
        <f t="shared" si="172"/>
        <v>46276</v>
      </c>
      <c r="P90" s="74"/>
      <c r="Q90" s="72">
        <f t="shared" si="173"/>
        <v>46318</v>
      </c>
      <c r="R90" s="72">
        <f t="shared" si="174"/>
        <v>46318</v>
      </c>
      <c r="S90" s="74"/>
      <c r="T90" s="72">
        <f t="shared" si="175"/>
        <v>46332</v>
      </c>
      <c r="U90" s="72">
        <f t="shared" si="176"/>
        <v>46332</v>
      </c>
      <c r="V90" s="72"/>
      <c r="X90" s="184" t="str">
        <f t="shared" ca="1" si="163"/>
        <v>Completed</v>
      </c>
      <c r="Y90" s="184" t="str">
        <f t="shared" ca="1" si="164"/>
        <v/>
      </c>
      <c r="Z90" s="184" t="str">
        <f t="shared" ca="1" si="165"/>
        <v/>
      </c>
      <c r="AA90" s="185" t="str">
        <f t="shared" ca="1" si="166"/>
        <v/>
      </c>
    </row>
    <row r="91" spans="1:27" s="64" customFormat="1" ht="11.5" x14ac:dyDescent="0.25">
      <c r="A91" s="70" t="s">
        <v>61</v>
      </c>
      <c r="B91" s="70" t="s">
        <v>62</v>
      </c>
      <c r="C91" s="70" t="s">
        <v>94</v>
      </c>
      <c r="D91" s="75" t="s">
        <v>293</v>
      </c>
      <c r="E91" s="75" t="s">
        <v>115</v>
      </c>
      <c r="F91" s="116">
        <f t="shared" si="167"/>
        <v>0.5</v>
      </c>
      <c r="G91" s="116">
        <f t="shared" si="167"/>
        <v>0.5</v>
      </c>
      <c r="H91" s="116">
        <f t="shared" si="168"/>
        <v>0.5</v>
      </c>
      <c r="I91" s="116">
        <f t="shared" si="169"/>
        <v>0</v>
      </c>
      <c r="J91" s="81">
        <v>0.05</v>
      </c>
      <c r="K91" s="72">
        <v>46234</v>
      </c>
      <c r="L91" s="72">
        <f t="shared" si="170"/>
        <v>46234</v>
      </c>
      <c r="M91" s="149">
        <v>46248</v>
      </c>
      <c r="N91" s="72">
        <f t="shared" si="171"/>
        <v>46276</v>
      </c>
      <c r="O91" s="72">
        <f t="shared" si="172"/>
        <v>46276</v>
      </c>
      <c r="P91" s="74"/>
      <c r="Q91" s="72">
        <f t="shared" si="173"/>
        <v>46318</v>
      </c>
      <c r="R91" s="72">
        <f t="shared" si="174"/>
        <v>46318</v>
      </c>
      <c r="S91" s="74"/>
      <c r="T91" s="72">
        <f t="shared" si="175"/>
        <v>46332</v>
      </c>
      <c r="U91" s="72">
        <f t="shared" si="176"/>
        <v>46332</v>
      </c>
      <c r="V91" s="72"/>
      <c r="X91" s="184" t="str">
        <f t="shared" ca="1" si="163"/>
        <v>Completed</v>
      </c>
      <c r="Y91" s="184" t="str">
        <f t="shared" ca="1" si="164"/>
        <v/>
      </c>
      <c r="Z91" s="184" t="str">
        <f t="shared" ca="1" si="165"/>
        <v/>
      </c>
      <c r="AA91" s="185" t="str">
        <f t="shared" ca="1" si="166"/>
        <v/>
      </c>
    </row>
    <row r="92" spans="1:27" s="64" customFormat="1" ht="11.5" x14ac:dyDescent="0.25">
      <c r="A92" s="70" t="s">
        <v>61</v>
      </c>
      <c r="B92" s="70" t="s">
        <v>62</v>
      </c>
      <c r="C92" s="70" t="s">
        <v>94</v>
      </c>
      <c r="D92" s="75" t="s">
        <v>410</v>
      </c>
      <c r="E92" s="75" t="s">
        <v>411</v>
      </c>
      <c r="F92" s="116">
        <f t="shared" ref="F92" si="177">(COUNTIFS(K92,"&lt;="&amp;$D$1)*50%)+(COUNTIFS(N92,"&lt;="&amp;$D$1)*20%)+(COUNTIFS(Q92,"&lt;="&amp;$D$1)*10%)+(COUNTIFS(T92,"&lt;="&amp;$D$1)*20%)</f>
        <v>0.5</v>
      </c>
      <c r="G92" s="116">
        <f t="shared" ref="G92" si="178">(COUNTIFS(L92,"&lt;="&amp;$D$1)*50%)+(COUNTIFS(O92,"&lt;="&amp;$D$1)*20%)+(COUNTIFS(R92,"&lt;="&amp;$D$1)*10%)+(COUNTIFS(U92,"&lt;="&amp;$D$1)*20%)</f>
        <v>0.5</v>
      </c>
      <c r="H92" s="116">
        <f t="shared" ref="H92" si="179">(COUNTIFS(M92,"&lt;="&amp;$D$1)*50%)+(COUNTIFS(P92,"&lt;="&amp;$D$1)*20%)+(COUNTIFS(S92,"&lt;="&amp;$D$1)*10%)+(COUNTIFS(V92,"&lt;="&amp;$D$1)*20%)</f>
        <v>0.5</v>
      </c>
      <c r="I92" s="116">
        <f t="shared" ref="I92" si="180">H92-F92</f>
        <v>0</v>
      </c>
      <c r="J92" s="81">
        <v>0.05</v>
      </c>
      <c r="K92" s="72">
        <v>46234</v>
      </c>
      <c r="L92" s="72">
        <f t="shared" ref="L92" si="181">K92</f>
        <v>46234</v>
      </c>
      <c r="M92" s="149">
        <v>46248</v>
      </c>
      <c r="N92" s="72">
        <f t="shared" ref="N92" si="182">K92+42</f>
        <v>46276</v>
      </c>
      <c r="O92" s="72">
        <f t="shared" ref="O92" si="183">N92</f>
        <v>46276</v>
      </c>
      <c r="P92" s="74"/>
      <c r="Q92" s="72">
        <f t="shared" ref="Q92" si="184">N92+42</f>
        <v>46318</v>
      </c>
      <c r="R92" s="72">
        <f t="shared" ref="R92" si="185">Q92</f>
        <v>46318</v>
      </c>
      <c r="S92" s="74"/>
      <c r="T92" s="72">
        <f t="shared" ref="T92" si="186">Q92+14</f>
        <v>46332</v>
      </c>
      <c r="U92" s="72">
        <f t="shared" ref="U92" si="187">T92</f>
        <v>46332</v>
      </c>
      <c r="V92" s="72"/>
      <c r="X92" s="184" t="str">
        <f t="shared" ca="1" si="163"/>
        <v>Completed</v>
      </c>
      <c r="Y92" s="184" t="str">
        <f t="shared" ca="1" si="164"/>
        <v/>
      </c>
      <c r="Z92" s="184" t="str">
        <f t="shared" ca="1" si="165"/>
        <v/>
      </c>
      <c r="AA92" s="185" t="str">
        <f t="shared" ca="1" si="166"/>
        <v/>
      </c>
    </row>
    <row r="93" spans="1:27" s="64" customFormat="1" ht="11.5" x14ac:dyDescent="0.25">
      <c r="A93" s="70" t="s">
        <v>61</v>
      </c>
      <c r="B93" s="70" t="s">
        <v>62</v>
      </c>
      <c r="C93" s="70" t="s">
        <v>94</v>
      </c>
      <c r="D93" s="75" t="s">
        <v>294</v>
      </c>
      <c r="E93" s="75" t="s">
        <v>116</v>
      </c>
      <c r="F93" s="116">
        <f t="shared" si="167"/>
        <v>0.5</v>
      </c>
      <c r="G93" s="116">
        <f t="shared" si="167"/>
        <v>0.5</v>
      </c>
      <c r="H93" s="116">
        <f t="shared" si="168"/>
        <v>0.7</v>
      </c>
      <c r="I93" s="116">
        <f t="shared" si="169"/>
        <v>0.19999999999999996</v>
      </c>
      <c r="J93" s="81">
        <v>0.15</v>
      </c>
      <c r="K93" s="72">
        <v>46234</v>
      </c>
      <c r="L93" s="72">
        <f t="shared" si="170"/>
        <v>46234</v>
      </c>
      <c r="M93" s="72">
        <v>46150</v>
      </c>
      <c r="N93" s="72">
        <f t="shared" si="171"/>
        <v>46276</v>
      </c>
      <c r="O93" s="72">
        <f t="shared" si="172"/>
        <v>46276</v>
      </c>
      <c r="P93" s="74">
        <v>46227</v>
      </c>
      <c r="Q93" s="72">
        <f t="shared" si="173"/>
        <v>46318</v>
      </c>
      <c r="R93" s="72">
        <f t="shared" si="174"/>
        <v>46318</v>
      </c>
      <c r="S93" s="74"/>
      <c r="T93" s="72">
        <f t="shared" si="175"/>
        <v>46332</v>
      </c>
      <c r="U93" s="72">
        <f t="shared" si="176"/>
        <v>46332</v>
      </c>
      <c r="V93" s="72"/>
      <c r="X93" s="184" t="str">
        <f t="shared" ca="1" si="163"/>
        <v>Completed</v>
      </c>
      <c r="Y93" s="184" t="str">
        <f t="shared" ca="1" si="164"/>
        <v>Completed</v>
      </c>
      <c r="Z93" s="184" t="str">
        <f t="shared" ca="1" si="165"/>
        <v/>
      </c>
      <c r="AA93" s="185" t="str">
        <f t="shared" ca="1" si="166"/>
        <v/>
      </c>
    </row>
    <row r="94" spans="1:27" s="64" customFormat="1" ht="11.5" x14ac:dyDescent="0.25">
      <c r="A94" s="70" t="s">
        <v>61</v>
      </c>
      <c r="B94" s="70" t="s">
        <v>62</v>
      </c>
      <c r="C94" s="70" t="s">
        <v>94</v>
      </c>
      <c r="D94" s="75" t="s">
        <v>295</v>
      </c>
      <c r="E94" s="75" t="s">
        <v>117</v>
      </c>
      <c r="F94" s="116">
        <f t="shared" si="167"/>
        <v>0.7</v>
      </c>
      <c r="G94" s="116">
        <f t="shared" si="167"/>
        <v>0.7</v>
      </c>
      <c r="H94" s="116">
        <f t="shared" si="168"/>
        <v>0.7</v>
      </c>
      <c r="I94" s="116">
        <f t="shared" si="169"/>
        <v>0</v>
      </c>
      <c r="J94" s="81">
        <v>0.15</v>
      </c>
      <c r="K94" s="72">
        <v>46171</v>
      </c>
      <c r="L94" s="72">
        <f t="shared" si="170"/>
        <v>46171</v>
      </c>
      <c r="M94" s="72">
        <v>46150</v>
      </c>
      <c r="N94" s="72">
        <f t="shared" si="171"/>
        <v>46213</v>
      </c>
      <c r="O94" s="72">
        <f t="shared" si="172"/>
        <v>46213</v>
      </c>
      <c r="P94" s="74">
        <v>46227</v>
      </c>
      <c r="Q94" s="72">
        <f t="shared" si="173"/>
        <v>46255</v>
      </c>
      <c r="R94" s="72">
        <f t="shared" si="174"/>
        <v>46255</v>
      </c>
      <c r="S94" s="74"/>
      <c r="T94" s="72">
        <f t="shared" si="175"/>
        <v>46269</v>
      </c>
      <c r="U94" s="72">
        <f t="shared" si="176"/>
        <v>46269</v>
      </c>
      <c r="V94" s="72"/>
      <c r="X94" s="184" t="str">
        <f t="shared" ca="1" si="163"/>
        <v>Completed</v>
      </c>
      <c r="Y94" s="184" t="str">
        <f t="shared" ca="1" si="164"/>
        <v>Completed</v>
      </c>
      <c r="Z94" s="184" t="str">
        <f t="shared" ca="1" si="165"/>
        <v>Follow-Next Week</v>
      </c>
      <c r="AA94" s="185" t="str">
        <f t="shared" ca="1" si="166"/>
        <v/>
      </c>
    </row>
    <row r="95" spans="1:27" s="64" customFormat="1" ht="11.5" x14ac:dyDescent="0.25">
      <c r="A95" s="70" t="s">
        <v>61</v>
      </c>
      <c r="B95" s="70" t="s">
        <v>62</v>
      </c>
      <c r="C95" s="70" t="s">
        <v>94</v>
      </c>
      <c r="D95" s="75" t="s">
        <v>296</v>
      </c>
      <c r="E95" s="75" t="s">
        <v>118</v>
      </c>
      <c r="F95" s="116">
        <f t="shared" si="167"/>
        <v>0.7</v>
      </c>
      <c r="G95" s="116">
        <f t="shared" si="167"/>
        <v>0.7</v>
      </c>
      <c r="H95" s="116">
        <f t="shared" si="168"/>
        <v>0.79999999999999993</v>
      </c>
      <c r="I95" s="116">
        <f t="shared" si="169"/>
        <v>9.9999999999999978E-2</v>
      </c>
      <c r="J95" s="81">
        <v>0.15</v>
      </c>
      <c r="K95" s="72">
        <v>46171</v>
      </c>
      <c r="L95" s="72">
        <f t="shared" si="170"/>
        <v>46171</v>
      </c>
      <c r="M95" s="72">
        <v>46150</v>
      </c>
      <c r="N95" s="72">
        <f t="shared" si="171"/>
        <v>46213</v>
      </c>
      <c r="O95" s="72">
        <f t="shared" si="172"/>
        <v>46213</v>
      </c>
      <c r="P95" s="74">
        <v>46227</v>
      </c>
      <c r="Q95" s="72">
        <f t="shared" si="173"/>
        <v>46255</v>
      </c>
      <c r="R95" s="72">
        <f t="shared" si="174"/>
        <v>46255</v>
      </c>
      <c r="S95" s="74">
        <v>46227</v>
      </c>
      <c r="T95" s="72">
        <f t="shared" si="175"/>
        <v>46269</v>
      </c>
      <c r="U95" s="72">
        <f t="shared" si="176"/>
        <v>46269</v>
      </c>
      <c r="V95" s="72"/>
      <c r="X95" s="184" t="str">
        <f t="shared" ca="1" si="163"/>
        <v>Completed</v>
      </c>
      <c r="Y95" s="184" t="str">
        <f t="shared" ca="1" si="164"/>
        <v>Completed</v>
      </c>
      <c r="Z95" s="184" t="str">
        <f t="shared" ca="1" si="165"/>
        <v>Completed</v>
      </c>
      <c r="AA95" s="185" t="str">
        <f t="shared" ca="1" si="166"/>
        <v/>
      </c>
    </row>
    <row r="96" spans="1:27" s="64" customFormat="1" ht="11.5" x14ac:dyDescent="0.25">
      <c r="A96" s="70" t="s">
        <v>61</v>
      </c>
      <c r="B96" s="70" t="s">
        <v>62</v>
      </c>
      <c r="C96" s="70" t="s">
        <v>94</v>
      </c>
      <c r="D96" s="75" t="s">
        <v>297</v>
      </c>
      <c r="E96" s="75" t="s">
        <v>119</v>
      </c>
      <c r="F96" s="116">
        <f t="shared" si="167"/>
        <v>0.7</v>
      </c>
      <c r="G96" s="116">
        <f t="shared" si="167"/>
        <v>0.7</v>
      </c>
      <c r="H96" s="116">
        <f t="shared" si="168"/>
        <v>0.7</v>
      </c>
      <c r="I96" s="116">
        <f t="shared" si="169"/>
        <v>0</v>
      </c>
      <c r="J96" s="81">
        <v>0.15</v>
      </c>
      <c r="K96" s="72">
        <v>46171</v>
      </c>
      <c r="L96" s="72">
        <f t="shared" si="170"/>
        <v>46171</v>
      </c>
      <c r="M96" s="72">
        <v>46150</v>
      </c>
      <c r="N96" s="72">
        <f t="shared" si="171"/>
        <v>46213</v>
      </c>
      <c r="O96" s="72">
        <f t="shared" si="172"/>
        <v>46213</v>
      </c>
      <c r="P96" s="74">
        <v>46227</v>
      </c>
      <c r="Q96" s="72">
        <f t="shared" si="173"/>
        <v>46255</v>
      </c>
      <c r="R96" s="72">
        <f t="shared" si="174"/>
        <v>46255</v>
      </c>
      <c r="S96" s="74"/>
      <c r="T96" s="72">
        <f t="shared" si="175"/>
        <v>46269</v>
      </c>
      <c r="U96" s="72">
        <f t="shared" si="176"/>
        <v>46269</v>
      </c>
      <c r="V96" s="72"/>
      <c r="X96" s="184" t="str">
        <f t="shared" ca="1" si="163"/>
        <v>Completed</v>
      </c>
      <c r="Y96" s="184" t="str">
        <f t="shared" ca="1" si="164"/>
        <v>Completed</v>
      </c>
      <c r="Z96" s="184" t="str">
        <f t="shared" ca="1" si="165"/>
        <v>Follow-Next Week</v>
      </c>
      <c r="AA96" s="185" t="str">
        <f t="shared" ca="1" si="166"/>
        <v/>
      </c>
    </row>
    <row r="97" spans="1:27" s="64" customFormat="1" ht="11.5" x14ac:dyDescent="0.25">
      <c r="A97" s="70" t="s">
        <v>61</v>
      </c>
      <c r="B97" s="70" t="s">
        <v>62</v>
      </c>
      <c r="C97" s="70" t="s">
        <v>94</v>
      </c>
      <c r="D97" s="75" t="s">
        <v>298</v>
      </c>
      <c r="E97" s="75" t="s">
        <v>120</v>
      </c>
      <c r="F97" s="116">
        <f t="shared" si="167"/>
        <v>0.7</v>
      </c>
      <c r="G97" s="116">
        <f t="shared" si="167"/>
        <v>0.7</v>
      </c>
      <c r="H97" s="116">
        <f t="shared" si="168"/>
        <v>0.7</v>
      </c>
      <c r="I97" s="116">
        <f t="shared" si="169"/>
        <v>0</v>
      </c>
      <c r="J97" s="81">
        <v>0.15</v>
      </c>
      <c r="K97" s="72">
        <v>46171</v>
      </c>
      <c r="L97" s="72">
        <f t="shared" si="170"/>
        <v>46171</v>
      </c>
      <c r="M97" s="72">
        <v>46150</v>
      </c>
      <c r="N97" s="72">
        <f t="shared" si="171"/>
        <v>46213</v>
      </c>
      <c r="O97" s="72">
        <f t="shared" si="172"/>
        <v>46213</v>
      </c>
      <c r="P97" s="74">
        <v>46227</v>
      </c>
      <c r="Q97" s="72">
        <f t="shared" si="173"/>
        <v>46255</v>
      </c>
      <c r="R97" s="72">
        <f t="shared" si="174"/>
        <v>46255</v>
      </c>
      <c r="S97" s="74"/>
      <c r="T97" s="72">
        <f t="shared" si="175"/>
        <v>46269</v>
      </c>
      <c r="U97" s="72">
        <f t="shared" si="176"/>
        <v>46269</v>
      </c>
      <c r="V97" s="72"/>
      <c r="X97" s="184" t="str">
        <f t="shared" ca="1" si="163"/>
        <v>Completed</v>
      </c>
      <c r="Y97" s="184" t="str">
        <f t="shared" ca="1" si="164"/>
        <v>Completed</v>
      </c>
      <c r="Z97" s="184" t="str">
        <f t="shared" ca="1" si="165"/>
        <v>Follow-Next Week</v>
      </c>
      <c r="AA97" s="185" t="str">
        <f t="shared" ca="1" si="166"/>
        <v/>
      </c>
    </row>
    <row r="98" spans="1:27" s="64" customFormat="1" ht="11.5" x14ac:dyDescent="0.25">
      <c r="A98" s="70" t="s">
        <v>61</v>
      </c>
      <c r="B98" s="70" t="s">
        <v>62</v>
      </c>
      <c r="C98" s="70" t="s">
        <v>94</v>
      </c>
      <c r="D98" s="75" t="s">
        <v>299</v>
      </c>
      <c r="E98" s="75" t="s">
        <v>121</v>
      </c>
      <c r="F98" s="116">
        <f t="shared" si="167"/>
        <v>0.7</v>
      </c>
      <c r="G98" s="116">
        <f t="shared" si="167"/>
        <v>0.7</v>
      </c>
      <c r="H98" s="116">
        <f t="shared" si="168"/>
        <v>0.7</v>
      </c>
      <c r="I98" s="116">
        <f t="shared" si="169"/>
        <v>0</v>
      </c>
      <c r="J98" s="81">
        <v>0.15</v>
      </c>
      <c r="K98" s="72">
        <v>46171</v>
      </c>
      <c r="L98" s="72">
        <f t="shared" si="170"/>
        <v>46171</v>
      </c>
      <c r="M98" s="72">
        <v>46150</v>
      </c>
      <c r="N98" s="72">
        <f t="shared" si="171"/>
        <v>46213</v>
      </c>
      <c r="O98" s="72">
        <f t="shared" si="172"/>
        <v>46213</v>
      </c>
      <c r="P98" s="74">
        <v>46227</v>
      </c>
      <c r="Q98" s="72">
        <f t="shared" si="173"/>
        <v>46255</v>
      </c>
      <c r="R98" s="72">
        <f t="shared" si="174"/>
        <v>46255</v>
      </c>
      <c r="S98" s="74"/>
      <c r="T98" s="72">
        <f t="shared" si="175"/>
        <v>46269</v>
      </c>
      <c r="U98" s="72">
        <f t="shared" si="176"/>
        <v>46269</v>
      </c>
      <c r="V98" s="72"/>
      <c r="X98" s="184" t="str">
        <f t="shared" ca="1" si="163"/>
        <v>Completed</v>
      </c>
      <c r="Y98" s="184" t="str">
        <f t="shared" ca="1" si="164"/>
        <v>Completed</v>
      </c>
      <c r="Z98" s="184" t="str">
        <f t="shared" ca="1" si="165"/>
        <v>Follow-Next Week</v>
      </c>
      <c r="AA98" s="185" t="str">
        <f t="shared" ca="1" si="166"/>
        <v/>
      </c>
    </row>
    <row r="99" spans="1:27" s="64" customFormat="1" ht="11.5" x14ac:dyDescent="0.25">
      <c r="A99" s="70" t="s">
        <v>61</v>
      </c>
      <c r="B99" s="70" t="s">
        <v>62</v>
      </c>
      <c r="C99" s="70" t="s">
        <v>94</v>
      </c>
      <c r="D99" s="75" t="s">
        <v>300</v>
      </c>
      <c r="E99" s="75" t="s">
        <v>122</v>
      </c>
      <c r="F99" s="116">
        <f t="shared" si="167"/>
        <v>0.7</v>
      </c>
      <c r="G99" s="116">
        <f t="shared" si="167"/>
        <v>0.7</v>
      </c>
      <c r="H99" s="116">
        <f t="shared" si="168"/>
        <v>0.7</v>
      </c>
      <c r="I99" s="116">
        <f t="shared" si="169"/>
        <v>0</v>
      </c>
      <c r="J99" s="81">
        <v>0.15</v>
      </c>
      <c r="K99" s="72">
        <v>46171</v>
      </c>
      <c r="L99" s="72">
        <f t="shared" si="170"/>
        <v>46171</v>
      </c>
      <c r="M99" s="72">
        <v>46150</v>
      </c>
      <c r="N99" s="72">
        <f t="shared" si="171"/>
        <v>46213</v>
      </c>
      <c r="O99" s="72">
        <f t="shared" si="172"/>
        <v>46213</v>
      </c>
      <c r="P99" s="74">
        <v>46227</v>
      </c>
      <c r="Q99" s="72">
        <f t="shared" si="173"/>
        <v>46255</v>
      </c>
      <c r="R99" s="72">
        <f t="shared" si="174"/>
        <v>46255</v>
      </c>
      <c r="S99" s="74"/>
      <c r="T99" s="72">
        <f t="shared" si="175"/>
        <v>46269</v>
      </c>
      <c r="U99" s="72">
        <f t="shared" si="176"/>
        <v>46269</v>
      </c>
      <c r="V99" s="72"/>
      <c r="X99" s="184" t="str">
        <f t="shared" ca="1" si="163"/>
        <v>Completed</v>
      </c>
      <c r="Y99" s="184" t="str">
        <f t="shared" ca="1" si="164"/>
        <v>Completed</v>
      </c>
      <c r="Z99" s="184" t="str">
        <f t="shared" ca="1" si="165"/>
        <v>Follow-Next Week</v>
      </c>
      <c r="AA99" s="185" t="str">
        <f t="shared" ca="1" si="166"/>
        <v/>
      </c>
    </row>
    <row r="100" spans="1:27" s="64" customFormat="1" ht="11.5" x14ac:dyDescent="0.25">
      <c r="A100" s="70" t="s">
        <v>61</v>
      </c>
      <c r="B100" s="70" t="s">
        <v>62</v>
      </c>
      <c r="C100" s="70" t="s">
        <v>94</v>
      </c>
      <c r="D100" s="75" t="s">
        <v>301</v>
      </c>
      <c r="E100" s="75" t="s">
        <v>123</v>
      </c>
      <c r="F100" s="116">
        <f t="shared" si="167"/>
        <v>0.7</v>
      </c>
      <c r="G100" s="116">
        <f t="shared" si="167"/>
        <v>0.7</v>
      </c>
      <c r="H100" s="116">
        <f t="shared" si="168"/>
        <v>0.7</v>
      </c>
      <c r="I100" s="116">
        <f t="shared" si="169"/>
        <v>0</v>
      </c>
      <c r="J100" s="81">
        <v>0.15</v>
      </c>
      <c r="K100" s="72">
        <v>46171</v>
      </c>
      <c r="L100" s="72">
        <f t="shared" si="170"/>
        <v>46171</v>
      </c>
      <c r="M100" s="72">
        <v>46150</v>
      </c>
      <c r="N100" s="74">
        <f t="shared" si="171"/>
        <v>46213</v>
      </c>
      <c r="O100" s="72">
        <f t="shared" si="172"/>
        <v>46213</v>
      </c>
      <c r="P100" s="74">
        <v>46227</v>
      </c>
      <c r="Q100" s="74">
        <f t="shared" si="173"/>
        <v>46255</v>
      </c>
      <c r="R100" s="72">
        <f t="shared" si="174"/>
        <v>46255</v>
      </c>
      <c r="S100" s="74"/>
      <c r="T100" s="72">
        <f t="shared" si="175"/>
        <v>46269</v>
      </c>
      <c r="U100" s="72">
        <f t="shared" si="176"/>
        <v>46269</v>
      </c>
      <c r="V100" s="72"/>
      <c r="X100" s="184" t="str">
        <f t="shared" ca="1" si="163"/>
        <v>Completed</v>
      </c>
      <c r="Y100" s="184" t="str">
        <f t="shared" ca="1" si="164"/>
        <v>Completed</v>
      </c>
      <c r="Z100" s="184" t="str">
        <f t="shared" ca="1" si="165"/>
        <v>Follow-Next Week</v>
      </c>
      <c r="AA100" s="185" t="str">
        <f t="shared" ca="1" si="166"/>
        <v/>
      </c>
    </row>
    <row r="101" spans="1:27" s="64" customFormat="1" ht="11.5" x14ac:dyDescent="0.25">
      <c r="A101" s="70" t="s">
        <v>61</v>
      </c>
      <c r="B101" s="70" t="s">
        <v>62</v>
      </c>
      <c r="C101" s="70" t="s">
        <v>94</v>
      </c>
      <c r="D101" s="75" t="s">
        <v>302</v>
      </c>
      <c r="E101" s="75" t="s">
        <v>124</v>
      </c>
      <c r="F101" s="116">
        <f t="shared" si="167"/>
        <v>0.7</v>
      </c>
      <c r="G101" s="116">
        <f t="shared" si="167"/>
        <v>0.7</v>
      </c>
      <c r="H101" s="116">
        <f t="shared" si="168"/>
        <v>0.7</v>
      </c>
      <c r="I101" s="116">
        <f t="shared" si="169"/>
        <v>0</v>
      </c>
      <c r="J101" s="81">
        <v>0.15</v>
      </c>
      <c r="K101" s="72">
        <v>46178</v>
      </c>
      <c r="L101" s="72">
        <f t="shared" si="170"/>
        <v>46178</v>
      </c>
      <c r="M101" s="72">
        <v>46150</v>
      </c>
      <c r="N101" s="74">
        <f t="shared" si="171"/>
        <v>46220</v>
      </c>
      <c r="O101" s="72">
        <f t="shared" si="172"/>
        <v>46220</v>
      </c>
      <c r="P101" s="74">
        <v>46227</v>
      </c>
      <c r="Q101" s="74">
        <f t="shared" si="173"/>
        <v>46262</v>
      </c>
      <c r="R101" s="72">
        <f t="shared" si="174"/>
        <v>46262</v>
      </c>
      <c r="S101" s="74"/>
      <c r="T101" s="72">
        <f t="shared" si="175"/>
        <v>46276</v>
      </c>
      <c r="U101" s="72">
        <f t="shared" si="176"/>
        <v>46276</v>
      </c>
      <c r="V101" s="72"/>
      <c r="X101" s="184" t="str">
        <f t="shared" ca="1" si="163"/>
        <v>Completed</v>
      </c>
      <c r="Y101" s="184" t="str">
        <f t="shared" ca="1" si="164"/>
        <v>Completed</v>
      </c>
      <c r="Z101" s="184" t="str">
        <f t="shared" ca="1" si="165"/>
        <v/>
      </c>
      <c r="AA101" s="185" t="str">
        <f t="shared" ca="1" si="166"/>
        <v/>
      </c>
    </row>
    <row r="102" spans="1:27" s="64" customFormat="1" ht="11.5" x14ac:dyDescent="0.25">
      <c r="A102" s="70" t="s">
        <v>61</v>
      </c>
      <c r="B102" s="70" t="s">
        <v>62</v>
      </c>
      <c r="C102" s="70" t="s">
        <v>94</v>
      </c>
      <c r="D102" s="75" t="s">
        <v>303</v>
      </c>
      <c r="E102" s="75" t="s">
        <v>125</v>
      </c>
      <c r="F102" s="116">
        <f t="shared" ref="F102:H177" si="188">(COUNTIFS(K102,"&lt;="&amp;$D$1)*50%)+(COUNTIFS(N102,"&lt;="&amp;$D$1)*20%)+(COUNTIFS(Q102,"&lt;="&amp;$D$1)*10%)+(COUNTIFS(T102,"&lt;="&amp;$D$1)*20%)</f>
        <v>0.7</v>
      </c>
      <c r="G102" s="116">
        <f t="shared" si="188"/>
        <v>0.7</v>
      </c>
      <c r="H102" s="116">
        <f t="shared" si="168"/>
        <v>0.7</v>
      </c>
      <c r="I102" s="116">
        <f t="shared" si="169"/>
        <v>0</v>
      </c>
      <c r="J102" s="81">
        <v>0.15</v>
      </c>
      <c r="K102" s="72">
        <v>46178</v>
      </c>
      <c r="L102" s="72">
        <f t="shared" si="170"/>
        <v>46178</v>
      </c>
      <c r="M102" s="72">
        <v>46150</v>
      </c>
      <c r="N102" s="74">
        <f t="shared" si="171"/>
        <v>46220</v>
      </c>
      <c r="O102" s="72">
        <f t="shared" si="172"/>
        <v>46220</v>
      </c>
      <c r="P102" s="74">
        <v>46227</v>
      </c>
      <c r="Q102" s="74">
        <f t="shared" si="173"/>
        <v>46262</v>
      </c>
      <c r="R102" s="72">
        <f t="shared" si="174"/>
        <v>46262</v>
      </c>
      <c r="S102" s="74"/>
      <c r="T102" s="72">
        <f t="shared" si="175"/>
        <v>46276</v>
      </c>
      <c r="U102" s="72">
        <f t="shared" si="176"/>
        <v>46276</v>
      </c>
      <c r="V102" s="72"/>
      <c r="X102" s="184" t="str">
        <f t="shared" ca="1" si="163"/>
        <v>Completed</v>
      </c>
      <c r="Y102" s="184" t="str">
        <f t="shared" ca="1" si="164"/>
        <v>Completed</v>
      </c>
      <c r="Z102" s="184" t="str">
        <f t="shared" ca="1" si="165"/>
        <v/>
      </c>
      <c r="AA102" s="185" t="str">
        <f t="shared" ca="1" si="166"/>
        <v/>
      </c>
    </row>
    <row r="103" spans="1:27" s="64" customFormat="1" ht="11.5" x14ac:dyDescent="0.25">
      <c r="A103" s="70" t="s">
        <v>61</v>
      </c>
      <c r="B103" s="70" t="s">
        <v>62</v>
      </c>
      <c r="C103" s="70" t="s">
        <v>94</v>
      </c>
      <c r="D103" s="75" t="s">
        <v>304</v>
      </c>
      <c r="E103" s="75" t="s">
        <v>126</v>
      </c>
      <c r="F103" s="116">
        <f t="shared" si="188"/>
        <v>0.7</v>
      </c>
      <c r="G103" s="116">
        <f t="shared" si="188"/>
        <v>0.7</v>
      </c>
      <c r="H103" s="116">
        <f t="shared" si="168"/>
        <v>0.7</v>
      </c>
      <c r="I103" s="116">
        <f t="shared" si="169"/>
        <v>0</v>
      </c>
      <c r="J103" s="81">
        <v>0.15</v>
      </c>
      <c r="K103" s="72">
        <v>46178</v>
      </c>
      <c r="L103" s="72">
        <f t="shared" si="170"/>
        <v>46178</v>
      </c>
      <c r="M103" s="72">
        <v>46150</v>
      </c>
      <c r="N103" s="74">
        <f t="shared" si="171"/>
        <v>46220</v>
      </c>
      <c r="O103" s="72">
        <f t="shared" si="172"/>
        <v>46220</v>
      </c>
      <c r="P103" s="74">
        <v>46227</v>
      </c>
      <c r="Q103" s="74">
        <f t="shared" si="173"/>
        <v>46262</v>
      </c>
      <c r="R103" s="72">
        <f t="shared" si="174"/>
        <v>46262</v>
      </c>
      <c r="S103" s="74"/>
      <c r="T103" s="72">
        <f t="shared" si="175"/>
        <v>46276</v>
      </c>
      <c r="U103" s="72">
        <f t="shared" si="176"/>
        <v>46276</v>
      </c>
      <c r="V103" s="72"/>
      <c r="X103" s="184" t="str">
        <f t="shared" ca="1" si="163"/>
        <v>Completed</v>
      </c>
      <c r="Y103" s="184" t="str">
        <f t="shared" ca="1" si="164"/>
        <v>Completed</v>
      </c>
      <c r="Z103" s="184" t="str">
        <f t="shared" ca="1" si="165"/>
        <v/>
      </c>
      <c r="AA103" s="185" t="str">
        <f t="shared" ca="1" si="166"/>
        <v/>
      </c>
    </row>
    <row r="104" spans="1:27" s="64" customFormat="1" ht="11.5" x14ac:dyDescent="0.25">
      <c r="A104" s="70" t="s">
        <v>61</v>
      </c>
      <c r="B104" s="70" t="s">
        <v>62</v>
      </c>
      <c r="C104" s="70" t="s">
        <v>94</v>
      </c>
      <c r="D104" s="75" t="s">
        <v>305</v>
      </c>
      <c r="E104" s="75" t="s">
        <v>127</v>
      </c>
      <c r="F104" s="116">
        <f t="shared" si="188"/>
        <v>0.7</v>
      </c>
      <c r="G104" s="116">
        <f t="shared" si="188"/>
        <v>0.7</v>
      </c>
      <c r="H104" s="116">
        <f t="shared" si="168"/>
        <v>0.7</v>
      </c>
      <c r="I104" s="116">
        <f t="shared" si="169"/>
        <v>0</v>
      </c>
      <c r="J104" s="81">
        <v>0.15</v>
      </c>
      <c r="K104" s="72">
        <v>46178</v>
      </c>
      <c r="L104" s="72">
        <f t="shared" si="170"/>
        <v>46178</v>
      </c>
      <c r="M104" s="72">
        <v>46150</v>
      </c>
      <c r="N104" s="74">
        <f t="shared" si="171"/>
        <v>46220</v>
      </c>
      <c r="O104" s="72">
        <f t="shared" si="172"/>
        <v>46220</v>
      </c>
      <c r="P104" s="74">
        <v>46227</v>
      </c>
      <c r="Q104" s="74">
        <f t="shared" si="173"/>
        <v>46262</v>
      </c>
      <c r="R104" s="72">
        <f t="shared" si="174"/>
        <v>46262</v>
      </c>
      <c r="S104" s="74"/>
      <c r="T104" s="72">
        <f t="shared" si="175"/>
        <v>46276</v>
      </c>
      <c r="U104" s="72">
        <f t="shared" si="176"/>
        <v>46276</v>
      </c>
      <c r="V104" s="72"/>
      <c r="X104" s="184" t="str">
        <f t="shared" ca="1" si="163"/>
        <v>Completed</v>
      </c>
      <c r="Y104" s="184" t="str">
        <f t="shared" ca="1" si="164"/>
        <v>Completed</v>
      </c>
      <c r="Z104" s="184" t="str">
        <f t="shared" ca="1" si="165"/>
        <v/>
      </c>
      <c r="AA104" s="185" t="str">
        <f t="shared" ca="1" si="166"/>
        <v/>
      </c>
    </row>
    <row r="105" spans="1:27" s="64" customFormat="1" ht="11.5" x14ac:dyDescent="0.25">
      <c r="A105" s="70" t="s">
        <v>61</v>
      </c>
      <c r="B105" s="70" t="s">
        <v>62</v>
      </c>
      <c r="C105" s="70" t="s">
        <v>94</v>
      </c>
      <c r="D105" s="75" t="s">
        <v>306</v>
      </c>
      <c r="E105" s="75" t="s">
        <v>128</v>
      </c>
      <c r="F105" s="116">
        <f t="shared" si="188"/>
        <v>0.7</v>
      </c>
      <c r="G105" s="116">
        <f t="shared" si="188"/>
        <v>0.7</v>
      </c>
      <c r="H105" s="116">
        <f t="shared" si="168"/>
        <v>0.7</v>
      </c>
      <c r="I105" s="116">
        <f t="shared" si="169"/>
        <v>0</v>
      </c>
      <c r="J105" s="81">
        <v>0.15</v>
      </c>
      <c r="K105" s="72">
        <v>46178</v>
      </c>
      <c r="L105" s="72">
        <f t="shared" si="170"/>
        <v>46178</v>
      </c>
      <c r="M105" s="72">
        <v>46150</v>
      </c>
      <c r="N105" s="74">
        <f t="shared" si="171"/>
        <v>46220</v>
      </c>
      <c r="O105" s="72">
        <f t="shared" si="172"/>
        <v>46220</v>
      </c>
      <c r="P105" s="74">
        <v>46227</v>
      </c>
      <c r="Q105" s="74">
        <f t="shared" si="173"/>
        <v>46262</v>
      </c>
      <c r="R105" s="72">
        <f t="shared" si="174"/>
        <v>46262</v>
      </c>
      <c r="S105" s="74"/>
      <c r="T105" s="72">
        <f t="shared" si="175"/>
        <v>46276</v>
      </c>
      <c r="U105" s="72">
        <f t="shared" si="176"/>
        <v>46276</v>
      </c>
      <c r="V105" s="72"/>
      <c r="X105" s="184" t="str">
        <f t="shared" ca="1" si="163"/>
        <v>Completed</v>
      </c>
      <c r="Y105" s="184" t="str">
        <f t="shared" ca="1" si="164"/>
        <v>Completed</v>
      </c>
      <c r="Z105" s="184" t="str">
        <f t="shared" ca="1" si="165"/>
        <v/>
      </c>
      <c r="AA105" s="185" t="str">
        <f t="shared" ca="1" si="166"/>
        <v/>
      </c>
    </row>
    <row r="106" spans="1:27" s="64" customFormat="1" ht="11.5" x14ac:dyDescent="0.25">
      <c r="A106" s="70" t="s">
        <v>61</v>
      </c>
      <c r="B106" s="70" t="s">
        <v>62</v>
      </c>
      <c r="C106" s="70" t="s">
        <v>94</v>
      </c>
      <c r="D106" s="75" t="s">
        <v>307</v>
      </c>
      <c r="E106" s="75" t="s">
        <v>129</v>
      </c>
      <c r="F106" s="116">
        <f t="shared" si="188"/>
        <v>0.7</v>
      </c>
      <c r="G106" s="116">
        <f t="shared" si="188"/>
        <v>0.7</v>
      </c>
      <c r="H106" s="116">
        <f t="shared" si="168"/>
        <v>0.7</v>
      </c>
      <c r="I106" s="116">
        <f t="shared" si="169"/>
        <v>0</v>
      </c>
      <c r="J106" s="81">
        <v>0.15</v>
      </c>
      <c r="K106" s="72">
        <v>46178</v>
      </c>
      <c r="L106" s="72">
        <f t="shared" si="170"/>
        <v>46178</v>
      </c>
      <c r="M106" s="72">
        <v>46150</v>
      </c>
      <c r="N106" s="74">
        <f t="shared" si="171"/>
        <v>46220</v>
      </c>
      <c r="O106" s="72">
        <f t="shared" si="172"/>
        <v>46220</v>
      </c>
      <c r="P106" s="74">
        <v>46227</v>
      </c>
      <c r="Q106" s="74">
        <f t="shared" si="173"/>
        <v>46262</v>
      </c>
      <c r="R106" s="72">
        <f t="shared" si="174"/>
        <v>46262</v>
      </c>
      <c r="S106" s="74"/>
      <c r="T106" s="72">
        <f t="shared" si="175"/>
        <v>46276</v>
      </c>
      <c r="U106" s="72">
        <f t="shared" si="176"/>
        <v>46276</v>
      </c>
      <c r="V106" s="72"/>
      <c r="X106" s="184" t="str">
        <f t="shared" ca="1" si="163"/>
        <v>Completed</v>
      </c>
      <c r="Y106" s="184" t="str">
        <f t="shared" ca="1" si="164"/>
        <v>Completed</v>
      </c>
      <c r="Z106" s="184" t="str">
        <f t="shared" ca="1" si="165"/>
        <v/>
      </c>
      <c r="AA106" s="185" t="str">
        <f t="shared" ca="1" si="166"/>
        <v/>
      </c>
    </row>
    <row r="107" spans="1:27" s="64" customFormat="1" ht="11.5" x14ac:dyDescent="0.25">
      <c r="A107" s="70" t="s">
        <v>61</v>
      </c>
      <c r="B107" s="70" t="s">
        <v>62</v>
      </c>
      <c r="C107" s="70" t="s">
        <v>94</v>
      </c>
      <c r="D107" s="75" t="s">
        <v>308</v>
      </c>
      <c r="E107" s="75" t="s">
        <v>130</v>
      </c>
      <c r="F107" s="116">
        <f t="shared" si="188"/>
        <v>0.7</v>
      </c>
      <c r="G107" s="116">
        <f>(COUNTIFS(L107,"&lt;="&amp;$D$1)*50%)+(COUNTIFS(O107,"&lt;="&amp;$D$1)*20%)+(COUNTIFS(R107,"&lt;="&amp;$D$1)*10%)+(COUNTIFS(U107,"&lt;="&amp;$D$1)*20%)</f>
        <v>0.7</v>
      </c>
      <c r="H107" s="116">
        <f t="shared" si="168"/>
        <v>0.7</v>
      </c>
      <c r="I107" s="116">
        <f t="shared" si="169"/>
        <v>0</v>
      </c>
      <c r="J107" s="81">
        <v>0.15</v>
      </c>
      <c r="K107" s="72">
        <v>46178</v>
      </c>
      <c r="L107" s="72">
        <f t="shared" si="170"/>
        <v>46178</v>
      </c>
      <c r="M107" s="72">
        <v>46150</v>
      </c>
      <c r="N107" s="72">
        <f t="shared" si="171"/>
        <v>46220</v>
      </c>
      <c r="O107" s="72">
        <f t="shared" si="172"/>
        <v>46220</v>
      </c>
      <c r="P107" s="74">
        <v>46227</v>
      </c>
      <c r="Q107" s="72">
        <f t="shared" si="173"/>
        <v>46262</v>
      </c>
      <c r="R107" s="72">
        <f t="shared" si="174"/>
        <v>46262</v>
      </c>
      <c r="S107" s="74"/>
      <c r="T107" s="72">
        <f t="shared" si="175"/>
        <v>46276</v>
      </c>
      <c r="U107" s="72">
        <f t="shared" si="176"/>
        <v>46276</v>
      </c>
      <c r="V107" s="72"/>
      <c r="X107" s="184" t="str">
        <f t="shared" ca="1" si="163"/>
        <v>Completed</v>
      </c>
      <c r="Y107" s="184" t="str">
        <f t="shared" ca="1" si="164"/>
        <v>Completed</v>
      </c>
      <c r="Z107" s="184" t="str">
        <f t="shared" ca="1" si="165"/>
        <v/>
      </c>
      <c r="AA107" s="185" t="str">
        <f t="shared" ca="1" si="166"/>
        <v/>
      </c>
    </row>
    <row r="108" spans="1:27" s="64" customFormat="1" ht="11.5" x14ac:dyDescent="0.25">
      <c r="A108" s="70" t="s">
        <v>61</v>
      </c>
      <c r="B108" s="70" t="s">
        <v>62</v>
      </c>
      <c r="C108" s="70" t="s">
        <v>94</v>
      </c>
      <c r="D108" s="75" t="s">
        <v>309</v>
      </c>
      <c r="E108" s="75" t="s">
        <v>131</v>
      </c>
      <c r="F108" s="116">
        <f t="shared" si="188"/>
        <v>0.7</v>
      </c>
      <c r="G108" s="116">
        <f t="shared" si="168"/>
        <v>0.7</v>
      </c>
      <c r="H108" s="116">
        <f t="shared" si="168"/>
        <v>0.7</v>
      </c>
      <c r="I108" s="116">
        <f t="shared" si="169"/>
        <v>0</v>
      </c>
      <c r="J108" s="81">
        <v>0.15</v>
      </c>
      <c r="K108" s="72">
        <v>46178</v>
      </c>
      <c r="L108" s="72">
        <f t="shared" si="170"/>
        <v>46178</v>
      </c>
      <c r="M108" s="72">
        <v>46150</v>
      </c>
      <c r="N108" s="72">
        <f t="shared" si="171"/>
        <v>46220</v>
      </c>
      <c r="O108" s="72">
        <f t="shared" si="172"/>
        <v>46220</v>
      </c>
      <c r="P108" s="74">
        <v>46227</v>
      </c>
      <c r="Q108" s="72">
        <f t="shared" si="173"/>
        <v>46262</v>
      </c>
      <c r="R108" s="72">
        <f t="shared" si="174"/>
        <v>46262</v>
      </c>
      <c r="S108" s="72"/>
      <c r="T108" s="72">
        <f t="shared" si="175"/>
        <v>46276</v>
      </c>
      <c r="U108" s="72">
        <f t="shared" si="176"/>
        <v>46276</v>
      </c>
      <c r="V108" s="72"/>
      <c r="X108" s="184" t="str">
        <f t="shared" ca="1" si="163"/>
        <v>Completed</v>
      </c>
      <c r="Y108" s="184" t="str">
        <f t="shared" ca="1" si="164"/>
        <v>Completed</v>
      </c>
      <c r="Z108" s="184" t="str">
        <f t="shared" ca="1" si="165"/>
        <v/>
      </c>
      <c r="AA108" s="185" t="str">
        <f t="shared" ca="1" si="166"/>
        <v/>
      </c>
    </row>
    <row r="109" spans="1:27" s="64" customFormat="1" ht="11.5" x14ac:dyDescent="0.25">
      <c r="A109" s="70" t="s">
        <v>61</v>
      </c>
      <c r="B109" s="70" t="s">
        <v>62</v>
      </c>
      <c r="C109" s="70" t="s">
        <v>94</v>
      </c>
      <c r="D109" s="75" t="s">
        <v>310</v>
      </c>
      <c r="E109" s="75" t="s">
        <v>132</v>
      </c>
      <c r="F109" s="116">
        <f t="shared" si="188"/>
        <v>0.7</v>
      </c>
      <c r="G109" s="116">
        <f t="shared" si="188"/>
        <v>0.7</v>
      </c>
      <c r="H109" s="116">
        <f t="shared" si="188"/>
        <v>0.7</v>
      </c>
      <c r="I109" s="116">
        <f t="shared" si="169"/>
        <v>0</v>
      </c>
      <c r="J109" s="81">
        <v>0.15</v>
      </c>
      <c r="K109" s="72">
        <v>46178</v>
      </c>
      <c r="L109" s="72">
        <f t="shared" si="170"/>
        <v>46178</v>
      </c>
      <c r="M109" s="72">
        <v>46150</v>
      </c>
      <c r="N109" s="72">
        <f t="shared" si="171"/>
        <v>46220</v>
      </c>
      <c r="O109" s="72">
        <f t="shared" si="172"/>
        <v>46220</v>
      </c>
      <c r="P109" s="74">
        <v>46227</v>
      </c>
      <c r="Q109" s="72">
        <f t="shared" si="173"/>
        <v>46262</v>
      </c>
      <c r="R109" s="72">
        <f t="shared" si="174"/>
        <v>46262</v>
      </c>
      <c r="S109" s="72"/>
      <c r="T109" s="72">
        <f t="shared" si="175"/>
        <v>46276</v>
      </c>
      <c r="U109" s="72">
        <f t="shared" si="176"/>
        <v>46276</v>
      </c>
      <c r="V109" s="72"/>
      <c r="X109" s="184" t="str">
        <f t="shared" ca="1" si="163"/>
        <v>Completed</v>
      </c>
      <c r="Y109" s="184" t="str">
        <f t="shared" ca="1" si="164"/>
        <v>Completed</v>
      </c>
      <c r="Z109" s="184" t="str">
        <f t="shared" ca="1" si="165"/>
        <v/>
      </c>
      <c r="AA109" s="185" t="str">
        <f t="shared" ca="1" si="166"/>
        <v/>
      </c>
    </row>
    <row r="110" spans="1:27" s="64" customFormat="1" ht="11.5" x14ac:dyDescent="0.25">
      <c r="A110" s="70" t="s">
        <v>61</v>
      </c>
      <c r="B110" s="70" t="s">
        <v>62</v>
      </c>
      <c r="C110" s="70" t="s">
        <v>94</v>
      </c>
      <c r="D110" s="75" t="s">
        <v>311</v>
      </c>
      <c r="E110" s="75" t="s">
        <v>133</v>
      </c>
      <c r="F110" s="116">
        <f t="shared" ref="F110" si="189">(COUNTIFS(K110,"&lt;="&amp;$D$1)*50%)+(COUNTIFS(N110,"&lt;="&amp;$D$1)*20%)+(COUNTIFS(Q110,"&lt;="&amp;$D$1)*10%)+(COUNTIFS(T110,"&lt;="&amp;$D$1)*20%)</f>
        <v>0.7</v>
      </c>
      <c r="G110" s="116">
        <f t="shared" ref="G110" si="190">(COUNTIFS(L110,"&lt;="&amp;$D$1)*50%)+(COUNTIFS(O110,"&lt;="&amp;$D$1)*20%)+(COUNTIFS(R110,"&lt;="&amp;$D$1)*10%)+(COUNTIFS(U110,"&lt;="&amp;$D$1)*20%)</f>
        <v>0.7</v>
      </c>
      <c r="H110" s="116">
        <f t="shared" ref="H110" si="191">(COUNTIFS(M110,"&lt;="&amp;$D$1)*50%)+(COUNTIFS(P110,"&lt;="&amp;$D$1)*20%)+(COUNTIFS(S110,"&lt;="&amp;$D$1)*10%)+(COUNTIFS(V110,"&lt;="&amp;$D$1)*20%)</f>
        <v>0.7</v>
      </c>
      <c r="I110" s="116">
        <f t="shared" ref="I110" si="192">H110-F110</f>
        <v>0</v>
      </c>
      <c r="J110" s="81">
        <v>0.15</v>
      </c>
      <c r="K110" s="72">
        <v>46178</v>
      </c>
      <c r="L110" s="72">
        <f t="shared" si="170"/>
        <v>46178</v>
      </c>
      <c r="M110" s="72">
        <v>46150</v>
      </c>
      <c r="N110" s="72">
        <f t="shared" si="171"/>
        <v>46220</v>
      </c>
      <c r="O110" s="72">
        <f t="shared" si="172"/>
        <v>46220</v>
      </c>
      <c r="P110" s="74">
        <v>46227</v>
      </c>
      <c r="Q110" s="72">
        <f t="shared" si="173"/>
        <v>46262</v>
      </c>
      <c r="R110" s="72">
        <f t="shared" si="174"/>
        <v>46262</v>
      </c>
      <c r="S110" s="72"/>
      <c r="T110" s="72">
        <f t="shared" si="175"/>
        <v>46276</v>
      </c>
      <c r="U110" s="72">
        <f t="shared" si="176"/>
        <v>46276</v>
      </c>
      <c r="V110" s="72"/>
      <c r="X110" s="184" t="str">
        <f t="shared" ca="1" si="163"/>
        <v>Completed</v>
      </c>
      <c r="Y110" s="184" t="str">
        <f t="shared" ca="1" si="164"/>
        <v>Completed</v>
      </c>
      <c r="Z110" s="184" t="str">
        <f t="shared" ca="1" si="165"/>
        <v/>
      </c>
      <c r="AA110" s="185" t="str">
        <f t="shared" ca="1" si="166"/>
        <v/>
      </c>
    </row>
    <row r="111" spans="1:27" s="64" customFormat="1" ht="11.5" x14ac:dyDescent="0.25">
      <c r="A111" s="70" t="s">
        <v>61</v>
      </c>
      <c r="B111" s="70" t="s">
        <v>62</v>
      </c>
      <c r="C111" s="70" t="s">
        <v>94</v>
      </c>
      <c r="D111" s="75" t="s">
        <v>312</v>
      </c>
      <c r="E111" s="75" t="s">
        <v>134</v>
      </c>
      <c r="F111" s="116">
        <f t="shared" si="188"/>
        <v>0.7</v>
      </c>
      <c r="G111" s="116">
        <f t="shared" si="188"/>
        <v>0.7</v>
      </c>
      <c r="H111" s="116">
        <f t="shared" si="188"/>
        <v>0.7</v>
      </c>
      <c r="I111" s="116">
        <f t="shared" si="169"/>
        <v>0</v>
      </c>
      <c r="J111" s="81">
        <v>0.15</v>
      </c>
      <c r="K111" s="72">
        <v>46178</v>
      </c>
      <c r="L111" s="72">
        <f t="shared" si="170"/>
        <v>46178</v>
      </c>
      <c r="M111" s="72">
        <v>46150</v>
      </c>
      <c r="N111" s="72">
        <f t="shared" si="171"/>
        <v>46220</v>
      </c>
      <c r="O111" s="72">
        <f t="shared" si="172"/>
        <v>46220</v>
      </c>
      <c r="P111" s="74">
        <v>46227</v>
      </c>
      <c r="Q111" s="72">
        <f t="shared" si="173"/>
        <v>46262</v>
      </c>
      <c r="R111" s="72">
        <f t="shared" si="174"/>
        <v>46262</v>
      </c>
      <c r="S111" s="72"/>
      <c r="T111" s="72">
        <f t="shared" si="175"/>
        <v>46276</v>
      </c>
      <c r="U111" s="72">
        <f t="shared" si="176"/>
        <v>46276</v>
      </c>
      <c r="V111" s="72"/>
      <c r="X111" s="184" t="str">
        <f t="shared" ca="1" si="163"/>
        <v>Completed</v>
      </c>
      <c r="Y111" s="184" t="str">
        <f t="shared" ca="1" si="164"/>
        <v>Completed</v>
      </c>
      <c r="Z111" s="184" t="str">
        <f t="shared" ca="1" si="165"/>
        <v/>
      </c>
      <c r="AA111" s="185" t="str">
        <f t="shared" ca="1" si="166"/>
        <v/>
      </c>
    </row>
    <row r="112" spans="1:27" s="64" customFormat="1" ht="11.5" x14ac:dyDescent="0.25">
      <c r="A112" s="70" t="s">
        <v>61</v>
      </c>
      <c r="B112" s="70" t="s">
        <v>62</v>
      </c>
      <c r="C112" s="70" t="s">
        <v>94</v>
      </c>
      <c r="D112" s="75" t="s">
        <v>313</v>
      </c>
      <c r="E112" s="75" t="s">
        <v>135</v>
      </c>
      <c r="F112" s="116">
        <f t="shared" si="188"/>
        <v>0.7</v>
      </c>
      <c r="G112" s="116">
        <f t="shared" si="188"/>
        <v>0.7</v>
      </c>
      <c r="H112" s="116">
        <f t="shared" si="188"/>
        <v>0.7</v>
      </c>
      <c r="I112" s="116">
        <f t="shared" si="169"/>
        <v>0</v>
      </c>
      <c r="J112" s="81">
        <v>0.15</v>
      </c>
      <c r="K112" s="72">
        <v>46178</v>
      </c>
      <c r="L112" s="72">
        <f t="shared" si="170"/>
        <v>46178</v>
      </c>
      <c r="M112" s="72">
        <v>46150</v>
      </c>
      <c r="N112" s="72">
        <f t="shared" si="171"/>
        <v>46220</v>
      </c>
      <c r="O112" s="72">
        <f t="shared" si="172"/>
        <v>46220</v>
      </c>
      <c r="P112" s="74">
        <v>46227</v>
      </c>
      <c r="Q112" s="72">
        <f t="shared" si="173"/>
        <v>46262</v>
      </c>
      <c r="R112" s="72">
        <f t="shared" si="174"/>
        <v>46262</v>
      </c>
      <c r="S112" s="72"/>
      <c r="T112" s="72">
        <f t="shared" si="175"/>
        <v>46276</v>
      </c>
      <c r="U112" s="72">
        <f t="shared" si="176"/>
        <v>46276</v>
      </c>
      <c r="V112" s="72"/>
      <c r="X112" s="184" t="str">
        <f t="shared" ca="1" si="163"/>
        <v>Completed</v>
      </c>
      <c r="Y112" s="184" t="str">
        <f t="shared" ca="1" si="164"/>
        <v>Completed</v>
      </c>
      <c r="Z112" s="184" t="str">
        <f t="shared" ca="1" si="165"/>
        <v/>
      </c>
      <c r="AA112" s="185" t="str">
        <f t="shared" ca="1" si="166"/>
        <v/>
      </c>
    </row>
    <row r="113" spans="1:27" s="64" customFormat="1" ht="11.5" x14ac:dyDescent="0.25">
      <c r="A113" s="70" t="s">
        <v>61</v>
      </c>
      <c r="B113" s="70" t="s">
        <v>62</v>
      </c>
      <c r="C113" s="70" t="s">
        <v>94</v>
      </c>
      <c r="D113" s="75" t="s">
        <v>314</v>
      </c>
      <c r="E113" s="75" t="s">
        <v>136</v>
      </c>
      <c r="F113" s="116">
        <f t="shared" si="188"/>
        <v>0.7</v>
      </c>
      <c r="G113" s="116">
        <f t="shared" si="188"/>
        <v>0.7</v>
      </c>
      <c r="H113" s="116">
        <f t="shared" si="188"/>
        <v>0.7</v>
      </c>
      <c r="I113" s="116">
        <f t="shared" si="169"/>
        <v>0</v>
      </c>
      <c r="J113" s="81">
        <v>0.15</v>
      </c>
      <c r="K113" s="72">
        <v>46178</v>
      </c>
      <c r="L113" s="72">
        <f t="shared" si="170"/>
        <v>46178</v>
      </c>
      <c r="M113" s="72">
        <v>46150</v>
      </c>
      <c r="N113" s="72">
        <f t="shared" si="171"/>
        <v>46220</v>
      </c>
      <c r="O113" s="72">
        <f t="shared" si="172"/>
        <v>46220</v>
      </c>
      <c r="P113" s="74">
        <v>46227</v>
      </c>
      <c r="Q113" s="72">
        <f t="shared" si="173"/>
        <v>46262</v>
      </c>
      <c r="R113" s="72">
        <f t="shared" si="174"/>
        <v>46262</v>
      </c>
      <c r="S113" s="72"/>
      <c r="T113" s="72">
        <f t="shared" si="175"/>
        <v>46276</v>
      </c>
      <c r="U113" s="72">
        <f t="shared" si="176"/>
        <v>46276</v>
      </c>
      <c r="V113" s="72"/>
      <c r="X113" s="184" t="str">
        <f t="shared" ca="1" si="163"/>
        <v>Completed</v>
      </c>
      <c r="Y113" s="184" t="str">
        <f t="shared" ca="1" si="164"/>
        <v>Completed</v>
      </c>
      <c r="Z113" s="184" t="str">
        <f t="shared" ca="1" si="165"/>
        <v/>
      </c>
      <c r="AA113" s="185" t="str">
        <f t="shared" ca="1" si="166"/>
        <v/>
      </c>
    </row>
    <row r="114" spans="1:27" s="64" customFormat="1" ht="11.5" x14ac:dyDescent="0.25">
      <c r="A114" s="70" t="s">
        <v>61</v>
      </c>
      <c r="B114" s="70" t="s">
        <v>62</v>
      </c>
      <c r="C114" s="70" t="s">
        <v>94</v>
      </c>
      <c r="D114" s="75" t="s">
        <v>315</v>
      </c>
      <c r="E114" s="75" t="s">
        <v>137</v>
      </c>
      <c r="F114" s="116">
        <f t="shared" si="188"/>
        <v>0.7</v>
      </c>
      <c r="G114" s="116">
        <f t="shared" si="188"/>
        <v>0.7</v>
      </c>
      <c r="H114" s="116">
        <f t="shared" si="188"/>
        <v>0.7</v>
      </c>
      <c r="I114" s="116">
        <f t="shared" si="169"/>
        <v>0</v>
      </c>
      <c r="J114" s="81">
        <v>0.15</v>
      </c>
      <c r="K114" s="72">
        <v>46178</v>
      </c>
      <c r="L114" s="72">
        <f t="shared" si="170"/>
        <v>46178</v>
      </c>
      <c r="M114" s="72">
        <v>46150</v>
      </c>
      <c r="N114" s="72">
        <f t="shared" si="171"/>
        <v>46220</v>
      </c>
      <c r="O114" s="72">
        <f t="shared" si="172"/>
        <v>46220</v>
      </c>
      <c r="P114" s="74">
        <v>46227</v>
      </c>
      <c r="Q114" s="72">
        <f t="shared" si="173"/>
        <v>46262</v>
      </c>
      <c r="R114" s="72">
        <f t="shared" si="174"/>
        <v>46262</v>
      </c>
      <c r="S114" s="72"/>
      <c r="T114" s="72">
        <f t="shared" si="175"/>
        <v>46276</v>
      </c>
      <c r="U114" s="72">
        <f t="shared" si="176"/>
        <v>46276</v>
      </c>
      <c r="V114" s="72"/>
      <c r="X114" s="184" t="str">
        <f t="shared" ca="1" si="163"/>
        <v>Completed</v>
      </c>
      <c r="Y114" s="184" t="str">
        <f t="shared" ca="1" si="164"/>
        <v>Completed</v>
      </c>
      <c r="Z114" s="184" t="str">
        <f t="shared" ca="1" si="165"/>
        <v/>
      </c>
      <c r="AA114" s="185" t="str">
        <f t="shared" ca="1" si="166"/>
        <v/>
      </c>
    </row>
    <row r="115" spans="1:27" s="64" customFormat="1" ht="11.5" x14ac:dyDescent="0.25">
      <c r="A115" s="70" t="s">
        <v>61</v>
      </c>
      <c r="B115" s="70" t="s">
        <v>62</v>
      </c>
      <c r="C115" s="70" t="s">
        <v>94</v>
      </c>
      <c r="D115" s="75" t="s">
        <v>316</v>
      </c>
      <c r="E115" s="75" t="s">
        <v>138</v>
      </c>
      <c r="F115" s="116">
        <f t="shared" si="188"/>
        <v>0.7</v>
      </c>
      <c r="G115" s="116">
        <f t="shared" si="188"/>
        <v>0.7</v>
      </c>
      <c r="H115" s="116">
        <f t="shared" si="188"/>
        <v>0.7</v>
      </c>
      <c r="I115" s="116">
        <f t="shared" si="169"/>
        <v>0</v>
      </c>
      <c r="J115" s="81">
        <v>0.15</v>
      </c>
      <c r="K115" s="72">
        <v>46178</v>
      </c>
      <c r="L115" s="72">
        <f t="shared" si="170"/>
        <v>46178</v>
      </c>
      <c r="M115" s="72">
        <v>46150</v>
      </c>
      <c r="N115" s="72">
        <f t="shared" si="171"/>
        <v>46220</v>
      </c>
      <c r="O115" s="72">
        <f t="shared" si="172"/>
        <v>46220</v>
      </c>
      <c r="P115" s="74">
        <v>46227</v>
      </c>
      <c r="Q115" s="72">
        <f t="shared" si="173"/>
        <v>46262</v>
      </c>
      <c r="R115" s="72">
        <f t="shared" si="174"/>
        <v>46262</v>
      </c>
      <c r="S115" s="72"/>
      <c r="T115" s="72">
        <f t="shared" si="175"/>
        <v>46276</v>
      </c>
      <c r="U115" s="72">
        <f t="shared" si="176"/>
        <v>46276</v>
      </c>
      <c r="V115" s="72"/>
      <c r="X115" s="184" t="str">
        <f t="shared" ca="1" si="163"/>
        <v>Completed</v>
      </c>
      <c r="Y115" s="184" t="str">
        <f t="shared" ca="1" si="164"/>
        <v>Completed</v>
      </c>
      <c r="Z115" s="184" t="str">
        <f t="shared" ca="1" si="165"/>
        <v/>
      </c>
      <c r="AA115" s="185" t="str">
        <f t="shared" ca="1" si="166"/>
        <v/>
      </c>
    </row>
    <row r="116" spans="1:27" s="64" customFormat="1" ht="11.5" x14ac:dyDescent="0.25">
      <c r="A116" s="70" t="s">
        <v>61</v>
      </c>
      <c r="B116" s="70" t="s">
        <v>62</v>
      </c>
      <c r="C116" s="70" t="s">
        <v>94</v>
      </c>
      <c r="D116" s="75" t="s">
        <v>317</v>
      </c>
      <c r="E116" s="75" t="s">
        <v>139</v>
      </c>
      <c r="F116" s="116">
        <f t="shared" si="188"/>
        <v>0.7</v>
      </c>
      <c r="G116" s="116">
        <f t="shared" si="188"/>
        <v>0.7</v>
      </c>
      <c r="H116" s="116">
        <f t="shared" si="188"/>
        <v>0.7</v>
      </c>
      <c r="I116" s="116">
        <f t="shared" si="169"/>
        <v>0</v>
      </c>
      <c r="J116" s="81">
        <v>0.15</v>
      </c>
      <c r="K116" s="72">
        <v>46178</v>
      </c>
      <c r="L116" s="72">
        <f t="shared" si="170"/>
        <v>46178</v>
      </c>
      <c r="M116" s="72">
        <v>46150</v>
      </c>
      <c r="N116" s="72">
        <f t="shared" si="171"/>
        <v>46220</v>
      </c>
      <c r="O116" s="72">
        <f t="shared" si="172"/>
        <v>46220</v>
      </c>
      <c r="P116" s="74">
        <v>46227</v>
      </c>
      <c r="Q116" s="72">
        <f t="shared" si="173"/>
        <v>46262</v>
      </c>
      <c r="R116" s="72">
        <f t="shared" si="174"/>
        <v>46262</v>
      </c>
      <c r="S116" s="72"/>
      <c r="T116" s="72">
        <f t="shared" si="175"/>
        <v>46276</v>
      </c>
      <c r="U116" s="72">
        <f t="shared" si="176"/>
        <v>46276</v>
      </c>
      <c r="V116" s="72"/>
      <c r="X116" s="184" t="str">
        <f t="shared" ca="1" si="163"/>
        <v>Completed</v>
      </c>
      <c r="Y116" s="184" t="str">
        <f t="shared" ca="1" si="164"/>
        <v>Completed</v>
      </c>
      <c r="Z116" s="184" t="str">
        <f t="shared" ca="1" si="165"/>
        <v/>
      </c>
      <c r="AA116" s="185" t="str">
        <f t="shared" ca="1" si="166"/>
        <v/>
      </c>
    </row>
    <row r="117" spans="1:27" s="64" customFormat="1" ht="11.5" x14ac:dyDescent="0.25">
      <c r="A117" s="70" t="s">
        <v>61</v>
      </c>
      <c r="B117" s="70" t="s">
        <v>62</v>
      </c>
      <c r="C117" s="70" t="s">
        <v>94</v>
      </c>
      <c r="D117" s="75" t="s">
        <v>318</v>
      </c>
      <c r="E117" s="75" t="s">
        <v>140</v>
      </c>
      <c r="F117" s="116">
        <f t="shared" si="188"/>
        <v>0.7</v>
      </c>
      <c r="G117" s="116">
        <f t="shared" si="188"/>
        <v>0.7</v>
      </c>
      <c r="H117" s="116">
        <f t="shared" si="188"/>
        <v>0.7</v>
      </c>
      <c r="I117" s="116">
        <f t="shared" si="169"/>
        <v>0</v>
      </c>
      <c r="J117" s="81">
        <v>0.15</v>
      </c>
      <c r="K117" s="72">
        <v>46178</v>
      </c>
      <c r="L117" s="72">
        <f t="shared" si="170"/>
        <v>46178</v>
      </c>
      <c r="M117" s="72">
        <v>46150</v>
      </c>
      <c r="N117" s="72">
        <f t="shared" si="171"/>
        <v>46220</v>
      </c>
      <c r="O117" s="72">
        <f t="shared" si="172"/>
        <v>46220</v>
      </c>
      <c r="P117" s="74">
        <v>46227</v>
      </c>
      <c r="Q117" s="72">
        <f t="shared" si="173"/>
        <v>46262</v>
      </c>
      <c r="R117" s="72">
        <f t="shared" si="174"/>
        <v>46262</v>
      </c>
      <c r="S117" s="72"/>
      <c r="T117" s="72">
        <f t="shared" si="175"/>
        <v>46276</v>
      </c>
      <c r="U117" s="72">
        <f t="shared" si="176"/>
        <v>46276</v>
      </c>
      <c r="V117" s="72"/>
      <c r="X117" s="184" t="str">
        <f t="shared" ca="1" si="163"/>
        <v>Completed</v>
      </c>
      <c r="Y117" s="184" t="str">
        <f t="shared" ca="1" si="164"/>
        <v>Completed</v>
      </c>
      <c r="Z117" s="184" t="str">
        <f t="shared" ca="1" si="165"/>
        <v/>
      </c>
      <c r="AA117" s="185" t="str">
        <f t="shared" ca="1" si="166"/>
        <v/>
      </c>
    </row>
    <row r="118" spans="1:27" s="64" customFormat="1" ht="11.5" x14ac:dyDescent="0.25">
      <c r="A118" s="70" t="s">
        <v>61</v>
      </c>
      <c r="B118" s="70" t="s">
        <v>62</v>
      </c>
      <c r="C118" s="70" t="s">
        <v>94</v>
      </c>
      <c r="D118" s="75" t="s">
        <v>319</v>
      </c>
      <c r="E118" s="75" t="s">
        <v>141</v>
      </c>
      <c r="F118" s="116">
        <f t="shared" si="188"/>
        <v>0.7</v>
      </c>
      <c r="G118" s="116">
        <f t="shared" si="188"/>
        <v>0.7</v>
      </c>
      <c r="H118" s="116">
        <f t="shared" si="188"/>
        <v>0.7</v>
      </c>
      <c r="I118" s="116">
        <f t="shared" si="169"/>
        <v>0</v>
      </c>
      <c r="J118" s="81">
        <v>0.15</v>
      </c>
      <c r="K118" s="72">
        <v>46178</v>
      </c>
      <c r="L118" s="72">
        <f t="shared" si="170"/>
        <v>46178</v>
      </c>
      <c r="M118" s="72">
        <v>46150</v>
      </c>
      <c r="N118" s="72">
        <f t="shared" si="171"/>
        <v>46220</v>
      </c>
      <c r="O118" s="72">
        <f t="shared" si="172"/>
        <v>46220</v>
      </c>
      <c r="P118" s="74">
        <v>46227</v>
      </c>
      <c r="Q118" s="72">
        <f t="shared" si="173"/>
        <v>46262</v>
      </c>
      <c r="R118" s="72">
        <f t="shared" si="174"/>
        <v>46262</v>
      </c>
      <c r="S118" s="72"/>
      <c r="T118" s="72">
        <f t="shared" si="175"/>
        <v>46276</v>
      </c>
      <c r="U118" s="72">
        <f t="shared" si="176"/>
        <v>46276</v>
      </c>
      <c r="V118" s="72"/>
      <c r="X118" s="184" t="str">
        <f t="shared" ca="1" si="163"/>
        <v>Completed</v>
      </c>
      <c r="Y118" s="184" t="str">
        <f t="shared" ca="1" si="164"/>
        <v>Completed</v>
      </c>
      <c r="Z118" s="184" t="str">
        <f t="shared" ca="1" si="165"/>
        <v/>
      </c>
      <c r="AA118" s="185" t="str">
        <f t="shared" ca="1" si="166"/>
        <v/>
      </c>
    </row>
    <row r="119" spans="1:27" s="64" customFormat="1" ht="11.5" x14ac:dyDescent="0.25">
      <c r="A119" s="70" t="s">
        <v>61</v>
      </c>
      <c r="B119" s="70" t="s">
        <v>62</v>
      </c>
      <c r="C119" s="70" t="s">
        <v>94</v>
      </c>
      <c r="D119" s="75" t="s">
        <v>320</v>
      </c>
      <c r="E119" s="75" t="s">
        <v>142</v>
      </c>
      <c r="F119" s="116">
        <f t="shared" si="188"/>
        <v>0.7</v>
      </c>
      <c r="G119" s="116">
        <f t="shared" si="188"/>
        <v>0.7</v>
      </c>
      <c r="H119" s="116">
        <f t="shared" si="188"/>
        <v>0.7</v>
      </c>
      <c r="I119" s="116">
        <f t="shared" si="169"/>
        <v>0</v>
      </c>
      <c r="J119" s="81">
        <v>0.15</v>
      </c>
      <c r="K119" s="72">
        <v>46178</v>
      </c>
      <c r="L119" s="72">
        <f t="shared" si="170"/>
        <v>46178</v>
      </c>
      <c r="M119" s="72">
        <v>46150</v>
      </c>
      <c r="N119" s="72">
        <f t="shared" si="171"/>
        <v>46220</v>
      </c>
      <c r="O119" s="72">
        <f t="shared" si="172"/>
        <v>46220</v>
      </c>
      <c r="P119" s="74">
        <v>46227</v>
      </c>
      <c r="Q119" s="72">
        <f t="shared" si="173"/>
        <v>46262</v>
      </c>
      <c r="R119" s="72">
        <f t="shared" si="174"/>
        <v>46262</v>
      </c>
      <c r="S119" s="72"/>
      <c r="T119" s="72">
        <f t="shared" si="175"/>
        <v>46276</v>
      </c>
      <c r="U119" s="72">
        <f t="shared" si="176"/>
        <v>46276</v>
      </c>
      <c r="V119" s="72"/>
      <c r="X119" s="184" t="str">
        <f t="shared" ca="1" si="163"/>
        <v>Completed</v>
      </c>
      <c r="Y119" s="184" t="str">
        <f t="shared" ca="1" si="164"/>
        <v>Completed</v>
      </c>
      <c r="Z119" s="184" t="str">
        <f t="shared" ca="1" si="165"/>
        <v/>
      </c>
      <c r="AA119" s="185" t="str">
        <f t="shared" ca="1" si="166"/>
        <v/>
      </c>
    </row>
    <row r="120" spans="1:27" s="64" customFormat="1" ht="11.5" x14ac:dyDescent="0.25">
      <c r="A120" s="70" t="s">
        <v>61</v>
      </c>
      <c r="B120" s="70" t="s">
        <v>62</v>
      </c>
      <c r="C120" s="70" t="s">
        <v>94</v>
      </c>
      <c r="D120" s="75" t="s">
        <v>321</v>
      </c>
      <c r="E120" s="75" t="s">
        <v>143</v>
      </c>
      <c r="F120" s="116">
        <f t="shared" si="188"/>
        <v>0.7</v>
      </c>
      <c r="G120" s="116">
        <f t="shared" si="188"/>
        <v>0.7</v>
      </c>
      <c r="H120" s="116">
        <f t="shared" si="188"/>
        <v>0.7</v>
      </c>
      <c r="I120" s="116">
        <f t="shared" si="169"/>
        <v>0</v>
      </c>
      <c r="J120" s="81">
        <v>0.15</v>
      </c>
      <c r="K120" s="72">
        <v>46178</v>
      </c>
      <c r="L120" s="72">
        <f t="shared" si="170"/>
        <v>46178</v>
      </c>
      <c r="M120" s="72">
        <v>46150</v>
      </c>
      <c r="N120" s="72">
        <f t="shared" si="171"/>
        <v>46220</v>
      </c>
      <c r="O120" s="72">
        <f t="shared" si="172"/>
        <v>46220</v>
      </c>
      <c r="P120" s="74">
        <v>46227</v>
      </c>
      <c r="Q120" s="72">
        <f t="shared" si="173"/>
        <v>46262</v>
      </c>
      <c r="R120" s="72">
        <f t="shared" si="174"/>
        <v>46262</v>
      </c>
      <c r="S120" s="72"/>
      <c r="T120" s="72">
        <f t="shared" si="175"/>
        <v>46276</v>
      </c>
      <c r="U120" s="72">
        <f t="shared" si="176"/>
        <v>46276</v>
      </c>
      <c r="V120" s="72"/>
      <c r="X120" s="184" t="str">
        <f t="shared" ca="1" si="163"/>
        <v>Completed</v>
      </c>
      <c r="Y120" s="184" t="str">
        <f t="shared" ca="1" si="164"/>
        <v>Completed</v>
      </c>
      <c r="Z120" s="184" t="str">
        <f t="shared" ca="1" si="165"/>
        <v/>
      </c>
      <c r="AA120" s="185" t="str">
        <f t="shared" ca="1" si="166"/>
        <v/>
      </c>
    </row>
    <row r="121" spans="1:27" s="64" customFormat="1" ht="11.5" x14ac:dyDescent="0.25">
      <c r="A121" s="70" t="s">
        <v>61</v>
      </c>
      <c r="B121" s="70" t="s">
        <v>62</v>
      </c>
      <c r="C121" s="70" t="s">
        <v>94</v>
      </c>
      <c r="D121" s="75" t="s">
        <v>322</v>
      </c>
      <c r="E121" s="75" t="s">
        <v>144</v>
      </c>
      <c r="F121" s="116">
        <f t="shared" si="188"/>
        <v>0.7</v>
      </c>
      <c r="G121" s="116">
        <f t="shared" si="188"/>
        <v>0.7</v>
      </c>
      <c r="H121" s="116">
        <f t="shared" si="188"/>
        <v>0.7</v>
      </c>
      <c r="I121" s="116">
        <f t="shared" si="169"/>
        <v>0</v>
      </c>
      <c r="J121" s="81">
        <v>0.15</v>
      </c>
      <c r="K121" s="72">
        <v>46178</v>
      </c>
      <c r="L121" s="72">
        <f t="shared" si="170"/>
        <v>46178</v>
      </c>
      <c r="M121" s="72">
        <v>46150</v>
      </c>
      <c r="N121" s="72">
        <f t="shared" si="171"/>
        <v>46220</v>
      </c>
      <c r="O121" s="72">
        <f t="shared" si="172"/>
        <v>46220</v>
      </c>
      <c r="P121" s="74">
        <v>46227</v>
      </c>
      <c r="Q121" s="72">
        <f t="shared" si="173"/>
        <v>46262</v>
      </c>
      <c r="R121" s="72">
        <f t="shared" si="174"/>
        <v>46262</v>
      </c>
      <c r="S121" s="72"/>
      <c r="T121" s="72">
        <f t="shared" si="175"/>
        <v>46276</v>
      </c>
      <c r="U121" s="72">
        <f t="shared" si="176"/>
        <v>46276</v>
      </c>
      <c r="V121" s="72"/>
      <c r="X121" s="184" t="str">
        <f t="shared" ca="1" si="163"/>
        <v>Completed</v>
      </c>
      <c r="Y121" s="184" t="str">
        <f t="shared" ca="1" si="164"/>
        <v>Completed</v>
      </c>
      <c r="Z121" s="184" t="str">
        <f t="shared" ca="1" si="165"/>
        <v/>
      </c>
      <c r="AA121" s="185" t="str">
        <f t="shared" ca="1" si="166"/>
        <v/>
      </c>
    </row>
    <row r="122" spans="1:27" s="64" customFormat="1" ht="11.5" x14ac:dyDescent="0.25">
      <c r="A122" s="70" t="s">
        <v>61</v>
      </c>
      <c r="B122" s="70" t="s">
        <v>62</v>
      </c>
      <c r="C122" s="70" t="s">
        <v>94</v>
      </c>
      <c r="D122" s="75" t="s">
        <v>323</v>
      </c>
      <c r="E122" s="75" t="s">
        <v>145</v>
      </c>
      <c r="F122" s="116">
        <f t="shared" si="188"/>
        <v>0.7</v>
      </c>
      <c r="G122" s="116">
        <f t="shared" si="188"/>
        <v>0.7</v>
      </c>
      <c r="H122" s="116">
        <f t="shared" si="188"/>
        <v>0.7</v>
      </c>
      <c r="I122" s="116">
        <f t="shared" si="169"/>
        <v>0</v>
      </c>
      <c r="J122" s="81">
        <v>0.15</v>
      </c>
      <c r="K122" s="72">
        <v>46178</v>
      </c>
      <c r="L122" s="72">
        <f t="shared" si="170"/>
        <v>46178</v>
      </c>
      <c r="M122" s="72">
        <v>46150</v>
      </c>
      <c r="N122" s="72">
        <f t="shared" si="171"/>
        <v>46220</v>
      </c>
      <c r="O122" s="72">
        <f t="shared" si="172"/>
        <v>46220</v>
      </c>
      <c r="P122" s="74">
        <v>46227</v>
      </c>
      <c r="Q122" s="72">
        <f t="shared" si="173"/>
        <v>46262</v>
      </c>
      <c r="R122" s="72">
        <f t="shared" si="174"/>
        <v>46262</v>
      </c>
      <c r="S122" s="72"/>
      <c r="T122" s="72">
        <f t="shared" si="175"/>
        <v>46276</v>
      </c>
      <c r="U122" s="72">
        <f t="shared" si="176"/>
        <v>46276</v>
      </c>
      <c r="V122" s="72"/>
      <c r="X122" s="184" t="str">
        <f t="shared" ca="1" si="163"/>
        <v>Completed</v>
      </c>
      <c r="Y122" s="184" t="str">
        <f t="shared" ca="1" si="164"/>
        <v>Completed</v>
      </c>
      <c r="Z122" s="184" t="str">
        <f t="shared" ca="1" si="165"/>
        <v/>
      </c>
      <c r="AA122" s="185" t="str">
        <f t="shared" ca="1" si="166"/>
        <v/>
      </c>
    </row>
    <row r="123" spans="1:27" s="64" customFormat="1" ht="11.5" x14ac:dyDescent="0.25">
      <c r="A123" s="70" t="s">
        <v>61</v>
      </c>
      <c r="B123" s="70" t="s">
        <v>62</v>
      </c>
      <c r="C123" s="70" t="s">
        <v>94</v>
      </c>
      <c r="D123" s="75" t="s">
        <v>408</v>
      </c>
      <c r="E123" s="75" t="s">
        <v>409</v>
      </c>
      <c r="F123" s="116">
        <f t="shared" ref="F123" si="193">(COUNTIFS(K123,"&lt;="&amp;$D$1)*50%)+(COUNTIFS(N123,"&lt;="&amp;$D$1)*20%)+(COUNTIFS(Q123,"&lt;="&amp;$D$1)*10%)+(COUNTIFS(T123,"&lt;="&amp;$D$1)*20%)</f>
        <v>0.7</v>
      </c>
      <c r="G123" s="116">
        <f t="shared" ref="G123" si="194">(COUNTIFS(L123,"&lt;="&amp;$D$1)*50%)+(COUNTIFS(O123,"&lt;="&amp;$D$1)*20%)+(COUNTIFS(R123,"&lt;="&amp;$D$1)*10%)+(COUNTIFS(U123,"&lt;="&amp;$D$1)*20%)</f>
        <v>0.7</v>
      </c>
      <c r="H123" s="116">
        <f t="shared" ref="H123" si="195">(COUNTIFS(M123,"&lt;="&amp;$D$1)*50%)+(COUNTIFS(P123,"&lt;="&amp;$D$1)*20%)+(COUNTIFS(S123,"&lt;="&amp;$D$1)*10%)+(COUNTIFS(V123,"&lt;="&amp;$D$1)*20%)</f>
        <v>0.7</v>
      </c>
      <c r="I123" s="116">
        <f t="shared" ref="I123" si="196">H123-F123</f>
        <v>0</v>
      </c>
      <c r="J123" s="81">
        <v>0.15</v>
      </c>
      <c r="K123" s="72">
        <v>46178</v>
      </c>
      <c r="L123" s="72">
        <f t="shared" ref="L123" si="197">K123</f>
        <v>46178</v>
      </c>
      <c r="M123" s="72">
        <v>46150</v>
      </c>
      <c r="N123" s="72">
        <f t="shared" ref="N123" si="198">K123+42</f>
        <v>46220</v>
      </c>
      <c r="O123" s="72">
        <f t="shared" ref="O123" si="199">N123</f>
        <v>46220</v>
      </c>
      <c r="P123" s="74">
        <v>46227</v>
      </c>
      <c r="Q123" s="72">
        <f t="shared" ref="Q123" si="200">N123+42</f>
        <v>46262</v>
      </c>
      <c r="R123" s="72">
        <f t="shared" ref="R123" si="201">Q123</f>
        <v>46262</v>
      </c>
      <c r="S123" s="72"/>
      <c r="T123" s="72">
        <f t="shared" ref="T123" si="202">Q123+14</f>
        <v>46276</v>
      </c>
      <c r="U123" s="72">
        <f t="shared" ref="U123" si="203">T123</f>
        <v>46276</v>
      </c>
      <c r="V123" s="72"/>
      <c r="X123" s="184" t="str">
        <f t="shared" ca="1" si="163"/>
        <v>Completed</v>
      </c>
      <c r="Y123" s="184" t="str">
        <f t="shared" ca="1" si="164"/>
        <v>Completed</v>
      </c>
      <c r="Z123" s="184" t="str">
        <f t="shared" ca="1" si="165"/>
        <v/>
      </c>
      <c r="AA123" s="185" t="str">
        <f t="shared" ca="1" si="166"/>
        <v/>
      </c>
    </row>
    <row r="124" spans="1:27" s="64" customFormat="1" ht="11.5" x14ac:dyDescent="0.25">
      <c r="A124" s="70" t="s">
        <v>61</v>
      </c>
      <c r="B124" s="70" t="s">
        <v>62</v>
      </c>
      <c r="C124" s="70" t="s">
        <v>94</v>
      </c>
      <c r="D124" s="75" t="s">
        <v>324</v>
      </c>
      <c r="E124" s="75" t="s">
        <v>146</v>
      </c>
      <c r="F124" s="116">
        <f t="shared" si="188"/>
        <v>0.7</v>
      </c>
      <c r="G124" s="116">
        <f t="shared" si="188"/>
        <v>0.7</v>
      </c>
      <c r="H124" s="116">
        <f t="shared" si="188"/>
        <v>0.5</v>
      </c>
      <c r="I124" s="116">
        <f t="shared" si="169"/>
        <v>-0.19999999999999996</v>
      </c>
      <c r="J124" s="81">
        <v>0.15</v>
      </c>
      <c r="K124" s="72">
        <v>46185</v>
      </c>
      <c r="L124" s="72">
        <f t="shared" si="170"/>
        <v>46185</v>
      </c>
      <c r="M124" s="72">
        <v>46171</v>
      </c>
      <c r="N124" s="72">
        <f t="shared" si="171"/>
        <v>46227</v>
      </c>
      <c r="O124" s="72">
        <f t="shared" si="172"/>
        <v>46227</v>
      </c>
      <c r="P124" s="72"/>
      <c r="Q124" s="72">
        <f t="shared" si="173"/>
        <v>46269</v>
      </c>
      <c r="R124" s="72">
        <f t="shared" si="174"/>
        <v>46269</v>
      </c>
      <c r="S124" s="72"/>
      <c r="T124" s="72">
        <f t="shared" si="175"/>
        <v>46283</v>
      </c>
      <c r="U124" s="72">
        <f t="shared" si="176"/>
        <v>46283</v>
      </c>
      <c r="V124" s="72"/>
      <c r="X124" s="184" t="str">
        <f t="shared" ca="1" si="163"/>
        <v>Completed</v>
      </c>
      <c r="Y124" s="184" t="str">
        <f t="shared" ca="1" si="164"/>
        <v>Overdue</v>
      </c>
      <c r="Z124" s="184" t="str">
        <f t="shared" ca="1" si="165"/>
        <v/>
      </c>
      <c r="AA124" s="185" t="str">
        <f t="shared" ca="1" si="166"/>
        <v/>
      </c>
    </row>
    <row r="125" spans="1:27" s="64" customFormat="1" ht="11.5" x14ac:dyDescent="0.25">
      <c r="A125" s="70" t="s">
        <v>61</v>
      </c>
      <c r="B125" s="70" t="s">
        <v>62</v>
      </c>
      <c r="C125" s="70" t="s">
        <v>94</v>
      </c>
      <c r="D125" s="75" t="s">
        <v>325</v>
      </c>
      <c r="E125" s="75" t="s">
        <v>147</v>
      </c>
      <c r="F125" s="116">
        <f t="shared" si="188"/>
        <v>0.7</v>
      </c>
      <c r="G125" s="116">
        <f t="shared" si="188"/>
        <v>0.7</v>
      </c>
      <c r="H125" s="116">
        <f t="shared" si="188"/>
        <v>0.5</v>
      </c>
      <c r="I125" s="116">
        <f t="shared" si="169"/>
        <v>-0.19999999999999996</v>
      </c>
      <c r="J125" s="81">
        <v>0.15</v>
      </c>
      <c r="K125" s="72">
        <v>46185</v>
      </c>
      <c r="L125" s="72">
        <f t="shared" si="170"/>
        <v>46185</v>
      </c>
      <c r="M125" s="72">
        <v>46171</v>
      </c>
      <c r="N125" s="72">
        <f t="shared" si="171"/>
        <v>46227</v>
      </c>
      <c r="O125" s="72">
        <f t="shared" si="172"/>
        <v>46227</v>
      </c>
      <c r="P125" s="72"/>
      <c r="Q125" s="72">
        <f t="shared" si="173"/>
        <v>46269</v>
      </c>
      <c r="R125" s="72">
        <f t="shared" si="174"/>
        <v>46269</v>
      </c>
      <c r="S125" s="72"/>
      <c r="T125" s="72">
        <f t="shared" si="175"/>
        <v>46283</v>
      </c>
      <c r="U125" s="72">
        <f t="shared" si="176"/>
        <v>46283</v>
      </c>
      <c r="V125" s="72"/>
      <c r="X125" s="184" t="str">
        <f t="shared" ca="1" si="163"/>
        <v>Completed</v>
      </c>
      <c r="Y125" s="184" t="str">
        <f t="shared" ca="1" si="164"/>
        <v>Overdue</v>
      </c>
      <c r="Z125" s="184" t="str">
        <f t="shared" ca="1" si="165"/>
        <v/>
      </c>
      <c r="AA125" s="185" t="str">
        <f t="shared" ca="1" si="166"/>
        <v/>
      </c>
    </row>
    <row r="126" spans="1:27" s="64" customFormat="1" ht="11.5" x14ac:dyDescent="0.25">
      <c r="A126" s="70" t="s">
        <v>61</v>
      </c>
      <c r="B126" s="70" t="s">
        <v>62</v>
      </c>
      <c r="C126" s="70" t="s">
        <v>94</v>
      </c>
      <c r="D126" s="75" t="s">
        <v>326</v>
      </c>
      <c r="E126" s="75" t="s">
        <v>148</v>
      </c>
      <c r="F126" s="116">
        <f t="shared" si="188"/>
        <v>0.7</v>
      </c>
      <c r="G126" s="116">
        <f t="shared" si="188"/>
        <v>0.7</v>
      </c>
      <c r="H126" s="116">
        <f t="shared" si="188"/>
        <v>0.7</v>
      </c>
      <c r="I126" s="116">
        <f t="shared" si="169"/>
        <v>0</v>
      </c>
      <c r="J126" s="81">
        <v>0.15</v>
      </c>
      <c r="K126" s="72">
        <v>46185</v>
      </c>
      <c r="L126" s="72">
        <f t="shared" si="170"/>
        <v>46185</v>
      </c>
      <c r="M126" s="72">
        <v>46161</v>
      </c>
      <c r="N126" s="72">
        <f t="shared" si="171"/>
        <v>46227</v>
      </c>
      <c r="O126" s="72">
        <f t="shared" si="172"/>
        <v>46227</v>
      </c>
      <c r="P126" s="72">
        <v>46234</v>
      </c>
      <c r="Q126" s="72">
        <f t="shared" si="173"/>
        <v>46269</v>
      </c>
      <c r="R126" s="72">
        <f t="shared" si="174"/>
        <v>46269</v>
      </c>
      <c r="S126" s="72"/>
      <c r="T126" s="72">
        <f t="shared" si="175"/>
        <v>46283</v>
      </c>
      <c r="U126" s="72">
        <f t="shared" si="176"/>
        <v>46283</v>
      </c>
      <c r="V126" s="72"/>
      <c r="X126" s="184" t="str">
        <f t="shared" ca="1" si="163"/>
        <v>Completed</v>
      </c>
      <c r="Y126" s="184" t="str">
        <f t="shared" ca="1" si="164"/>
        <v>Completed</v>
      </c>
      <c r="Z126" s="184" t="str">
        <f t="shared" ca="1" si="165"/>
        <v/>
      </c>
      <c r="AA126" s="185" t="str">
        <f t="shared" ca="1" si="166"/>
        <v/>
      </c>
    </row>
    <row r="127" spans="1:27" s="64" customFormat="1" ht="11.5" x14ac:dyDescent="0.25">
      <c r="A127" s="70" t="s">
        <v>61</v>
      </c>
      <c r="B127" s="70" t="s">
        <v>62</v>
      </c>
      <c r="C127" s="70" t="s">
        <v>94</v>
      </c>
      <c r="D127" s="75" t="s">
        <v>327</v>
      </c>
      <c r="E127" s="75" t="s">
        <v>149</v>
      </c>
      <c r="F127" s="116">
        <f t="shared" si="188"/>
        <v>0.7</v>
      </c>
      <c r="G127" s="116">
        <f t="shared" si="188"/>
        <v>0.7</v>
      </c>
      <c r="H127" s="116">
        <f t="shared" si="188"/>
        <v>0.7</v>
      </c>
      <c r="I127" s="116">
        <f t="shared" si="169"/>
        <v>0</v>
      </c>
      <c r="J127" s="81">
        <v>0.15</v>
      </c>
      <c r="K127" s="72">
        <v>46185</v>
      </c>
      <c r="L127" s="72">
        <f t="shared" si="170"/>
        <v>46185</v>
      </c>
      <c r="M127" s="72">
        <v>46161</v>
      </c>
      <c r="N127" s="72">
        <f t="shared" si="171"/>
        <v>46227</v>
      </c>
      <c r="O127" s="72">
        <f t="shared" si="172"/>
        <v>46227</v>
      </c>
      <c r="P127" s="72">
        <v>46234</v>
      </c>
      <c r="Q127" s="72">
        <f t="shared" si="173"/>
        <v>46269</v>
      </c>
      <c r="R127" s="72">
        <f t="shared" si="174"/>
        <v>46269</v>
      </c>
      <c r="S127" s="72"/>
      <c r="T127" s="72">
        <f t="shared" si="175"/>
        <v>46283</v>
      </c>
      <c r="U127" s="72">
        <f t="shared" si="176"/>
        <v>46283</v>
      </c>
      <c r="V127" s="72"/>
      <c r="X127" s="184" t="str">
        <f t="shared" ca="1" si="163"/>
        <v>Completed</v>
      </c>
      <c r="Y127" s="184" t="str">
        <f t="shared" ca="1" si="164"/>
        <v>Completed</v>
      </c>
      <c r="Z127" s="184" t="str">
        <f t="shared" ca="1" si="165"/>
        <v/>
      </c>
      <c r="AA127" s="185" t="str">
        <f t="shared" ca="1" si="166"/>
        <v/>
      </c>
    </row>
    <row r="128" spans="1:27" s="64" customFormat="1" ht="11.5" x14ac:dyDescent="0.25">
      <c r="A128" s="70" t="s">
        <v>61</v>
      </c>
      <c r="B128" s="70" t="s">
        <v>62</v>
      </c>
      <c r="C128" s="70" t="s">
        <v>94</v>
      </c>
      <c r="D128" s="75" t="s">
        <v>328</v>
      </c>
      <c r="E128" s="75" t="s">
        <v>150</v>
      </c>
      <c r="F128" s="116">
        <f t="shared" si="188"/>
        <v>0.7</v>
      </c>
      <c r="G128" s="116">
        <f t="shared" si="188"/>
        <v>0.7</v>
      </c>
      <c r="H128" s="116">
        <f t="shared" si="188"/>
        <v>0.7</v>
      </c>
      <c r="I128" s="116">
        <f t="shared" si="169"/>
        <v>0</v>
      </c>
      <c r="J128" s="81">
        <v>0.15</v>
      </c>
      <c r="K128" s="72">
        <v>46185</v>
      </c>
      <c r="L128" s="72">
        <f t="shared" si="170"/>
        <v>46185</v>
      </c>
      <c r="M128" s="72">
        <v>46161</v>
      </c>
      <c r="N128" s="72">
        <f t="shared" si="171"/>
        <v>46227</v>
      </c>
      <c r="O128" s="72">
        <f t="shared" si="172"/>
        <v>46227</v>
      </c>
      <c r="P128" s="72">
        <v>46234</v>
      </c>
      <c r="Q128" s="72">
        <f t="shared" si="173"/>
        <v>46269</v>
      </c>
      <c r="R128" s="72">
        <f t="shared" si="174"/>
        <v>46269</v>
      </c>
      <c r="S128" s="72"/>
      <c r="T128" s="72">
        <f t="shared" si="175"/>
        <v>46283</v>
      </c>
      <c r="U128" s="72">
        <f t="shared" si="176"/>
        <v>46283</v>
      </c>
      <c r="V128" s="72"/>
      <c r="X128" s="184" t="str">
        <f t="shared" ca="1" si="163"/>
        <v>Completed</v>
      </c>
      <c r="Y128" s="184" t="str">
        <f t="shared" ca="1" si="164"/>
        <v>Completed</v>
      </c>
      <c r="Z128" s="184" t="str">
        <f t="shared" ca="1" si="165"/>
        <v/>
      </c>
      <c r="AA128" s="185" t="str">
        <f t="shared" ca="1" si="166"/>
        <v/>
      </c>
    </row>
    <row r="129" spans="1:27" s="64" customFormat="1" ht="11.5" x14ac:dyDescent="0.25">
      <c r="A129" s="70" t="s">
        <v>61</v>
      </c>
      <c r="B129" s="70" t="s">
        <v>62</v>
      </c>
      <c r="C129" s="70" t="s">
        <v>94</v>
      </c>
      <c r="D129" s="75" t="s">
        <v>329</v>
      </c>
      <c r="E129" s="75" t="s">
        <v>151</v>
      </c>
      <c r="F129" s="116">
        <f t="shared" si="188"/>
        <v>0.7</v>
      </c>
      <c r="G129" s="116">
        <f t="shared" si="188"/>
        <v>0.7</v>
      </c>
      <c r="H129" s="116">
        <f t="shared" si="188"/>
        <v>0.7</v>
      </c>
      <c r="I129" s="116">
        <f t="shared" si="169"/>
        <v>0</v>
      </c>
      <c r="J129" s="81">
        <v>0.15</v>
      </c>
      <c r="K129" s="72">
        <v>46185</v>
      </c>
      <c r="L129" s="72">
        <f t="shared" si="170"/>
        <v>46185</v>
      </c>
      <c r="M129" s="72">
        <v>46161</v>
      </c>
      <c r="N129" s="72">
        <f t="shared" si="171"/>
        <v>46227</v>
      </c>
      <c r="O129" s="72">
        <f t="shared" si="172"/>
        <v>46227</v>
      </c>
      <c r="P129" s="72">
        <v>46234</v>
      </c>
      <c r="Q129" s="72">
        <f t="shared" si="173"/>
        <v>46269</v>
      </c>
      <c r="R129" s="72">
        <f t="shared" si="174"/>
        <v>46269</v>
      </c>
      <c r="S129" s="72"/>
      <c r="T129" s="72">
        <f t="shared" si="175"/>
        <v>46283</v>
      </c>
      <c r="U129" s="72">
        <f t="shared" si="176"/>
        <v>46283</v>
      </c>
      <c r="V129" s="72"/>
      <c r="X129" s="184" t="str">
        <f t="shared" ca="1" si="163"/>
        <v>Completed</v>
      </c>
      <c r="Y129" s="184" t="str">
        <f t="shared" ca="1" si="164"/>
        <v>Completed</v>
      </c>
      <c r="Z129" s="184" t="str">
        <f t="shared" ca="1" si="165"/>
        <v/>
      </c>
      <c r="AA129" s="185" t="str">
        <f t="shared" ca="1" si="166"/>
        <v/>
      </c>
    </row>
    <row r="130" spans="1:27" s="64" customFormat="1" ht="11.5" x14ac:dyDescent="0.25">
      <c r="A130" s="70" t="s">
        <v>61</v>
      </c>
      <c r="B130" s="70" t="s">
        <v>62</v>
      </c>
      <c r="C130" s="70" t="s">
        <v>94</v>
      </c>
      <c r="D130" s="75" t="s">
        <v>330</v>
      </c>
      <c r="E130" s="75" t="s">
        <v>152</v>
      </c>
      <c r="F130" s="116">
        <f t="shared" si="188"/>
        <v>0.7</v>
      </c>
      <c r="G130" s="116">
        <f t="shared" si="188"/>
        <v>0.7</v>
      </c>
      <c r="H130" s="116">
        <f t="shared" si="188"/>
        <v>0.7</v>
      </c>
      <c r="I130" s="116">
        <f t="shared" si="169"/>
        <v>0</v>
      </c>
      <c r="J130" s="81">
        <v>0.15</v>
      </c>
      <c r="K130" s="72">
        <v>46185</v>
      </c>
      <c r="L130" s="72">
        <f t="shared" si="170"/>
        <v>46185</v>
      </c>
      <c r="M130" s="72">
        <v>46161</v>
      </c>
      <c r="N130" s="72">
        <f t="shared" si="171"/>
        <v>46227</v>
      </c>
      <c r="O130" s="72">
        <f t="shared" si="172"/>
        <v>46227</v>
      </c>
      <c r="P130" s="72">
        <v>46234</v>
      </c>
      <c r="Q130" s="72">
        <f t="shared" si="173"/>
        <v>46269</v>
      </c>
      <c r="R130" s="72">
        <f t="shared" si="174"/>
        <v>46269</v>
      </c>
      <c r="S130" s="72"/>
      <c r="T130" s="72">
        <f t="shared" si="175"/>
        <v>46283</v>
      </c>
      <c r="U130" s="72">
        <f t="shared" si="176"/>
        <v>46283</v>
      </c>
      <c r="V130" s="72"/>
      <c r="X130" s="184" t="str">
        <f t="shared" ca="1" si="163"/>
        <v>Completed</v>
      </c>
      <c r="Y130" s="184" t="str">
        <f t="shared" ca="1" si="164"/>
        <v>Completed</v>
      </c>
      <c r="Z130" s="184" t="str">
        <f t="shared" ca="1" si="165"/>
        <v/>
      </c>
      <c r="AA130" s="185" t="str">
        <f t="shared" ca="1" si="166"/>
        <v/>
      </c>
    </row>
    <row r="131" spans="1:27" s="64" customFormat="1" ht="11.5" x14ac:dyDescent="0.25">
      <c r="A131" s="70" t="s">
        <v>61</v>
      </c>
      <c r="B131" s="70" t="s">
        <v>62</v>
      </c>
      <c r="C131" s="70" t="s">
        <v>94</v>
      </c>
      <c r="D131" s="75" t="s">
        <v>331</v>
      </c>
      <c r="E131" s="75" t="s">
        <v>153</v>
      </c>
      <c r="F131" s="116">
        <f t="shared" si="188"/>
        <v>0.7</v>
      </c>
      <c r="G131" s="116">
        <f t="shared" si="188"/>
        <v>0.7</v>
      </c>
      <c r="H131" s="116">
        <f t="shared" si="188"/>
        <v>0.7</v>
      </c>
      <c r="I131" s="116">
        <f t="shared" si="169"/>
        <v>0</v>
      </c>
      <c r="J131" s="81">
        <v>0.15</v>
      </c>
      <c r="K131" s="72">
        <v>46185</v>
      </c>
      <c r="L131" s="72">
        <f t="shared" si="170"/>
        <v>46185</v>
      </c>
      <c r="M131" s="72">
        <v>46161</v>
      </c>
      <c r="N131" s="72">
        <f t="shared" si="171"/>
        <v>46227</v>
      </c>
      <c r="O131" s="72">
        <f t="shared" si="172"/>
        <v>46227</v>
      </c>
      <c r="P131" s="72">
        <v>46234</v>
      </c>
      <c r="Q131" s="72">
        <f t="shared" si="173"/>
        <v>46269</v>
      </c>
      <c r="R131" s="72">
        <f t="shared" si="174"/>
        <v>46269</v>
      </c>
      <c r="S131" s="72"/>
      <c r="T131" s="72">
        <f t="shared" si="175"/>
        <v>46283</v>
      </c>
      <c r="U131" s="72">
        <f t="shared" si="176"/>
        <v>46283</v>
      </c>
      <c r="V131" s="72"/>
      <c r="X131" s="184" t="str">
        <f t="shared" ca="1" si="163"/>
        <v>Completed</v>
      </c>
      <c r="Y131" s="184" t="str">
        <f t="shared" ca="1" si="164"/>
        <v>Completed</v>
      </c>
      <c r="Z131" s="184" t="str">
        <f t="shared" ca="1" si="165"/>
        <v/>
      </c>
      <c r="AA131" s="185" t="str">
        <f t="shared" ca="1" si="166"/>
        <v/>
      </c>
    </row>
    <row r="132" spans="1:27" s="64" customFormat="1" ht="11.5" x14ac:dyDescent="0.25">
      <c r="A132" s="70" t="s">
        <v>61</v>
      </c>
      <c r="B132" s="70" t="s">
        <v>62</v>
      </c>
      <c r="C132" s="70" t="s">
        <v>94</v>
      </c>
      <c r="D132" s="75" t="s">
        <v>332</v>
      </c>
      <c r="E132" s="75" t="s">
        <v>154</v>
      </c>
      <c r="F132" s="116">
        <f t="shared" si="188"/>
        <v>0.7</v>
      </c>
      <c r="G132" s="116">
        <f t="shared" si="188"/>
        <v>0.7</v>
      </c>
      <c r="H132" s="116">
        <f t="shared" si="188"/>
        <v>0.7</v>
      </c>
      <c r="I132" s="116">
        <f t="shared" si="169"/>
        <v>0</v>
      </c>
      <c r="J132" s="81">
        <v>0.15</v>
      </c>
      <c r="K132" s="72">
        <v>46185</v>
      </c>
      <c r="L132" s="72">
        <f t="shared" si="170"/>
        <v>46185</v>
      </c>
      <c r="M132" s="72">
        <v>46161</v>
      </c>
      <c r="N132" s="72">
        <f t="shared" si="171"/>
        <v>46227</v>
      </c>
      <c r="O132" s="72">
        <f t="shared" si="172"/>
        <v>46227</v>
      </c>
      <c r="P132" s="72">
        <v>46234</v>
      </c>
      <c r="Q132" s="72">
        <f t="shared" si="173"/>
        <v>46269</v>
      </c>
      <c r="R132" s="72">
        <f t="shared" si="174"/>
        <v>46269</v>
      </c>
      <c r="S132" s="72"/>
      <c r="T132" s="72">
        <f t="shared" si="175"/>
        <v>46283</v>
      </c>
      <c r="U132" s="72">
        <f t="shared" si="176"/>
        <v>46283</v>
      </c>
      <c r="V132" s="72"/>
      <c r="X132" s="184" t="str">
        <f t="shared" ca="1" si="163"/>
        <v>Completed</v>
      </c>
      <c r="Y132" s="184" t="str">
        <f t="shared" ca="1" si="164"/>
        <v>Completed</v>
      </c>
      <c r="Z132" s="184" t="str">
        <f t="shared" ca="1" si="165"/>
        <v/>
      </c>
      <c r="AA132" s="185" t="str">
        <f t="shared" ca="1" si="166"/>
        <v/>
      </c>
    </row>
    <row r="133" spans="1:27" s="64" customFormat="1" ht="11.5" x14ac:dyDescent="0.25">
      <c r="A133" s="70" t="s">
        <v>61</v>
      </c>
      <c r="B133" s="70" t="s">
        <v>62</v>
      </c>
      <c r="C133" s="70" t="s">
        <v>94</v>
      </c>
      <c r="D133" s="75" t="s">
        <v>333</v>
      </c>
      <c r="E133" s="75" t="s">
        <v>155</v>
      </c>
      <c r="F133" s="116">
        <f t="shared" si="188"/>
        <v>0.7</v>
      </c>
      <c r="G133" s="116">
        <f t="shared" si="188"/>
        <v>0.7</v>
      </c>
      <c r="H133" s="116">
        <f t="shared" si="188"/>
        <v>0.7</v>
      </c>
      <c r="I133" s="116">
        <f t="shared" si="169"/>
        <v>0</v>
      </c>
      <c r="J133" s="81">
        <v>0.15</v>
      </c>
      <c r="K133" s="72">
        <v>46185</v>
      </c>
      <c r="L133" s="72">
        <f t="shared" si="170"/>
        <v>46185</v>
      </c>
      <c r="M133" s="72">
        <v>46161</v>
      </c>
      <c r="N133" s="72">
        <f t="shared" si="171"/>
        <v>46227</v>
      </c>
      <c r="O133" s="72">
        <f t="shared" si="172"/>
        <v>46227</v>
      </c>
      <c r="P133" s="72">
        <v>46234</v>
      </c>
      <c r="Q133" s="72">
        <f t="shared" si="173"/>
        <v>46269</v>
      </c>
      <c r="R133" s="72">
        <f t="shared" si="174"/>
        <v>46269</v>
      </c>
      <c r="S133" s="72"/>
      <c r="T133" s="72">
        <f t="shared" si="175"/>
        <v>46283</v>
      </c>
      <c r="U133" s="72">
        <f t="shared" si="176"/>
        <v>46283</v>
      </c>
      <c r="V133" s="72"/>
      <c r="X133" s="184" t="str">
        <f t="shared" ca="1" si="163"/>
        <v>Completed</v>
      </c>
      <c r="Y133" s="184" t="str">
        <f t="shared" ca="1" si="164"/>
        <v>Completed</v>
      </c>
      <c r="Z133" s="184" t="str">
        <f t="shared" ca="1" si="165"/>
        <v/>
      </c>
      <c r="AA133" s="185" t="str">
        <f t="shared" ca="1" si="166"/>
        <v/>
      </c>
    </row>
    <row r="134" spans="1:27" s="64" customFormat="1" ht="11.5" x14ac:dyDescent="0.25">
      <c r="A134" s="70" t="s">
        <v>61</v>
      </c>
      <c r="B134" s="70" t="s">
        <v>62</v>
      </c>
      <c r="C134" s="70" t="s">
        <v>94</v>
      </c>
      <c r="D134" s="75" t="s">
        <v>334</v>
      </c>
      <c r="E134" s="75" t="s">
        <v>156</v>
      </c>
      <c r="F134" s="116">
        <f t="shared" si="188"/>
        <v>0.7</v>
      </c>
      <c r="G134" s="116">
        <f t="shared" si="188"/>
        <v>0.7</v>
      </c>
      <c r="H134" s="116">
        <f t="shared" si="188"/>
        <v>0.7</v>
      </c>
      <c r="I134" s="116">
        <f t="shared" si="169"/>
        <v>0</v>
      </c>
      <c r="J134" s="81">
        <v>0.15</v>
      </c>
      <c r="K134" s="72">
        <v>46185</v>
      </c>
      <c r="L134" s="72">
        <f t="shared" si="170"/>
        <v>46185</v>
      </c>
      <c r="M134" s="72">
        <v>46161</v>
      </c>
      <c r="N134" s="72">
        <f t="shared" si="171"/>
        <v>46227</v>
      </c>
      <c r="O134" s="72">
        <f t="shared" si="172"/>
        <v>46227</v>
      </c>
      <c r="P134" s="72">
        <v>46234</v>
      </c>
      <c r="Q134" s="72">
        <f t="shared" si="173"/>
        <v>46269</v>
      </c>
      <c r="R134" s="72">
        <f t="shared" si="174"/>
        <v>46269</v>
      </c>
      <c r="S134" s="72"/>
      <c r="T134" s="72">
        <f t="shared" si="175"/>
        <v>46283</v>
      </c>
      <c r="U134" s="72">
        <f t="shared" si="176"/>
        <v>46283</v>
      </c>
      <c r="V134" s="72"/>
      <c r="X134" s="184" t="str">
        <f t="shared" ca="1" si="163"/>
        <v>Completed</v>
      </c>
      <c r="Y134" s="184" t="str">
        <f t="shared" ca="1" si="164"/>
        <v>Completed</v>
      </c>
      <c r="Z134" s="184" t="str">
        <f t="shared" ca="1" si="165"/>
        <v/>
      </c>
      <c r="AA134" s="185" t="str">
        <f t="shared" ca="1" si="166"/>
        <v/>
      </c>
    </row>
    <row r="135" spans="1:27" s="64" customFormat="1" ht="11.5" x14ac:dyDescent="0.25">
      <c r="A135" s="70" t="s">
        <v>61</v>
      </c>
      <c r="B135" s="70" t="s">
        <v>62</v>
      </c>
      <c r="C135" s="70" t="s">
        <v>94</v>
      </c>
      <c r="D135" s="75" t="s">
        <v>335</v>
      </c>
      <c r="E135" s="75" t="s">
        <v>157</v>
      </c>
      <c r="F135" s="116">
        <f t="shared" si="188"/>
        <v>0.7</v>
      </c>
      <c r="G135" s="116">
        <f t="shared" si="188"/>
        <v>0.7</v>
      </c>
      <c r="H135" s="116">
        <f t="shared" si="188"/>
        <v>0.7</v>
      </c>
      <c r="I135" s="116">
        <f t="shared" si="169"/>
        <v>0</v>
      </c>
      <c r="J135" s="81">
        <v>0.15</v>
      </c>
      <c r="K135" s="72">
        <v>46185</v>
      </c>
      <c r="L135" s="72">
        <f t="shared" si="170"/>
        <v>46185</v>
      </c>
      <c r="M135" s="72">
        <v>46161</v>
      </c>
      <c r="N135" s="72">
        <f t="shared" si="171"/>
        <v>46227</v>
      </c>
      <c r="O135" s="72">
        <f t="shared" si="172"/>
        <v>46227</v>
      </c>
      <c r="P135" s="72">
        <v>46234</v>
      </c>
      <c r="Q135" s="72">
        <f t="shared" si="173"/>
        <v>46269</v>
      </c>
      <c r="R135" s="72">
        <f t="shared" si="174"/>
        <v>46269</v>
      </c>
      <c r="S135" s="72"/>
      <c r="T135" s="72">
        <f t="shared" si="175"/>
        <v>46283</v>
      </c>
      <c r="U135" s="72">
        <f t="shared" si="176"/>
        <v>46283</v>
      </c>
      <c r="V135" s="72"/>
      <c r="X135" s="184" t="str">
        <f t="shared" ca="1" si="163"/>
        <v>Completed</v>
      </c>
      <c r="Y135" s="184" t="str">
        <f t="shared" ca="1" si="164"/>
        <v>Completed</v>
      </c>
      <c r="Z135" s="184" t="str">
        <f t="shared" ca="1" si="165"/>
        <v/>
      </c>
      <c r="AA135" s="185" t="str">
        <f t="shared" ca="1" si="166"/>
        <v/>
      </c>
    </row>
    <row r="136" spans="1:27" s="64" customFormat="1" ht="11.5" x14ac:dyDescent="0.25">
      <c r="A136" s="70" t="s">
        <v>61</v>
      </c>
      <c r="B136" s="70" t="s">
        <v>62</v>
      </c>
      <c r="C136" s="70" t="s">
        <v>94</v>
      </c>
      <c r="D136" s="75" t="s">
        <v>336</v>
      </c>
      <c r="E136" s="75" t="s">
        <v>158</v>
      </c>
      <c r="F136" s="116">
        <f t="shared" si="188"/>
        <v>0.7</v>
      </c>
      <c r="G136" s="116">
        <f t="shared" si="188"/>
        <v>0.7</v>
      </c>
      <c r="H136" s="116">
        <f t="shared" si="188"/>
        <v>0.7</v>
      </c>
      <c r="I136" s="116">
        <f t="shared" si="169"/>
        <v>0</v>
      </c>
      <c r="J136" s="81">
        <v>0.15</v>
      </c>
      <c r="K136" s="72">
        <v>46185</v>
      </c>
      <c r="L136" s="72">
        <f t="shared" si="170"/>
        <v>46185</v>
      </c>
      <c r="M136" s="72">
        <v>46161</v>
      </c>
      <c r="N136" s="72">
        <f t="shared" si="171"/>
        <v>46227</v>
      </c>
      <c r="O136" s="72">
        <f t="shared" si="172"/>
        <v>46227</v>
      </c>
      <c r="P136" s="72">
        <v>46234</v>
      </c>
      <c r="Q136" s="72">
        <f t="shared" si="173"/>
        <v>46269</v>
      </c>
      <c r="R136" s="72">
        <f t="shared" si="174"/>
        <v>46269</v>
      </c>
      <c r="S136" s="72"/>
      <c r="T136" s="72">
        <f t="shared" si="175"/>
        <v>46283</v>
      </c>
      <c r="U136" s="72">
        <f t="shared" si="176"/>
        <v>46283</v>
      </c>
      <c r="V136" s="72"/>
      <c r="X136" s="184" t="str">
        <f t="shared" ca="1" si="163"/>
        <v>Completed</v>
      </c>
      <c r="Y136" s="184" t="str">
        <f t="shared" ca="1" si="164"/>
        <v>Completed</v>
      </c>
      <c r="Z136" s="184" t="str">
        <f t="shared" ca="1" si="165"/>
        <v/>
      </c>
      <c r="AA136" s="185" t="str">
        <f t="shared" ca="1" si="166"/>
        <v/>
      </c>
    </row>
    <row r="137" spans="1:27" s="64" customFormat="1" ht="11.5" x14ac:dyDescent="0.25">
      <c r="A137" s="70" t="s">
        <v>61</v>
      </c>
      <c r="B137" s="70" t="s">
        <v>62</v>
      </c>
      <c r="C137" s="70" t="s">
        <v>94</v>
      </c>
      <c r="D137" s="75" t="s">
        <v>337</v>
      </c>
      <c r="E137" s="75" t="s">
        <v>159</v>
      </c>
      <c r="F137" s="116">
        <f t="shared" si="188"/>
        <v>0.7</v>
      </c>
      <c r="G137" s="116">
        <f t="shared" si="188"/>
        <v>0.7</v>
      </c>
      <c r="H137" s="116">
        <f t="shared" si="188"/>
        <v>0.7</v>
      </c>
      <c r="I137" s="116">
        <f t="shared" si="169"/>
        <v>0</v>
      </c>
      <c r="J137" s="81">
        <v>0.15</v>
      </c>
      <c r="K137" s="72">
        <v>46185</v>
      </c>
      <c r="L137" s="72">
        <f t="shared" si="170"/>
        <v>46185</v>
      </c>
      <c r="M137" s="72">
        <v>46161</v>
      </c>
      <c r="N137" s="72">
        <f t="shared" si="171"/>
        <v>46227</v>
      </c>
      <c r="O137" s="72">
        <f t="shared" si="172"/>
        <v>46227</v>
      </c>
      <c r="P137" s="72">
        <v>46234</v>
      </c>
      <c r="Q137" s="72">
        <f t="shared" si="173"/>
        <v>46269</v>
      </c>
      <c r="R137" s="72">
        <f t="shared" si="174"/>
        <v>46269</v>
      </c>
      <c r="S137" s="72"/>
      <c r="T137" s="72">
        <f t="shared" si="175"/>
        <v>46283</v>
      </c>
      <c r="U137" s="72">
        <f t="shared" si="176"/>
        <v>46283</v>
      </c>
      <c r="V137" s="72"/>
      <c r="X137" s="184" t="str">
        <f t="shared" ca="1" si="163"/>
        <v>Completed</v>
      </c>
      <c r="Y137" s="184" t="str">
        <f t="shared" ca="1" si="164"/>
        <v>Completed</v>
      </c>
      <c r="Z137" s="184" t="str">
        <f t="shared" ca="1" si="165"/>
        <v/>
      </c>
      <c r="AA137" s="185" t="str">
        <f t="shared" ca="1" si="166"/>
        <v/>
      </c>
    </row>
    <row r="138" spans="1:27" s="64" customFormat="1" ht="11.5" x14ac:dyDescent="0.25">
      <c r="A138" s="70" t="s">
        <v>61</v>
      </c>
      <c r="B138" s="70" t="s">
        <v>62</v>
      </c>
      <c r="C138" s="70" t="s">
        <v>94</v>
      </c>
      <c r="D138" s="75" t="s">
        <v>338</v>
      </c>
      <c r="E138" s="75" t="s">
        <v>160</v>
      </c>
      <c r="F138" s="116">
        <f t="shared" si="188"/>
        <v>0.7</v>
      </c>
      <c r="G138" s="116">
        <f t="shared" si="188"/>
        <v>0.7</v>
      </c>
      <c r="H138" s="116">
        <f>(COUNTIFS(M138,"&lt;="&amp;$D$1)*50%)+(COUNTIFS(P138,"&lt;="&amp;$D$1)*20%)+(COUNTIFS(S138,"&lt;="&amp;$D$1)*10%)+(COUNTIFS(V138,"&lt;="&amp;$D$1)*20%)</f>
        <v>0.5</v>
      </c>
      <c r="I138" s="116">
        <f t="shared" si="169"/>
        <v>-0.19999999999999996</v>
      </c>
      <c r="J138" s="81">
        <v>0.15</v>
      </c>
      <c r="K138" s="72">
        <v>46185</v>
      </c>
      <c r="L138" s="72">
        <f t="shared" si="170"/>
        <v>46185</v>
      </c>
      <c r="M138" s="72">
        <v>46199</v>
      </c>
      <c r="N138" s="72">
        <f t="shared" si="171"/>
        <v>46227</v>
      </c>
      <c r="O138" s="72">
        <f t="shared" si="172"/>
        <v>46227</v>
      </c>
      <c r="P138" s="72"/>
      <c r="Q138" s="72">
        <f t="shared" si="173"/>
        <v>46269</v>
      </c>
      <c r="R138" s="72">
        <f t="shared" si="174"/>
        <v>46269</v>
      </c>
      <c r="S138" s="72"/>
      <c r="T138" s="72">
        <f t="shared" si="175"/>
        <v>46283</v>
      </c>
      <c r="U138" s="72">
        <f t="shared" si="176"/>
        <v>46283</v>
      </c>
      <c r="V138" s="72"/>
      <c r="X138" s="184" t="str">
        <f t="shared" ref="X138:X201" ca="1" si="204">IF(OR(M138&lt;&gt;""),"Completed",
IF(L138="","",IF(L138&lt;TODAY(),"Overdue",
IF(AND(L138&gt;=TODAY()-WEEKDAY(TODAY(),2)+1,L138&lt;=TODAY()-WEEKDAY(TODAY(),2)+7),"Follow-This Week",
IF(AND(L138&gt;=TODAY()-WEEKDAY(TODAY(),2)+8,L138&lt;=TODAY()-WEEKDAY(TODAY(),2)+14),"Follow-Next Week","")))))</f>
        <v>Completed</v>
      </c>
      <c r="Y138" s="184" t="str">
        <f t="shared" ref="Y138:Y201" ca="1" si="205">IF(OR(P138&lt;&gt;""),"Completed",IF(O138="","",
IF(O138&lt;TODAY(),"Overdue",
IF(AND(O138&gt;=TODAY()-WEEKDAY(TODAY(),2)+1,O138&lt;=TODAY()-WEEKDAY(TODAY(),2)+7),"Follow-This Week",
IF(AND(O138&gt;=TODAY()-WEEKDAY(TODAY(),2)+8,O138&lt;=TODAY()-WEEKDAY(TODAY(),2)+14),"Follow-Next Week","")))))</f>
        <v>Overdue</v>
      </c>
      <c r="Z138" s="184" t="str">
        <f t="shared" ref="Z138:Z201" ca="1" si="206">IF(OR(S138&lt;&gt;""),"Completed",IF(R138="","",
IF(R138&lt;TODAY(),"Overdue",
IF(AND(R138&gt;=TODAY()-WEEKDAY(TODAY(),2)+1,R138&lt;=TODAY()-WEEKDAY(TODAY(),2)+7),"Follow-This Week",
IF(AND(R138&gt;=TODAY()-WEEKDAY(TODAY(),2)+8,R138&lt;=TODAY()-WEEKDAY(TODAY(),2)+14),"Follow-Next Week","")))))</f>
        <v/>
      </c>
      <c r="AA138" s="185" t="str">
        <f t="shared" ref="AA138:AA201" ca="1" si="207">IF(OR(V138&lt;&gt;""),"Completed",IF(U138="","",
IF(U138&lt;TODAY(),"Overdue",
IF(AND(U138&gt;=TODAY()-WEEKDAY(TODAY(),2)+1,U138&lt;=TODAY()-WEEKDAY(TODAY(),2)+7),"Follow-This Week",
IF(AND(U138&gt;=TODAY()-WEEKDAY(TODAY(),2)+8,U138&lt;=TODAY()-WEEKDAY(TODAY(),2)+14),"Follow-Next Week","")))))</f>
        <v/>
      </c>
    </row>
    <row r="139" spans="1:27" s="64" customFormat="1" ht="11.5" x14ac:dyDescent="0.25">
      <c r="A139" s="70" t="s">
        <v>61</v>
      </c>
      <c r="B139" s="70" t="s">
        <v>62</v>
      </c>
      <c r="C139" s="70" t="s">
        <v>94</v>
      </c>
      <c r="D139" s="75" t="s">
        <v>339</v>
      </c>
      <c r="E139" s="75" t="s">
        <v>413</v>
      </c>
      <c r="F139" s="116">
        <f t="shared" si="188"/>
        <v>0.7</v>
      </c>
      <c r="G139" s="116">
        <f t="shared" si="188"/>
        <v>0.7</v>
      </c>
      <c r="H139" s="116">
        <f>(COUNTIFS(M139,"&lt;="&amp;$D$1)*50%)+(COUNTIFS(P139,"&lt;="&amp;$D$1)*20%)+(COUNTIFS(S139,"&lt;="&amp;$D$1)*10%)+(COUNTIFS(V139,"&lt;="&amp;$D$1)*20%)</f>
        <v>0.5</v>
      </c>
      <c r="I139" s="116">
        <f t="shared" si="169"/>
        <v>-0.19999999999999996</v>
      </c>
      <c r="J139" s="81">
        <v>0.15</v>
      </c>
      <c r="K139" s="72">
        <v>46185</v>
      </c>
      <c r="L139" s="72">
        <f t="shared" si="170"/>
        <v>46185</v>
      </c>
      <c r="M139" s="72">
        <v>46199</v>
      </c>
      <c r="N139" s="72">
        <f t="shared" si="171"/>
        <v>46227</v>
      </c>
      <c r="O139" s="72">
        <f t="shared" si="172"/>
        <v>46227</v>
      </c>
      <c r="P139" s="72"/>
      <c r="Q139" s="72">
        <f t="shared" si="173"/>
        <v>46269</v>
      </c>
      <c r="R139" s="72">
        <f t="shared" si="174"/>
        <v>46269</v>
      </c>
      <c r="S139" s="72"/>
      <c r="T139" s="72">
        <f t="shared" si="175"/>
        <v>46283</v>
      </c>
      <c r="U139" s="72">
        <f t="shared" si="176"/>
        <v>46283</v>
      </c>
      <c r="V139" s="72"/>
      <c r="X139" s="184" t="str">
        <f t="shared" ca="1" si="204"/>
        <v>Completed</v>
      </c>
      <c r="Y139" s="184" t="str">
        <f t="shared" ca="1" si="205"/>
        <v>Overdue</v>
      </c>
      <c r="Z139" s="184" t="str">
        <f t="shared" ca="1" si="206"/>
        <v/>
      </c>
      <c r="AA139" s="185" t="str">
        <f t="shared" ca="1" si="207"/>
        <v/>
      </c>
    </row>
    <row r="140" spans="1:27" s="64" customFormat="1" ht="11.5" x14ac:dyDescent="0.25">
      <c r="A140" s="140" t="s">
        <v>61</v>
      </c>
      <c r="B140" s="140" t="s">
        <v>62</v>
      </c>
      <c r="C140" s="140" t="s">
        <v>94</v>
      </c>
      <c r="D140" s="141" t="s">
        <v>412</v>
      </c>
      <c r="E140" s="141" t="s">
        <v>521</v>
      </c>
      <c r="F140" s="142"/>
      <c r="G140" s="142"/>
      <c r="H140" s="142"/>
      <c r="I140" s="142"/>
      <c r="J140" s="143">
        <v>0.15</v>
      </c>
      <c r="K140" s="144">
        <v>46185</v>
      </c>
      <c r="L140" s="144">
        <f t="shared" ref="L140" si="208">K140</f>
        <v>46185</v>
      </c>
      <c r="M140" s="189">
        <v>46248</v>
      </c>
      <c r="N140" s="144">
        <f t="shared" ref="N140" si="209">K140+42</f>
        <v>46227</v>
      </c>
      <c r="O140" s="144">
        <f t="shared" ref="O140" si="210">N140</f>
        <v>46227</v>
      </c>
      <c r="P140" s="189">
        <v>46248</v>
      </c>
      <c r="Q140" s="144">
        <f t="shared" ref="Q140" si="211">N140+42</f>
        <v>46269</v>
      </c>
      <c r="R140" s="144">
        <f t="shared" ref="R140" si="212">Q140</f>
        <v>46269</v>
      </c>
      <c r="S140" s="189">
        <v>46248</v>
      </c>
      <c r="T140" s="144">
        <f t="shared" ref="T140" si="213">Q140+14</f>
        <v>46283</v>
      </c>
      <c r="U140" s="144">
        <f t="shared" ref="U140" si="214">T140</f>
        <v>46283</v>
      </c>
      <c r="V140" s="189">
        <v>46248</v>
      </c>
      <c r="X140" s="184" t="str">
        <f t="shared" ca="1" si="204"/>
        <v>Completed</v>
      </c>
      <c r="Y140" s="184" t="str">
        <f t="shared" ca="1" si="205"/>
        <v>Completed</v>
      </c>
      <c r="Z140" s="184" t="str">
        <f t="shared" ca="1" si="206"/>
        <v>Completed</v>
      </c>
      <c r="AA140" s="185" t="str">
        <f t="shared" ca="1" si="207"/>
        <v>Completed</v>
      </c>
    </row>
    <row r="141" spans="1:27" s="64" customFormat="1" ht="11.5" x14ac:dyDescent="0.25">
      <c r="A141" s="70" t="s">
        <v>61</v>
      </c>
      <c r="B141" s="70" t="s">
        <v>62</v>
      </c>
      <c r="C141" s="70" t="s">
        <v>94</v>
      </c>
      <c r="D141" s="75" t="s">
        <v>340</v>
      </c>
      <c r="E141" s="75" t="s">
        <v>161</v>
      </c>
      <c r="F141" s="116">
        <f t="shared" si="188"/>
        <v>0.7</v>
      </c>
      <c r="G141" s="116">
        <f t="shared" si="188"/>
        <v>0.7</v>
      </c>
      <c r="H141" s="116">
        <f t="shared" si="188"/>
        <v>0.7</v>
      </c>
      <c r="I141" s="116">
        <f t="shared" si="169"/>
        <v>0</v>
      </c>
      <c r="J141" s="81">
        <v>0.15</v>
      </c>
      <c r="K141" s="72">
        <v>46199</v>
      </c>
      <c r="L141" s="72">
        <f t="shared" si="170"/>
        <v>46199</v>
      </c>
      <c r="M141" s="72">
        <v>46171</v>
      </c>
      <c r="N141" s="72">
        <f t="shared" si="171"/>
        <v>46241</v>
      </c>
      <c r="O141" s="72">
        <f t="shared" si="172"/>
        <v>46241</v>
      </c>
      <c r="P141" s="149">
        <v>46248</v>
      </c>
      <c r="Q141" s="72">
        <f t="shared" si="173"/>
        <v>46283</v>
      </c>
      <c r="R141" s="72">
        <f t="shared" si="174"/>
        <v>46283</v>
      </c>
      <c r="S141" s="72"/>
      <c r="T141" s="72">
        <f t="shared" si="175"/>
        <v>46297</v>
      </c>
      <c r="U141" s="72">
        <f t="shared" si="176"/>
        <v>46297</v>
      </c>
      <c r="V141" s="72"/>
      <c r="X141" s="184" t="str">
        <f t="shared" ca="1" si="204"/>
        <v>Completed</v>
      </c>
      <c r="Y141" s="184" t="str">
        <f t="shared" ca="1" si="205"/>
        <v>Completed</v>
      </c>
      <c r="Z141" s="184" t="str">
        <f t="shared" ca="1" si="206"/>
        <v/>
      </c>
      <c r="AA141" s="185" t="str">
        <f t="shared" ca="1" si="207"/>
        <v/>
      </c>
    </row>
    <row r="142" spans="1:27" s="64" customFormat="1" ht="11.5" x14ac:dyDescent="0.25">
      <c r="A142" s="70" t="s">
        <v>61</v>
      </c>
      <c r="B142" s="70" t="s">
        <v>62</v>
      </c>
      <c r="C142" s="70" t="s">
        <v>94</v>
      </c>
      <c r="D142" s="75" t="s">
        <v>341</v>
      </c>
      <c r="E142" s="75" t="s">
        <v>162</v>
      </c>
      <c r="F142" s="116">
        <f t="shared" si="188"/>
        <v>0.7</v>
      </c>
      <c r="G142" s="116">
        <f t="shared" si="188"/>
        <v>0.7</v>
      </c>
      <c r="H142" s="116">
        <f t="shared" si="188"/>
        <v>0.7</v>
      </c>
      <c r="I142" s="116">
        <f t="shared" si="169"/>
        <v>0</v>
      </c>
      <c r="J142" s="81">
        <v>0.15</v>
      </c>
      <c r="K142" s="72">
        <v>46199</v>
      </c>
      <c r="L142" s="72">
        <f t="shared" si="170"/>
        <v>46199</v>
      </c>
      <c r="M142" s="72">
        <v>46171</v>
      </c>
      <c r="N142" s="72">
        <f t="shared" si="171"/>
        <v>46241</v>
      </c>
      <c r="O142" s="72">
        <f t="shared" si="172"/>
        <v>46241</v>
      </c>
      <c r="P142" s="149">
        <v>46248</v>
      </c>
      <c r="Q142" s="72">
        <f t="shared" si="173"/>
        <v>46283</v>
      </c>
      <c r="R142" s="72">
        <f t="shared" si="174"/>
        <v>46283</v>
      </c>
      <c r="S142" s="72"/>
      <c r="T142" s="72">
        <f t="shared" si="175"/>
        <v>46297</v>
      </c>
      <c r="U142" s="72">
        <f t="shared" si="176"/>
        <v>46297</v>
      </c>
      <c r="V142" s="72"/>
      <c r="X142" s="184" t="str">
        <f t="shared" ca="1" si="204"/>
        <v>Completed</v>
      </c>
      <c r="Y142" s="184" t="str">
        <f t="shared" ca="1" si="205"/>
        <v>Completed</v>
      </c>
      <c r="Z142" s="184" t="str">
        <f t="shared" ca="1" si="206"/>
        <v/>
      </c>
      <c r="AA142" s="185" t="str">
        <f t="shared" ca="1" si="207"/>
        <v/>
      </c>
    </row>
    <row r="143" spans="1:27" s="94" customFormat="1" ht="11.5" x14ac:dyDescent="0.25">
      <c r="A143" s="70" t="s">
        <v>61</v>
      </c>
      <c r="B143" s="70" t="s">
        <v>62</v>
      </c>
      <c r="C143" s="70" t="s">
        <v>94</v>
      </c>
      <c r="D143" s="124" t="s">
        <v>342</v>
      </c>
      <c r="E143" s="124" t="s">
        <v>163</v>
      </c>
      <c r="F143" s="125">
        <f t="shared" ref="F143" si="215">(COUNTIFS(K143,"&lt;="&amp;$D$1)*50%)+(COUNTIFS(N143,"&lt;="&amp;$D$1)*20%)+(COUNTIFS(Q143,"&lt;="&amp;$D$1)*10%)+(COUNTIFS(T143,"&lt;="&amp;$D$1)*20%)</f>
        <v>0.7</v>
      </c>
      <c r="G143" s="125">
        <f t="shared" ref="G143" si="216">(COUNTIFS(L143,"&lt;="&amp;$D$1)*50%)+(COUNTIFS(O143,"&lt;="&amp;$D$1)*20%)+(COUNTIFS(R143,"&lt;="&amp;$D$1)*10%)+(COUNTIFS(U143,"&lt;="&amp;$D$1)*20%)</f>
        <v>0.7</v>
      </c>
      <c r="H143" s="125">
        <f t="shared" ref="H143" si="217">(COUNTIFS(M143,"&lt;="&amp;$D$1)*50%)+(COUNTIFS(P143,"&lt;="&amp;$D$1)*20%)+(COUNTIFS(S143,"&lt;="&amp;$D$1)*10%)+(COUNTIFS(V143,"&lt;="&amp;$D$1)*20%)</f>
        <v>0.7</v>
      </c>
      <c r="I143" s="125">
        <f t="shared" ref="I143" si="218">H143-F143</f>
        <v>0</v>
      </c>
      <c r="J143" s="81">
        <v>0.15</v>
      </c>
      <c r="K143" s="72">
        <v>46199</v>
      </c>
      <c r="L143" s="74">
        <f t="shared" si="170"/>
        <v>46199</v>
      </c>
      <c r="M143" s="72">
        <v>46171</v>
      </c>
      <c r="N143" s="74">
        <f t="shared" si="171"/>
        <v>46241</v>
      </c>
      <c r="O143" s="74">
        <f t="shared" si="172"/>
        <v>46241</v>
      </c>
      <c r="P143" s="149">
        <v>46248</v>
      </c>
      <c r="Q143" s="74">
        <f t="shared" si="173"/>
        <v>46283</v>
      </c>
      <c r="R143" s="74">
        <f t="shared" si="174"/>
        <v>46283</v>
      </c>
      <c r="S143" s="74"/>
      <c r="T143" s="74">
        <f t="shared" si="175"/>
        <v>46297</v>
      </c>
      <c r="U143" s="74">
        <f t="shared" si="176"/>
        <v>46297</v>
      </c>
      <c r="V143" s="72"/>
      <c r="X143" s="184" t="str">
        <f t="shared" ca="1" si="204"/>
        <v>Completed</v>
      </c>
      <c r="Y143" s="184" t="str">
        <f t="shared" ca="1" si="205"/>
        <v>Completed</v>
      </c>
      <c r="Z143" s="184" t="str">
        <f t="shared" ca="1" si="206"/>
        <v/>
      </c>
      <c r="AA143" s="185" t="str">
        <f t="shared" ca="1" si="207"/>
        <v/>
      </c>
    </row>
    <row r="144" spans="1:27" s="64" customFormat="1" ht="11.5" x14ac:dyDescent="0.25">
      <c r="A144" s="70" t="s">
        <v>61</v>
      </c>
      <c r="B144" s="70" t="s">
        <v>62</v>
      </c>
      <c r="C144" s="70" t="s">
        <v>94</v>
      </c>
      <c r="D144" s="75" t="s">
        <v>343</v>
      </c>
      <c r="E144" s="75" t="s">
        <v>164</v>
      </c>
      <c r="F144" s="116">
        <f t="shared" si="188"/>
        <v>0.7</v>
      </c>
      <c r="G144" s="116">
        <f t="shared" si="188"/>
        <v>0.7</v>
      </c>
      <c r="H144" s="116">
        <f t="shared" si="188"/>
        <v>0.7</v>
      </c>
      <c r="I144" s="116">
        <f t="shared" si="169"/>
        <v>0</v>
      </c>
      <c r="J144" s="81">
        <v>0.15</v>
      </c>
      <c r="K144" s="72">
        <v>46199</v>
      </c>
      <c r="L144" s="72">
        <f t="shared" si="170"/>
        <v>46199</v>
      </c>
      <c r="M144" s="72">
        <v>46171</v>
      </c>
      <c r="N144" s="72">
        <f t="shared" si="171"/>
        <v>46241</v>
      </c>
      <c r="O144" s="72">
        <f t="shared" si="172"/>
        <v>46241</v>
      </c>
      <c r="P144" s="149">
        <v>46248</v>
      </c>
      <c r="Q144" s="72">
        <f t="shared" si="173"/>
        <v>46283</v>
      </c>
      <c r="R144" s="72">
        <f t="shared" si="174"/>
        <v>46283</v>
      </c>
      <c r="S144" s="72"/>
      <c r="T144" s="72">
        <f t="shared" si="175"/>
        <v>46297</v>
      </c>
      <c r="U144" s="72">
        <f t="shared" si="176"/>
        <v>46297</v>
      </c>
      <c r="V144" s="72"/>
      <c r="X144" s="184" t="str">
        <f t="shared" ca="1" si="204"/>
        <v>Completed</v>
      </c>
      <c r="Y144" s="184" t="str">
        <f t="shared" ca="1" si="205"/>
        <v>Completed</v>
      </c>
      <c r="Z144" s="184" t="str">
        <f t="shared" ca="1" si="206"/>
        <v/>
      </c>
      <c r="AA144" s="185" t="str">
        <f t="shared" ca="1" si="207"/>
        <v/>
      </c>
    </row>
    <row r="145" spans="1:27" s="64" customFormat="1" ht="11.5" x14ac:dyDescent="0.25">
      <c r="A145" s="70" t="s">
        <v>61</v>
      </c>
      <c r="B145" s="70" t="s">
        <v>62</v>
      </c>
      <c r="C145" s="70" t="s">
        <v>94</v>
      </c>
      <c r="D145" s="75" t="s">
        <v>344</v>
      </c>
      <c r="E145" s="75" t="s">
        <v>165</v>
      </c>
      <c r="F145" s="116">
        <f t="shared" si="188"/>
        <v>0.7</v>
      </c>
      <c r="G145" s="116">
        <f t="shared" si="188"/>
        <v>0.7</v>
      </c>
      <c r="H145" s="116">
        <f t="shared" si="188"/>
        <v>0.7</v>
      </c>
      <c r="I145" s="116">
        <f t="shared" si="169"/>
        <v>0</v>
      </c>
      <c r="J145" s="81">
        <v>0.15</v>
      </c>
      <c r="K145" s="72">
        <v>46199</v>
      </c>
      <c r="L145" s="72">
        <f t="shared" si="170"/>
        <v>46199</v>
      </c>
      <c r="M145" s="72">
        <v>46171</v>
      </c>
      <c r="N145" s="72">
        <f t="shared" si="171"/>
        <v>46241</v>
      </c>
      <c r="O145" s="72">
        <f t="shared" si="172"/>
        <v>46241</v>
      </c>
      <c r="P145" s="149">
        <v>46248</v>
      </c>
      <c r="Q145" s="72">
        <f t="shared" si="173"/>
        <v>46283</v>
      </c>
      <c r="R145" s="72">
        <f t="shared" si="174"/>
        <v>46283</v>
      </c>
      <c r="S145" s="72"/>
      <c r="T145" s="72">
        <f t="shared" si="175"/>
        <v>46297</v>
      </c>
      <c r="U145" s="72">
        <f t="shared" si="176"/>
        <v>46297</v>
      </c>
      <c r="V145" s="72"/>
      <c r="X145" s="184" t="str">
        <f t="shared" ca="1" si="204"/>
        <v>Completed</v>
      </c>
      <c r="Y145" s="184" t="str">
        <f t="shared" ca="1" si="205"/>
        <v>Completed</v>
      </c>
      <c r="Z145" s="184" t="str">
        <f t="shared" ca="1" si="206"/>
        <v/>
      </c>
      <c r="AA145" s="185" t="str">
        <f t="shared" ca="1" si="207"/>
        <v/>
      </c>
    </row>
    <row r="146" spans="1:27" s="64" customFormat="1" ht="11.5" x14ac:dyDescent="0.25">
      <c r="A146" s="70" t="s">
        <v>61</v>
      </c>
      <c r="B146" s="70" t="s">
        <v>62</v>
      </c>
      <c r="C146" s="70" t="s">
        <v>94</v>
      </c>
      <c r="D146" s="75" t="s">
        <v>414</v>
      </c>
      <c r="E146" s="75" t="s">
        <v>415</v>
      </c>
      <c r="F146" s="116">
        <f t="shared" ref="F146:F147" si="219">(COUNTIFS(K146,"&lt;="&amp;$D$1)*50%)+(COUNTIFS(N146,"&lt;="&amp;$D$1)*20%)+(COUNTIFS(Q146,"&lt;="&amp;$D$1)*10%)+(COUNTIFS(T146,"&lt;="&amp;$D$1)*20%)</f>
        <v>0.7</v>
      </c>
      <c r="G146" s="116">
        <f t="shared" ref="G146:G147" si="220">(COUNTIFS(L146,"&lt;="&amp;$D$1)*50%)+(COUNTIFS(O146,"&lt;="&amp;$D$1)*20%)+(COUNTIFS(R146,"&lt;="&amp;$D$1)*10%)+(COUNTIFS(U146,"&lt;="&amp;$D$1)*20%)</f>
        <v>0.7</v>
      </c>
      <c r="H146" s="116">
        <f t="shared" ref="H146:H147" si="221">(COUNTIFS(M146,"&lt;="&amp;$D$1)*50%)+(COUNTIFS(P146,"&lt;="&amp;$D$1)*20%)+(COUNTIFS(S146,"&lt;="&amp;$D$1)*10%)+(COUNTIFS(V146,"&lt;="&amp;$D$1)*20%)</f>
        <v>0.7</v>
      </c>
      <c r="I146" s="116">
        <f t="shared" ref="I146:I147" si="222">H146-F146</f>
        <v>0</v>
      </c>
      <c r="J146" s="81">
        <v>0.15</v>
      </c>
      <c r="K146" s="72">
        <v>46199</v>
      </c>
      <c r="L146" s="72">
        <f t="shared" ref="L146:L147" si="223">K146</f>
        <v>46199</v>
      </c>
      <c r="M146" s="72">
        <v>46178</v>
      </c>
      <c r="N146" s="72">
        <f t="shared" ref="N146:N147" si="224">K146+42</f>
        <v>46241</v>
      </c>
      <c r="O146" s="72">
        <f t="shared" ref="O146:O147" si="225">N146</f>
        <v>46241</v>
      </c>
      <c r="P146" s="149">
        <v>46248</v>
      </c>
      <c r="Q146" s="72">
        <f t="shared" ref="Q146:Q147" si="226">N146+42</f>
        <v>46283</v>
      </c>
      <c r="R146" s="72">
        <f t="shared" ref="R146:R147" si="227">Q146</f>
        <v>46283</v>
      </c>
      <c r="S146" s="72"/>
      <c r="T146" s="72">
        <f t="shared" ref="T146:T147" si="228">Q146+14</f>
        <v>46297</v>
      </c>
      <c r="U146" s="72">
        <f t="shared" ref="U146:U147" si="229">T146</f>
        <v>46297</v>
      </c>
      <c r="V146" s="72"/>
      <c r="X146" s="184" t="str">
        <f t="shared" ca="1" si="204"/>
        <v>Completed</v>
      </c>
      <c r="Y146" s="184" t="str">
        <f t="shared" ca="1" si="205"/>
        <v>Completed</v>
      </c>
      <c r="Z146" s="184" t="str">
        <f t="shared" ca="1" si="206"/>
        <v/>
      </c>
      <c r="AA146" s="185" t="str">
        <f t="shared" ca="1" si="207"/>
        <v/>
      </c>
    </row>
    <row r="147" spans="1:27" s="64" customFormat="1" ht="11.5" x14ac:dyDescent="0.25">
      <c r="A147" s="70" t="s">
        <v>61</v>
      </c>
      <c r="B147" s="70" t="s">
        <v>62</v>
      </c>
      <c r="C147" s="70" t="s">
        <v>94</v>
      </c>
      <c r="D147" s="75" t="s">
        <v>416</v>
      </c>
      <c r="E147" s="75" t="s">
        <v>417</v>
      </c>
      <c r="F147" s="116">
        <f t="shared" si="219"/>
        <v>0.7</v>
      </c>
      <c r="G147" s="116">
        <f t="shared" si="220"/>
        <v>0.7</v>
      </c>
      <c r="H147" s="116">
        <f t="shared" si="221"/>
        <v>0.7</v>
      </c>
      <c r="I147" s="116">
        <f t="shared" si="222"/>
        <v>0</v>
      </c>
      <c r="J147" s="81">
        <v>0.1</v>
      </c>
      <c r="K147" s="72">
        <v>46199</v>
      </c>
      <c r="L147" s="72">
        <f t="shared" si="223"/>
        <v>46199</v>
      </c>
      <c r="M147" s="72">
        <v>46178</v>
      </c>
      <c r="N147" s="72">
        <f t="shared" si="224"/>
        <v>46241</v>
      </c>
      <c r="O147" s="72">
        <f t="shared" si="225"/>
        <v>46241</v>
      </c>
      <c r="P147" s="149">
        <v>46248</v>
      </c>
      <c r="Q147" s="72">
        <f t="shared" si="226"/>
        <v>46283</v>
      </c>
      <c r="R147" s="72">
        <f t="shared" si="227"/>
        <v>46283</v>
      </c>
      <c r="S147" s="72"/>
      <c r="T147" s="72">
        <f t="shared" si="228"/>
        <v>46297</v>
      </c>
      <c r="U147" s="72">
        <f t="shared" si="229"/>
        <v>46297</v>
      </c>
      <c r="V147" s="72"/>
      <c r="X147" s="184" t="str">
        <f t="shared" ca="1" si="204"/>
        <v>Completed</v>
      </c>
      <c r="Y147" s="184" t="str">
        <f t="shared" ca="1" si="205"/>
        <v>Completed</v>
      </c>
      <c r="Z147" s="184" t="str">
        <f t="shared" ca="1" si="206"/>
        <v/>
      </c>
      <c r="AA147" s="185" t="str">
        <f t="shared" ca="1" si="207"/>
        <v/>
      </c>
    </row>
    <row r="148" spans="1:27" s="145" customFormat="1" ht="11.5" x14ac:dyDescent="0.25">
      <c r="A148" s="140" t="s">
        <v>61</v>
      </c>
      <c r="B148" s="140" t="s">
        <v>62</v>
      </c>
      <c r="C148" s="140" t="s">
        <v>94</v>
      </c>
      <c r="D148" s="141" t="s">
        <v>418</v>
      </c>
      <c r="E148" s="141" t="s">
        <v>513</v>
      </c>
      <c r="F148" s="142"/>
      <c r="G148" s="142"/>
      <c r="H148" s="142"/>
      <c r="I148" s="142"/>
      <c r="J148" s="143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X148" s="184"/>
      <c r="Y148" s="184"/>
      <c r="Z148" s="184" t="str">
        <f t="shared" ca="1" si="206"/>
        <v/>
      </c>
      <c r="AA148" s="185" t="str">
        <f t="shared" ca="1" si="207"/>
        <v/>
      </c>
    </row>
    <row r="149" spans="1:27" s="64" customFormat="1" ht="11.5" x14ac:dyDescent="0.25">
      <c r="A149" s="70" t="s">
        <v>61</v>
      </c>
      <c r="B149" s="70" t="s">
        <v>62</v>
      </c>
      <c r="C149" s="70" t="s">
        <v>94</v>
      </c>
      <c r="D149" s="75" t="s">
        <v>345</v>
      </c>
      <c r="E149" s="75" t="s">
        <v>166</v>
      </c>
      <c r="F149" s="116">
        <f t="shared" si="188"/>
        <v>0.7</v>
      </c>
      <c r="G149" s="116">
        <f t="shared" si="188"/>
        <v>0.7</v>
      </c>
      <c r="H149" s="116">
        <f t="shared" si="188"/>
        <v>0.5</v>
      </c>
      <c r="I149" s="116">
        <f t="shared" ref="I149:I235" si="230">H149-F149</f>
        <v>-0.19999999999999996</v>
      </c>
      <c r="J149" s="81">
        <v>0.15</v>
      </c>
      <c r="K149" s="72">
        <v>46199</v>
      </c>
      <c r="L149" s="72">
        <f t="shared" si="170"/>
        <v>46199</v>
      </c>
      <c r="M149" s="72">
        <v>46199</v>
      </c>
      <c r="N149" s="72">
        <f t="shared" si="171"/>
        <v>46241</v>
      </c>
      <c r="O149" s="72">
        <f t="shared" si="172"/>
        <v>46241</v>
      </c>
      <c r="P149" s="72"/>
      <c r="Q149" s="72">
        <f t="shared" si="173"/>
        <v>46283</v>
      </c>
      <c r="R149" s="72">
        <f t="shared" si="174"/>
        <v>46283</v>
      </c>
      <c r="S149" s="72"/>
      <c r="T149" s="72">
        <f t="shared" si="175"/>
        <v>46297</v>
      </c>
      <c r="U149" s="72">
        <f t="shared" si="176"/>
        <v>46297</v>
      </c>
      <c r="V149" s="72"/>
      <c r="X149" s="184" t="str">
        <f t="shared" ca="1" si="204"/>
        <v>Completed</v>
      </c>
      <c r="Y149" s="184" t="str">
        <f t="shared" ca="1" si="205"/>
        <v>Overdue</v>
      </c>
      <c r="Z149" s="184" t="str">
        <f t="shared" ca="1" si="206"/>
        <v/>
      </c>
      <c r="AA149" s="185" t="str">
        <f t="shared" ca="1" si="207"/>
        <v/>
      </c>
    </row>
    <row r="150" spans="1:27" s="64" customFormat="1" ht="11.5" x14ac:dyDescent="0.25">
      <c r="A150" s="70" t="s">
        <v>61</v>
      </c>
      <c r="B150" s="70" t="s">
        <v>62</v>
      </c>
      <c r="C150" s="70" t="s">
        <v>94</v>
      </c>
      <c r="D150" s="75" t="s">
        <v>346</v>
      </c>
      <c r="E150" s="75" t="s">
        <v>167</v>
      </c>
      <c r="F150" s="116">
        <f t="shared" si="188"/>
        <v>0.7</v>
      </c>
      <c r="G150" s="116">
        <f t="shared" si="188"/>
        <v>0.7</v>
      </c>
      <c r="H150" s="116">
        <f t="shared" si="188"/>
        <v>0.5</v>
      </c>
      <c r="I150" s="116">
        <f t="shared" si="230"/>
        <v>-0.19999999999999996</v>
      </c>
      <c r="J150" s="81">
        <v>0.15</v>
      </c>
      <c r="K150" s="72">
        <v>46199</v>
      </c>
      <c r="L150" s="72">
        <f t="shared" si="170"/>
        <v>46199</v>
      </c>
      <c r="M150" s="72">
        <v>46199</v>
      </c>
      <c r="N150" s="72">
        <f t="shared" si="171"/>
        <v>46241</v>
      </c>
      <c r="O150" s="72">
        <f t="shared" si="172"/>
        <v>46241</v>
      </c>
      <c r="P150" s="72"/>
      <c r="Q150" s="72">
        <f t="shared" si="173"/>
        <v>46283</v>
      </c>
      <c r="R150" s="72">
        <f t="shared" si="174"/>
        <v>46283</v>
      </c>
      <c r="S150" s="72"/>
      <c r="T150" s="72">
        <f t="shared" si="175"/>
        <v>46297</v>
      </c>
      <c r="U150" s="72">
        <f t="shared" si="176"/>
        <v>46297</v>
      </c>
      <c r="V150" s="72"/>
      <c r="X150" s="184" t="str">
        <f t="shared" ca="1" si="204"/>
        <v>Completed</v>
      </c>
      <c r="Y150" s="184" t="str">
        <f t="shared" ca="1" si="205"/>
        <v>Overdue</v>
      </c>
      <c r="Z150" s="184" t="str">
        <f t="shared" ca="1" si="206"/>
        <v/>
      </c>
      <c r="AA150" s="185" t="str">
        <f t="shared" ca="1" si="207"/>
        <v/>
      </c>
    </row>
    <row r="151" spans="1:27" s="64" customFormat="1" ht="11.5" x14ac:dyDescent="0.25">
      <c r="A151" s="70" t="s">
        <v>61</v>
      </c>
      <c r="B151" s="70" t="s">
        <v>62</v>
      </c>
      <c r="C151" s="70" t="s">
        <v>94</v>
      </c>
      <c r="D151" s="75" t="s">
        <v>347</v>
      </c>
      <c r="E151" s="75" t="s">
        <v>168</v>
      </c>
      <c r="F151" s="116">
        <f t="shared" si="188"/>
        <v>0.7</v>
      </c>
      <c r="G151" s="116">
        <f t="shared" si="188"/>
        <v>0.7</v>
      </c>
      <c r="H151" s="116">
        <f t="shared" si="188"/>
        <v>0.5</v>
      </c>
      <c r="I151" s="116">
        <f t="shared" si="230"/>
        <v>-0.19999999999999996</v>
      </c>
      <c r="J151" s="81">
        <v>0.15</v>
      </c>
      <c r="K151" s="72">
        <v>46199</v>
      </c>
      <c r="L151" s="72">
        <f t="shared" si="170"/>
        <v>46199</v>
      </c>
      <c r="M151" s="72">
        <v>46199</v>
      </c>
      <c r="N151" s="72">
        <f t="shared" si="171"/>
        <v>46241</v>
      </c>
      <c r="O151" s="72">
        <f t="shared" si="172"/>
        <v>46241</v>
      </c>
      <c r="P151" s="72"/>
      <c r="Q151" s="72">
        <f t="shared" si="173"/>
        <v>46283</v>
      </c>
      <c r="R151" s="72">
        <f t="shared" si="174"/>
        <v>46283</v>
      </c>
      <c r="S151" s="72"/>
      <c r="T151" s="72">
        <f t="shared" si="175"/>
        <v>46297</v>
      </c>
      <c r="U151" s="72">
        <f t="shared" si="176"/>
        <v>46297</v>
      </c>
      <c r="V151" s="72"/>
      <c r="X151" s="184" t="str">
        <f t="shared" ca="1" si="204"/>
        <v>Completed</v>
      </c>
      <c r="Y151" s="184" t="str">
        <f t="shared" ca="1" si="205"/>
        <v>Overdue</v>
      </c>
      <c r="Z151" s="184" t="str">
        <f t="shared" ca="1" si="206"/>
        <v/>
      </c>
      <c r="AA151" s="185" t="str">
        <f t="shared" ca="1" si="207"/>
        <v/>
      </c>
    </row>
    <row r="152" spans="1:27" s="64" customFormat="1" ht="11.5" x14ac:dyDescent="0.25">
      <c r="A152" s="70" t="s">
        <v>61</v>
      </c>
      <c r="B152" s="70" t="s">
        <v>62</v>
      </c>
      <c r="C152" s="70" t="s">
        <v>94</v>
      </c>
      <c r="D152" s="75" t="s">
        <v>348</v>
      </c>
      <c r="E152" s="75" t="s">
        <v>169</v>
      </c>
      <c r="F152" s="116">
        <f t="shared" si="188"/>
        <v>0.7</v>
      </c>
      <c r="G152" s="116">
        <f t="shared" si="188"/>
        <v>0.7</v>
      </c>
      <c r="H152" s="116">
        <f t="shared" si="188"/>
        <v>0.5</v>
      </c>
      <c r="I152" s="116">
        <f t="shared" si="230"/>
        <v>-0.19999999999999996</v>
      </c>
      <c r="J152" s="81">
        <v>0.15</v>
      </c>
      <c r="K152" s="72">
        <v>46199</v>
      </c>
      <c r="L152" s="72">
        <f t="shared" si="170"/>
        <v>46199</v>
      </c>
      <c r="M152" s="72">
        <v>46199</v>
      </c>
      <c r="N152" s="72">
        <f t="shared" si="171"/>
        <v>46241</v>
      </c>
      <c r="O152" s="72">
        <f t="shared" si="172"/>
        <v>46241</v>
      </c>
      <c r="P152" s="72"/>
      <c r="Q152" s="72">
        <f t="shared" si="173"/>
        <v>46283</v>
      </c>
      <c r="R152" s="72">
        <f t="shared" si="174"/>
        <v>46283</v>
      </c>
      <c r="S152" s="72"/>
      <c r="T152" s="72">
        <f t="shared" si="175"/>
        <v>46297</v>
      </c>
      <c r="U152" s="72">
        <f t="shared" si="176"/>
        <v>46297</v>
      </c>
      <c r="V152" s="72"/>
      <c r="X152" s="184" t="str">
        <f t="shared" ca="1" si="204"/>
        <v>Completed</v>
      </c>
      <c r="Y152" s="184" t="str">
        <f t="shared" ca="1" si="205"/>
        <v>Overdue</v>
      </c>
      <c r="Z152" s="184" t="str">
        <f t="shared" ca="1" si="206"/>
        <v/>
      </c>
      <c r="AA152" s="185" t="str">
        <f t="shared" ca="1" si="207"/>
        <v/>
      </c>
    </row>
    <row r="153" spans="1:27" s="64" customFormat="1" ht="11.5" x14ac:dyDescent="0.25">
      <c r="A153" s="70" t="s">
        <v>61</v>
      </c>
      <c r="B153" s="70" t="s">
        <v>62</v>
      </c>
      <c r="C153" s="70" t="s">
        <v>94</v>
      </c>
      <c r="D153" s="75" t="s">
        <v>349</v>
      </c>
      <c r="E153" s="75" t="s">
        <v>419</v>
      </c>
      <c r="F153" s="116">
        <f t="shared" si="188"/>
        <v>0.7</v>
      </c>
      <c r="G153" s="116">
        <f t="shared" si="188"/>
        <v>0.7</v>
      </c>
      <c r="H153" s="116">
        <f t="shared" si="188"/>
        <v>0.5</v>
      </c>
      <c r="I153" s="116">
        <f t="shared" si="230"/>
        <v>-0.19999999999999996</v>
      </c>
      <c r="J153" s="81">
        <v>0.1</v>
      </c>
      <c r="K153" s="72">
        <v>46199</v>
      </c>
      <c r="L153" s="72">
        <f t="shared" si="170"/>
        <v>46199</v>
      </c>
      <c r="M153" s="72">
        <v>46171</v>
      </c>
      <c r="N153" s="72">
        <f t="shared" si="171"/>
        <v>46241</v>
      </c>
      <c r="O153" s="72">
        <f t="shared" si="172"/>
        <v>46241</v>
      </c>
      <c r="P153" s="72"/>
      <c r="Q153" s="72">
        <f t="shared" si="173"/>
        <v>46283</v>
      </c>
      <c r="R153" s="72">
        <f t="shared" si="174"/>
        <v>46283</v>
      </c>
      <c r="S153" s="72"/>
      <c r="T153" s="72">
        <f t="shared" si="175"/>
        <v>46297</v>
      </c>
      <c r="U153" s="72">
        <f t="shared" si="176"/>
        <v>46297</v>
      </c>
      <c r="V153" s="72"/>
      <c r="X153" s="184" t="str">
        <f t="shared" ca="1" si="204"/>
        <v>Completed</v>
      </c>
      <c r="Y153" s="184" t="str">
        <f t="shared" ca="1" si="205"/>
        <v>Overdue</v>
      </c>
      <c r="Z153" s="184" t="str">
        <f t="shared" ca="1" si="206"/>
        <v/>
      </c>
      <c r="AA153" s="185" t="str">
        <f t="shared" ca="1" si="207"/>
        <v/>
      </c>
    </row>
    <row r="154" spans="1:27" s="145" customFormat="1" ht="11.5" x14ac:dyDescent="0.25">
      <c r="A154" s="140" t="s">
        <v>61</v>
      </c>
      <c r="B154" s="140" t="s">
        <v>62</v>
      </c>
      <c r="C154" s="140" t="s">
        <v>94</v>
      </c>
      <c r="D154" s="141" t="s">
        <v>420</v>
      </c>
      <c r="E154" s="141" t="s">
        <v>514</v>
      </c>
      <c r="F154" s="142"/>
      <c r="G154" s="142"/>
      <c r="H154" s="142"/>
      <c r="I154" s="142"/>
      <c r="J154" s="143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X154" s="184"/>
      <c r="Y154" s="184"/>
      <c r="Z154" s="184"/>
      <c r="AA154" s="185" t="str">
        <f t="shared" ca="1" si="207"/>
        <v/>
      </c>
    </row>
    <row r="155" spans="1:27" s="145" customFormat="1" ht="11.5" x14ac:dyDescent="0.25">
      <c r="A155" s="140" t="s">
        <v>61</v>
      </c>
      <c r="B155" s="140" t="s">
        <v>62</v>
      </c>
      <c r="C155" s="140" t="s">
        <v>94</v>
      </c>
      <c r="D155" s="141" t="s">
        <v>421</v>
      </c>
      <c r="E155" s="141" t="s">
        <v>515</v>
      </c>
      <c r="F155" s="142"/>
      <c r="G155" s="142"/>
      <c r="H155" s="142"/>
      <c r="I155" s="142"/>
      <c r="J155" s="143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X155" s="184"/>
      <c r="Y155" s="184"/>
      <c r="Z155" s="184"/>
      <c r="AA155" s="185" t="str">
        <f t="shared" ca="1" si="207"/>
        <v/>
      </c>
    </row>
    <row r="156" spans="1:27" s="64" customFormat="1" ht="11.5" x14ac:dyDescent="0.25">
      <c r="A156" s="70" t="s">
        <v>61</v>
      </c>
      <c r="B156" s="70" t="s">
        <v>62</v>
      </c>
      <c r="C156" s="70" t="s">
        <v>94</v>
      </c>
      <c r="D156" s="75" t="s">
        <v>350</v>
      </c>
      <c r="E156" s="75" t="s">
        <v>170</v>
      </c>
      <c r="F156" s="116">
        <f t="shared" si="188"/>
        <v>0.5</v>
      </c>
      <c r="G156" s="116">
        <f t="shared" si="188"/>
        <v>0.5</v>
      </c>
      <c r="H156" s="116">
        <f t="shared" si="188"/>
        <v>0.7</v>
      </c>
      <c r="I156" s="116">
        <f t="shared" si="230"/>
        <v>0.19999999999999996</v>
      </c>
      <c r="J156" s="81">
        <v>0.1</v>
      </c>
      <c r="K156" s="72">
        <v>46213</v>
      </c>
      <c r="L156" s="72">
        <f t="shared" si="170"/>
        <v>46213</v>
      </c>
      <c r="M156" s="72">
        <v>46171</v>
      </c>
      <c r="N156" s="72">
        <f t="shared" si="171"/>
        <v>46255</v>
      </c>
      <c r="O156" s="72">
        <f t="shared" si="172"/>
        <v>46255</v>
      </c>
      <c r="P156" s="72">
        <v>46241</v>
      </c>
      <c r="Q156" s="72">
        <f t="shared" si="173"/>
        <v>46297</v>
      </c>
      <c r="R156" s="72">
        <f t="shared" si="174"/>
        <v>46297</v>
      </c>
      <c r="S156" s="72"/>
      <c r="T156" s="72">
        <f t="shared" si="175"/>
        <v>46311</v>
      </c>
      <c r="U156" s="72">
        <f t="shared" si="176"/>
        <v>46311</v>
      </c>
      <c r="V156" s="72"/>
      <c r="X156" s="184" t="str">
        <f t="shared" ca="1" si="204"/>
        <v>Completed</v>
      </c>
      <c r="Y156" s="184" t="str">
        <f t="shared" ca="1" si="205"/>
        <v>Completed</v>
      </c>
      <c r="Z156" s="184" t="str">
        <f t="shared" ca="1" si="206"/>
        <v/>
      </c>
      <c r="AA156" s="185" t="str">
        <f t="shared" ca="1" si="207"/>
        <v/>
      </c>
    </row>
    <row r="157" spans="1:27" s="64" customFormat="1" ht="11.5" x14ac:dyDescent="0.25">
      <c r="A157" s="70" t="s">
        <v>61</v>
      </c>
      <c r="B157" s="70" t="s">
        <v>62</v>
      </c>
      <c r="C157" s="70" t="s">
        <v>94</v>
      </c>
      <c r="D157" s="75" t="s">
        <v>351</v>
      </c>
      <c r="E157" s="75" t="s">
        <v>171</v>
      </c>
      <c r="F157" s="116">
        <f t="shared" si="188"/>
        <v>0.5</v>
      </c>
      <c r="G157" s="116">
        <f t="shared" si="188"/>
        <v>0.5</v>
      </c>
      <c r="H157" s="116">
        <f t="shared" si="188"/>
        <v>0.7</v>
      </c>
      <c r="I157" s="116">
        <f t="shared" si="230"/>
        <v>0.19999999999999996</v>
      </c>
      <c r="J157" s="81">
        <v>0.1</v>
      </c>
      <c r="K157" s="72">
        <v>46213</v>
      </c>
      <c r="L157" s="72">
        <f t="shared" si="170"/>
        <v>46213</v>
      </c>
      <c r="M157" s="72">
        <v>46171</v>
      </c>
      <c r="N157" s="72">
        <f t="shared" si="171"/>
        <v>46255</v>
      </c>
      <c r="O157" s="72">
        <f t="shared" si="172"/>
        <v>46255</v>
      </c>
      <c r="P157" s="72">
        <v>46241</v>
      </c>
      <c r="Q157" s="72">
        <f t="shared" si="173"/>
        <v>46297</v>
      </c>
      <c r="R157" s="72">
        <f t="shared" si="174"/>
        <v>46297</v>
      </c>
      <c r="S157" s="72"/>
      <c r="T157" s="72">
        <f t="shared" si="175"/>
        <v>46311</v>
      </c>
      <c r="U157" s="72">
        <f t="shared" si="176"/>
        <v>46311</v>
      </c>
      <c r="V157" s="72"/>
      <c r="X157" s="184" t="str">
        <f t="shared" ca="1" si="204"/>
        <v>Completed</v>
      </c>
      <c r="Y157" s="184" t="str">
        <f t="shared" ca="1" si="205"/>
        <v>Completed</v>
      </c>
      <c r="Z157" s="184" t="str">
        <f t="shared" ca="1" si="206"/>
        <v/>
      </c>
      <c r="AA157" s="185" t="str">
        <f t="shared" ca="1" si="207"/>
        <v/>
      </c>
    </row>
    <row r="158" spans="1:27" s="64" customFormat="1" ht="11.5" x14ac:dyDescent="0.25">
      <c r="A158" s="70" t="s">
        <v>61</v>
      </c>
      <c r="B158" s="70" t="s">
        <v>62</v>
      </c>
      <c r="C158" s="70" t="s">
        <v>94</v>
      </c>
      <c r="D158" s="75" t="s">
        <v>352</v>
      </c>
      <c r="E158" s="75" t="s">
        <v>172</v>
      </c>
      <c r="F158" s="116">
        <f t="shared" si="188"/>
        <v>0.5</v>
      </c>
      <c r="G158" s="116">
        <f t="shared" si="188"/>
        <v>0.5</v>
      </c>
      <c r="H158" s="116">
        <f t="shared" si="188"/>
        <v>0.7</v>
      </c>
      <c r="I158" s="116">
        <f t="shared" si="230"/>
        <v>0.19999999999999996</v>
      </c>
      <c r="J158" s="81">
        <v>0.1</v>
      </c>
      <c r="K158" s="72">
        <v>46213</v>
      </c>
      <c r="L158" s="72">
        <f t="shared" si="170"/>
        <v>46213</v>
      </c>
      <c r="M158" s="72">
        <v>46171</v>
      </c>
      <c r="N158" s="72">
        <f t="shared" si="171"/>
        <v>46255</v>
      </c>
      <c r="O158" s="72">
        <f t="shared" si="172"/>
        <v>46255</v>
      </c>
      <c r="P158" s="72">
        <v>46241</v>
      </c>
      <c r="Q158" s="72">
        <f t="shared" si="173"/>
        <v>46297</v>
      </c>
      <c r="R158" s="72">
        <f t="shared" si="174"/>
        <v>46297</v>
      </c>
      <c r="S158" s="72"/>
      <c r="T158" s="72">
        <f t="shared" si="175"/>
        <v>46311</v>
      </c>
      <c r="U158" s="72">
        <f t="shared" si="176"/>
        <v>46311</v>
      </c>
      <c r="V158" s="72"/>
      <c r="X158" s="184" t="str">
        <f t="shared" ca="1" si="204"/>
        <v>Completed</v>
      </c>
      <c r="Y158" s="184" t="str">
        <f t="shared" ca="1" si="205"/>
        <v>Completed</v>
      </c>
      <c r="Z158" s="184" t="str">
        <f t="shared" ca="1" si="206"/>
        <v/>
      </c>
      <c r="AA158" s="185" t="str">
        <f t="shared" ca="1" si="207"/>
        <v/>
      </c>
    </row>
    <row r="159" spans="1:27" s="64" customFormat="1" ht="11.5" x14ac:dyDescent="0.25">
      <c r="A159" s="70" t="s">
        <v>61</v>
      </c>
      <c r="B159" s="70" t="s">
        <v>62</v>
      </c>
      <c r="C159" s="70" t="s">
        <v>94</v>
      </c>
      <c r="D159" s="75" t="s">
        <v>353</v>
      </c>
      <c r="E159" s="75" t="s">
        <v>173</v>
      </c>
      <c r="F159" s="116">
        <f t="shared" si="188"/>
        <v>0.5</v>
      </c>
      <c r="G159" s="116">
        <f t="shared" si="188"/>
        <v>0.5</v>
      </c>
      <c r="H159" s="116">
        <f t="shared" si="188"/>
        <v>0.79999999999999993</v>
      </c>
      <c r="I159" s="116">
        <f t="shared" si="230"/>
        <v>0.29999999999999993</v>
      </c>
      <c r="J159" s="81">
        <v>0.1</v>
      </c>
      <c r="K159" s="72">
        <v>46213</v>
      </c>
      <c r="L159" s="72">
        <f t="shared" ref="L159:L236" si="231">K159</f>
        <v>46213</v>
      </c>
      <c r="M159" s="72">
        <v>46171</v>
      </c>
      <c r="N159" s="72">
        <f t="shared" ref="N159:N236" si="232">K159+42</f>
        <v>46255</v>
      </c>
      <c r="O159" s="72">
        <f t="shared" ref="O159:O236" si="233">N159</f>
        <v>46255</v>
      </c>
      <c r="P159" s="72">
        <v>46191</v>
      </c>
      <c r="Q159" s="72">
        <f t="shared" ref="Q159:Q236" si="234">N159+42</f>
        <v>46297</v>
      </c>
      <c r="R159" s="72">
        <f t="shared" ref="R159:R236" si="235">Q159</f>
        <v>46297</v>
      </c>
      <c r="S159" s="72">
        <v>46241</v>
      </c>
      <c r="T159" s="72">
        <f t="shared" ref="T159:T236" si="236">Q159+14</f>
        <v>46311</v>
      </c>
      <c r="U159" s="72">
        <f t="shared" ref="U159:U236" si="237">T159</f>
        <v>46311</v>
      </c>
      <c r="V159" s="72"/>
      <c r="X159" s="184" t="str">
        <f t="shared" ca="1" si="204"/>
        <v>Completed</v>
      </c>
      <c r="Y159" s="184" t="str">
        <f t="shared" ca="1" si="205"/>
        <v>Completed</v>
      </c>
      <c r="Z159" s="184" t="str">
        <f t="shared" ca="1" si="206"/>
        <v>Completed</v>
      </c>
      <c r="AA159" s="185" t="str">
        <f t="shared" ca="1" si="207"/>
        <v/>
      </c>
    </row>
    <row r="160" spans="1:27" s="64" customFormat="1" ht="11.5" x14ac:dyDescent="0.25">
      <c r="A160" s="70" t="s">
        <v>61</v>
      </c>
      <c r="B160" s="70" t="s">
        <v>62</v>
      </c>
      <c r="C160" s="70" t="s">
        <v>94</v>
      </c>
      <c r="D160" s="75" t="s">
        <v>354</v>
      </c>
      <c r="E160" s="75" t="s">
        <v>174</v>
      </c>
      <c r="F160" s="116">
        <f t="shared" si="188"/>
        <v>0.5</v>
      </c>
      <c r="G160" s="116">
        <f t="shared" si="188"/>
        <v>0.5</v>
      </c>
      <c r="H160" s="116">
        <f t="shared" si="188"/>
        <v>0.7</v>
      </c>
      <c r="I160" s="116">
        <f t="shared" si="230"/>
        <v>0.19999999999999996</v>
      </c>
      <c r="J160" s="81">
        <v>0.1</v>
      </c>
      <c r="K160" s="72">
        <v>46213</v>
      </c>
      <c r="L160" s="72">
        <f t="shared" si="231"/>
        <v>46213</v>
      </c>
      <c r="M160" s="72">
        <v>46171</v>
      </c>
      <c r="N160" s="72">
        <f t="shared" si="232"/>
        <v>46255</v>
      </c>
      <c r="O160" s="72">
        <f t="shared" si="233"/>
        <v>46255</v>
      </c>
      <c r="P160" s="72">
        <v>46241</v>
      </c>
      <c r="Q160" s="72">
        <f t="shared" si="234"/>
        <v>46297</v>
      </c>
      <c r="R160" s="72">
        <f t="shared" si="235"/>
        <v>46297</v>
      </c>
      <c r="S160" s="72"/>
      <c r="T160" s="72">
        <f t="shared" si="236"/>
        <v>46311</v>
      </c>
      <c r="U160" s="72">
        <f t="shared" si="237"/>
        <v>46311</v>
      </c>
      <c r="V160" s="72"/>
      <c r="X160" s="184" t="str">
        <f t="shared" ca="1" si="204"/>
        <v>Completed</v>
      </c>
      <c r="Y160" s="184" t="str">
        <f t="shared" ca="1" si="205"/>
        <v>Completed</v>
      </c>
      <c r="Z160" s="184" t="str">
        <f t="shared" ca="1" si="206"/>
        <v/>
      </c>
      <c r="AA160" s="185" t="str">
        <f t="shared" ca="1" si="207"/>
        <v/>
      </c>
    </row>
    <row r="161" spans="1:27" s="64" customFormat="1" ht="11.5" x14ac:dyDescent="0.25">
      <c r="A161" s="70" t="s">
        <v>61</v>
      </c>
      <c r="B161" s="70" t="s">
        <v>62</v>
      </c>
      <c r="C161" s="70" t="s">
        <v>94</v>
      </c>
      <c r="D161" s="75" t="s">
        <v>355</v>
      </c>
      <c r="E161" s="75" t="s">
        <v>175</v>
      </c>
      <c r="F161" s="116">
        <f t="shared" si="188"/>
        <v>0.5</v>
      </c>
      <c r="G161" s="116">
        <f t="shared" si="188"/>
        <v>0.5</v>
      </c>
      <c r="H161" s="116">
        <f t="shared" si="188"/>
        <v>0.79999999999999993</v>
      </c>
      <c r="I161" s="116">
        <f t="shared" si="230"/>
        <v>0.29999999999999993</v>
      </c>
      <c r="J161" s="81">
        <v>0.1</v>
      </c>
      <c r="K161" s="72">
        <v>46213</v>
      </c>
      <c r="L161" s="72">
        <f t="shared" si="231"/>
        <v>46213</v>
      </c>
      <c r="M161" s="72">
        <v>46171</v>
      </c>
      <c r="N161" s="72">
        <f t="shared" si="232"/>
        <v>46255</v>
      </c>
      <c r="O161" s="72">
        <f t="shared" si="233"/>
        <v>46255</v>
      </c>
      <c r="P161" s="72">
        <v>46191</v>
      </c>
      <c r="Q161" s="72">
        <f t="shared" si="234"/>
        <v>46297</v>
      </c>
      <c r="R161" s="72">
        <f t="shared" si="235"/>
        <v>46297</v>
      </c>
      <c r="S161" s="72">
        <v>46241</v>
      </c>
      <c r="T161" s="72">
        <f t="shared" si="236"/>
        <v>46311</v>
      </c>
      <c r="U161" s="72">
        <f t="shared" si="237"/>
        <v>46311</v>
      </c>
      <c r="V161" s="72"/>
      <c r="X161" s="184" t="str">
        <f t="shared" ca="1" si="204"/>
        <v>Completed</v>
      </c>
      <c r="Y161" s="184" t="str">
        <f t="shared" ca="1" si="205"/>
        <v>Completed</v>
      </c>
      <c r="Z161" s="184" t="str">
        <f t="shared" ca="1" si="206"/>
        <v>Completed</v>
      </c>
      <c r="AA161" s="185" t="str">
        <f t="shared" ca="1" si="207"/>
        <v/>
      </c>
    </row>
    <row r="162" spans="1:27" s="64" customFormat="1" ht="11.5" x14ac:dyDescent="0.25">
      <c r="A162" s="70" t="s">
        <v>61</v>
      </c>
      <c r="B162" s="70" t="s">
        <v>62</v>
      </c>
      <c r="C162" s="70" t="s">
        <v>94</v>
      </c>
      <c r="D162" s="75" t="s">
        <v>356</v>
      </c>
      <c r="E162" s="75" t="s">
        <v>176</v>
      </c>
      <c r="F162" s="116">
        <f t="shared" si="188"/>
        <v>0.5</v>
      </c>
      <c r="G162" s="116">
        <f t="shared" si="188"/>
        <v>0.5</v>
      </c>
      <c r="H162" s="116">
        <f t="shared" si="188"/>
        <v>0.7</v>
      </c>
      <c r="I162" s="116">
        <f t="shared" si="230"/>
        <v>0.19999999999999996</v>
      </c>
      <c r="J162" s="81">
        <v>0.1</v>
      </c>
      <c r="K162" s="72">
        <v>46213</v>
      </c>
      <c r="L162" s="72">
        <f t="shared" si="231"/>
        <v>46213</v>
      </c>
      <c r="M162" s="72">
        <v>46171</v>
      </c>
      <c r="N162" s="72">
        <f t="shared" si="232"/>
        <v>46255</v>
      </c>
      <c r="O162" s="72">
        <f t="shared" si="233"/>
        <v>46255</v>
      </c>
      <c r="P162" s="72">
        <v>46241</v>
      </c>
      <c r="Q162" s="72">
        <f t="shared" si="234"/>
        <v>46297</v>
      </c>
      <c r="R162" s="72">
        <f t="shared" si="235"/>
        <v>46297</v>
      </c>
      <c r="S162" s="72"/>
      <c r="T162" s="72">
        <f t="shared" si="236"/>
        <v>46311</v>
      </c>
      <c r="U162" s="72">
        <f t="shared" si="237"/>
        <v>46311</v>
      </c>
      <c r="V162" s="72"/>
      <c r="X162" s="184" t="str">
        <f t="shared" ca="1" si="204"/>
        <v>Completed</v>
      </c>
      <c r="Y162" s="184" t="str">
        <f t="shared" ca="1" si="205"/>
        <v>Completed</v>
      </c>
      <c r="Z162" s="184" t="str">
        <f t="shared" ca="1" si="206"/>
        <v/>
      </c>
      <c r="AA162" s="185" t="str">
        <f t="shared" ca="1" si="207"/>
        <v/>
      </c>
    </row>
    <row r="163" spans="1:27" s="64" customFormat="1" ht="11.5" x14ac:dyDescent="0.25">
      <c r="A163" s="70" t="s">
        <v>61</v>
      </c>
      <c r="B163" s="70" t="s">
        <v>62</v>
      </c>
      <c r="C163" s="70" t="s">
        <v>94</v>
      </c>
      <c r="D163" s="75" t="s">
        <v>357</v>
      </c>
      <c r="E163" s="75" t="s">
        <v>177</v>
      </c>
      <c r="F163" s="116">
        <f t="shared" si="188"/>
        <v>0.5</v>
      </c>
      <c r="G163" s="116">
        <f t="shared" si="188"/>
        <v>0.5</v>
      </c>
      <c r="H163" s="116">
        <f t="shared" si="188"/>
        <v>0.7</v>
      </c>
      <c r="I163" s="116">
        <f t="shared" si="230"/>
        <v>0.19999999999999996</v>
      </c>
      <c r="J163" s="81">
        <v>0.1</v>
      </c>
      <c r="K163" s="72">
        <v>46213</v>
      </c>
      <c r="L163" s="72">
        <f t="shared" si="231"/>
        <v>46213</v>
      </c>
      <c r="M163" s="72">
        <v>46171</v>
      </c>
      <c r="N163" s="72">
        <f t="shared" si="232"/>
        <v>46255</v>
      </c>
      <c r="O163" s="72">
        <f t="shared" si="233"/>
        <v>46255</v>
      </c>
      <c r="P163" s="72">
        <v>46241</v>
      </c>
      <c r="Q163" s="72">
        <f t="shared" si="234"/>
        <v>46297</v>
      </c>
      <c r="R163" s="72">
        <f t="shared" si="235"/>
        <v>46297</v>
      </c>
      <c r="S163" s="72"/>
      <c r="T163" s="72">
        <f t="shared" si="236"/>
        <v>46311</v>
      </c>
      <c r="U163" s="72">
        <f t="shared" si="237"/>
        <v>46311</v>
      </c>
      <c r="V163" s="72"/>
      <c r="X163" s="184" t="str">
        <f t="shared" ca="1" si="204"/>
        <v>Completed</v>
      </c>
      <c r="Y163" s="184" t="str">
        <f t="shared" ca="1" si="205"/>
        <v>Completed</v>
      </c>
      <c r="Z163" s="184" t="str">
        <f t="shared" ca="1" si="206"/>
        <v/>
      </c>
      <c r="AA163" s="185" t="str">
        <f t="shared" ca="1" si="207"/>
        <v/>
      </c>
    </row>
    <row r="164" spans="1:27" s="64" customFormat="1" ht="11.5" x14ac:dyDescent="0.25">
      <c r="A164" s="70" t="s">
        <v>61</v>
      </c>
      <c r="B164" s="70" t="s">
        <v>62</v>
      </c>
      <c r="C164" s="70" t="s">
        <v>94</v>
      </c>
      <c r="D164" s="75" t="s">
        <v>465</v>
      </c>
      <c r="E164" s="75" t="s">
        <v>466</v>
      </c>
      <c r="F164" s="116">
        <f t="shared" ref="F164" si="238">(COUNTIFS(K164,"&lt;="&amp;$D$1)*50%)+(COUNTIFS(N164,"&lt;="&amp;$D$1)*20%)+(COUNTIFS(Q164,"&lt;="&amp;$D$1)*10%)+(COUNTIFS(T164,"&lt;="&amp;$D$1)*20%)</f>
        <v>0.5</v>
      </c>
      <c r="G164" s="116">
        <f t="shared" ref="G164" si="239">(COUNTIFS(L164,"&lt;="&amp;$D$1)*50%)+(COUNTIFS(O164,"&lt;="&amp;$D$1)*20%)+(COUNTIFS(R164,"&lt;="&amp;$D$1)*10%)+(COUNTIFS(U164,"&lt;="&amp;$D$1)*20%)</f>
        <v>0.5</v>
      </c>
      <c r="H164" s="116">
        <f t="shared" ref="H164" si="240">(COUNTIFS(M164,"&lt;="&amp;$D$1)*50%)+(COUNTIFS(P164,"&lt;="&amp;$D$1)*20%)+(COUNTIFS(S164,"&lt;="&amp;$D$1)*10%)+(COUNTIFS(V164,"&lt;="&amp;$D$1)*20%)</f>
        <v>0.7</v>
      </c>
      <c r="I164" s="116">
        <f t="shared" ref="I164" si="241">H164-F164</f>
        <v>0.19999999999999996</v>
      </c>
      <c r="J164" s="81">
        <v>0.1</v>
      </c>
      <c r="K164" s="72">
        <v>46213</v>
      </c>
      <c r="L164" s="72">
        <f t="shared" ref="L164" si="242">K164</f>
        <v>46213</v>
      </c>
      <c r="M164" s="72">
        <v>46171</v>
      </c>
      <c r="N164" s="72">
        <f t="shared" ref="N164" si="243">K164+42</f>
        <v>46255</v>
      </c>
      <c r="O164" s="72">
        <f t="shared" ref="O164" si="244">N164</f>
        <v>46255</v>
      </c>
      <c r="P164" s="72">
        <v>46241</v>
      </c>
      <c r="Q164" s="72">
        <f t="shared" ref="Q164" si="245">N164+42</f>
        <v>46297</v>
      </c>
      <c r="R164" s="72">
        <f t="shared" ref="R164" si="246">Q164</f>
        <v>46297</v>
      </c>
      <c r="S164" s="72"/>
      <c r="T164" s="72">
        <f t="shared" ref="T164" si="247">Q164+14</f>
        <v>46311</v>
      </c>
      <c r="U164" s="72">
        <f t="shared" ref="U164" si="248">T164</f>
        <v>46311</v>
      </c>
      <c r="V164" s="72"/>
      <c r="X164" s="184" t="str">
        <f t="shared" ca="1" si="204"/>
        <v>Completed</v>
      </c>
      <c r="Y164" s="184" t="str">
        <f t="shared" ca="1" si="205"/>
        <v>Completed</v>
      </c>
      <c r="Z164" s="184" t="str">
        <f t="shared" ca="1" si="206"/>
        <v/>
      </c>
      <c r="AA164" s="185" t="str">
        <f t="shared" ca="1" si="207"/>
        <v/>
      </c>
    </row>
    <row r="165" spans="1:27" s="64" customFormat="1" ht="11.5" x14ac:dyDescent="0.25">
      <c r="A165" s="70" t="s">
        <v>61</v>
      </c>
      <c r="B165" s="70" t="s">
        <v>62</v>
      </c>
      <c r="C165" s="70" t="s">
        <v>94</v>
      </c>
      <c r="D165" s="124" t="s">
        <v>358</v>
      </c>
      <c r="E165" s="124" t="s">
        <v>422</v>
      </c>
      <c r="F165" s="125">
        <f t="shared" si="188"/>
        <v>0.5</v>
      </c>
      <c r="G165" s="125">
        <f t="shared" si="188"/>
        <v>0.5</v>
      </c>
      <c r="H165" s="125">
        <f t="shared" si="188"/>
        <v>0.7</v>
      </c>
      <c r="I165" s="125">
        <f t="shared" si="230"/>
        <v>0.19999999999999996</v>
      </c>
      <c r="J165" s="81">
        <v>0.15</v>
      </c>
      <c r="K165" s="72">
        <v>46213</v>
      </c>
      <c r="L165" s="74">
        <f t="shared" ref="L165:L166" si="249">K165</f>
        <v>46213</v>
      </c>
      <c r="M165" s="72">
        <v>46199</v>
      </c>
      <c r="N165" s="74">
        <f t="shared" ref="N165:N166" si="250">K165+42</f>
        <v>46255</v>
      </c>
      <c r="O165" s="74">
        <f t="shared" ref="O165:O166" si="251">N165</f>
        <v>46255</v>
      </c>
      <c r="P165" s="72">
        <v>46241</v>
      </c>
      <c r="Q165" s="74">
        <f t="shared" ref="Q165:Q166" si="252">N165+42</f>
        <v>46297</v>
      </c>
      <c r="R165" s="74">
        <f t="shared" ref="R165:R166" si="253">Q165</f>
        <v>46297</v>
      </c>
      <c r="S165" s="72"/>
      <c r="T165" s="74">
        <f t="shared" ref="T165:T166" si="254">Q165+14</f>
        <v>46311</v>
      </c>
      <c r="U165" s="74">
        <f t="shared" ref="U165:U166" si="255">T165</f>
        <v>46311</v>
      </c>
      <c r="V165" s="74"/>
      <c r="X165" s="184" t="str">
        <f t="shared" ca="1" si="204"/>
        <v>Completed</v>
      </c>
      <c r="Y165" s="184" t="str">
        <f t="shared" ca="1" si="205"/>
        <v>Completed</v>
      </c>
      <c r="Z165" s="184" t="str">
        <f t="shared" ca="1" si="206"/>
        <v/>
      </c>
      <c r="AA165" s="185" t="str">
        <f t="shared" ca="1" si="207"/>
        <v/>
      </c>
    </row>
    <row r="166" spans="1:27" s="64" customFormat="1" ht="11.5" x14ac:dyDescent="0.25">
      <c r="A166" s="70" t="s">
        <v>61</v>
      </c>
      <c r="B166" s="70" t="s">
        <v>62</v>
      </c>
      <c r="C166" s="70" t="s">
        <v>94</v>
      </c>
      <c r="D166" s="124" t="s">
        <v>423</v>
      </c>
      <c r="E166" s="124" t="s">
        <v>424</v>
      </c>
      <c r="F166" s="125"/>
      <c r="G166" s="116">
        <f t="shared" ref="G166:G168" si="256">(COUNTIFS(L166,"&lt;="&amp;$D$1)*50%)+(COUNTIFS(O166,"&lt;="&amp;$D$1)*20%)+(COUNTIFS(R166,"&lt;="&amp;$D$1)*10%)+(COUNTIFS(U166,"&lt;="&amp;$D$1)*20%)</f>
        <v>0.5</v>
      </c>
      <c r="H166" s="116">
        <f t="shared" ref="H166:H168" si="257">(COUNTIFS(M166,"&lt;="&amp;$D$1)*50%)+(COUNTIFS(P166,"&lt;="&amp;$D$1)*20%)+(COUNTIFS(S166,"&lt;="&amp;$D$1)*10%)+(COUNTIFS(V166,"&lt;="&amp;$D$1)*20%)</f>
        <v>0.7</v>
      </c>
      <c r="I166" s="116">
        <f t="shared" ref="I166:I168" si="258">H166-F166</f>
        <v>0.7</v>
      </c>
      <c r="J166" s="81">
        <v>0.15</v>
      </c>
      <c r="K166" s="72">
        <v>46213</v>
      </c>
      <c r="L166" s="72">
        <f t="shared" si="249"/>
        <v>46213</v>
      </c>
      <c r="M166" s="72">
        <v>46199</v>
      </c>
      <c r="N166" s="72">
        <f t="shared" si="250"/>
        <v>46255</v>
      </c>
      <c r="O166" s="72">
        <f t="shared" si="251"/>
        <v>46255</v>
      </c>
      <c r="P166" s="72">
        <v>46205</v>
      </c>
      <c r="Q166" s="72">
        <f t="shared" si="252"/>
        <v>46297</v>
      </c>
      <c r="R166" s="72">
        <f t="shared" si="253"/>
        <v>46297</v>
      </c>
      <c r="S166" s="72"/>
      <c r="T166" s="72">
        <f t="shared" si="254"/>
        <v>46311</v>
      </c>
      <c r="U166" s="72">
        <f t="shared" si="255"/>
        <v>46311</v>
      </c>
      <c r="V166" s="74"/>
      <c r="X166" s="184" t="str">
        <f t="shared" ca="1" si="204"/>
        <v>Completed</v>
      </c>
      <c r="Y166" s="184" t="str">
        <f t="shared" ca="1" si="205"/>
        <v>Completed</v>
      </c>
      <c r="Z166" s="184" t="str">
        <f t="shared" ca="1" si="206"/>
        <v/>
      </c>
      <c r="AA166" s="185" t="str">
        <f t="shared" ca="1" si="207"/>
        <v/>
      </c>
    </row>
    <row r="167" spans="1:27" s="64" customFormat="1" ht="11.5" x14ac:dyDescent="0.25">
      <c r="A167" s="70" t="s">
        <v>61</v>
      </c>
      <c r="B167" s="70" t="s">
        <v>62</v>
      </c>
      <c r="C167" s="70" t="s">
        <v>94</v>
      </c>
      <c r="D167" s="124" t="s">
        <v>425</v>
      </c>
      <c r="E167" s="124" t="s">
        <v>426</v>
      </c>
      <c r="F167" s="125"/>
      <c r="G167" s="125">
        <f t="shared" si="256"/>
        <v>0.5</v>
      </c>
      <c r="H167" s="125">
        <f t="shared" si="257"/>
        <v>0.7</v>
      </c>
      <c r="I167" s="125">
        <f t="shared" si="258"/>
        <v>0.7</v>
      </c>
      <c r="J167" s="81">
        <v>0.15</v>
      </c>
      <c r="K167" s="72">
        <v>46213</v>
      </c>
      <c r="L167" s="74">
        <f t="shared" ref="L167:L168" si="259">K167</f>
        <v>46213</v>
      </c>
      <c r="M167" s="72">
        <v>46199</v>
      </c>
      <c r="N167" s="74">
        <f t="shared" ref="N167:N168" si="260">K167+42</f>
        <v>46255</v>
      </c>
      <c r="O167" s="74">
        <f t="shared" ref="O167:O168" si="261">N167</f>
        <v>46255</v>
      </c>
      <c r="P167" s="72">
        <v>46241</v>
      </c>
      <c r="Q167" s="74">
        <f t="shared" ref="Q167:Q168" si="262">N167+42</f>
        <v>46297</v>
      </c>
      <c r="R167" s="74">
        <f t="shared" ref="R167:R168" si="263">Q167</f>
        <v>46297</v>
      </c>
      <c r="S167" s="72"/>
      <c r="T167" s="74">
        <f t="shared" ref="T167:T168" si="264">Q167+14</f>
        <v>46311</v>
      </c>
      <c r="U167" s="74">
        <f t="shared" ref="U167:U168" si="265">T167</f>
        <v>46311</v>
      </c>
      <c r="V167" s="74"/>
      <c r="X167" s="184" t="str">
        <f t="shared" ca="1" si="204"/>
        <v>Completed</v>
      </c>
      <c r="Y167" s="184" t="str">
        <f t="shared" ca="1" si="205"/>
        <v>Completed</v>
      </c>
      <c r="Z167" s="184" t="str">
        <f t="shared" ca="1" si="206"/>
        <v/>
      </c>
      <c r="AA167" s="185" t="str">
        <f t="shared" ca="1" si="207"/>
        <v/>
      </c>
    </row>
    <row r="168" spans="1:27" s="64" customFormat="1" ht="11.5" x14ac:dyDescent="0.25">
      <c r="A168" s="70" t="s">
        <v>61</v>
      </c>
      <c r="B168" s="70" t="s">
        <v>62</v>
      </c>
      <c r="C168" s="70" t="s">
        <v>94</v>
      </c>
      <c r="D168" s="124" t="s">
        <v>427</v>
      </c>
      <c r="E168" s="124" t="s">
        <v>428</v>
      </c>
      <c r="F168" s="125"/>
      <c r="G168" s="116">
        <f t="shared" si="256"/>
        <v>0.5</v>
      </c>
      <c r="H168" s="116">
        <f t="shared" si="257"/>
        <v>0.7</v>
      </c>
      <c r="I168" s="116">
        <f t="shared" si="258"/>
        <v>0.7</v>
      </c>
      <c r="J168" s="81">
        <v>0.15</v>
      </c>
      <c r="K168" s="72">
        <v>46213</v>
      </c>
      <c r="L168" s="72">
        <f t="shared" si="259"/>
        <v>46213</v>
      </c>
      <c r="M168" s="72">
        <v>46199</v>
      </c>
      <c r="N168" s="72">
        <f t="shared" si="260"/>
        <v>46255</v>
      </c>
      <c r="O168" s="72">
        <f t="shared" si="261"/>
        <v>46255</v>
      </c>
      <c r="P168" s="72">
        <v>46241</v>
      </c>
      <c r="Q168" s="72">
        <f t="shared" si="262"/>
        <v>46297</v>
      </c>
      <c r="R168" s="72">
        <f t="shared" si="263"/>
        <v>46297</v>
      </c>
      <c r="S168" s="72"/>
      <c r="T168" s="72">
        <f t="shared" si="264"/>
        <v>46311</v>
      </c>
      <c r="U168" s="72">
        <f t="shared" si="265"/>
        <v>46311</v>
      </c>
      <c r="V168" s="74"/>
      <c r="X168" s="184" t="str">
        <f t="shared" ca="1" si="204"/>
        <v>Completed</v>
      </c>
      <c r="Y168" s="184" t="str">
        <f t="shared" ca="1" si="205"/>
        <v>Completed</v>
      </c>
      <c r="Z168" s="184" t="str">
        <f t="shared" ca="1" si="206"/>
        <v/>
      </c>
      <c r="AA168" s="185" t="str">
        <f t="shared" ca="1" si="207"/>
        <v/>
      </c>
    </row>
    <row r="169" spans="1:27" s="145" customFormat="1" ht="11.5" x14ac:dyDescent="0.25">
      <c r="A169" s="140" t="s">
        <v>61</v>
      </c>
      <c r="B169" s="140" t="s">
        <v>62</v>
      </c>
      <c r="C169" s="140" t="s">
        <v>94</v>
      </c>
      <c r="D169" s="146" t="s">
        <v>429</v>
      </c>
      <c r="E169" s="196" t="s">
        <v>516</v>
      </c>
      <c r="F169" s="147"/>
      <c r="G169" s="147"/>
      <c r="H169" s="147"/>
      <c r="I169" s="147"/>
      <c r="J169" s="143"/>
      <c r="K169" s="144"/>
      <c r="L169" s="148"/>
      <c r="M169" s="148"/>
      <c r="N169" s="148"/>
      <c r="O169" s="148"/>
      <c r="P169" s="144"/>
      <c r="Q169" s="148"/>
      <c r="R169" s="148"/>
      <c r="S169" s="144"/>
      <c r="T169" s="148"/>
      <c r="U169" s="148"/>
      <c r="V169" s="148"/>
      <c r="X169" s="184"/>
      <c r="Y169" s="184" t="str">
        <f t="shared" ca="1" si="205"/>
        <v/>
      </c>
      <c r="Z169" s="184" t="str">
        <f t="shared" ca="1" si="206"/>
        <v/>
      </c>
      <c r="AA169" s="185" t="str">
        <f t="shared" ca="1" si="207"/>
        <v/>
      </c>
    </row>
    <row r="170" spans="1:27" s="145" customFormat="1" ht="11.5" x14ac:dyDescent="0.25">
      <c r="A170" s="140" t="s">
        <v>61</v>
      </c>
      <c r="B170" s="140" t="s">
        <v>62</v>
      </c>
      <c r="C170" s="140" t="s">
        <v>94</v>
      </c>
      <c r="D170" s="146" t="s">
        <v>430</v>
      </c>
      <c r="E170" s="196" t="s">
        <v>517</v>
      </c>
      <c r="F170" s="147"/>
      <c r="G170" s="147"/>
      <c r="H170" s="147"/>
      <c r="I170" s="147"/>
      <c r="J170" s="143"/>
      <c r="K170" s="144"/>
      <c r="L170" s="148"/>
      <c r="M170" s="148"/>
      <c r="N170" s="148"/>
      <c r="O170" s="148"/>
      <c r="P170" s="144"/>
      <c r="Q170" s="148"/>
      <c r="R170" s="148"/>
      <c r="S170" s="144"/>
      <c r="T170" s="148"/>
      <c r="U170" s="148"/>
      <c r="V170" s="148"/>
      <c r="X170" s="184"/>
      <c r="Y170" s="184" t="str">
        <f t="shared" ca="1" si="205"/>
        <v/>
      </c>
      <c r="Z170" s="184" t="str">
        <f t="shared" ca="1" si="206"/>
        <v/>
      </c>
      <c r="AA170" s="185" t="str">
        <f t="shared" ca="1" si="207"/>
        <v/>
      </c>
    </row>
    <row r="171" spans="1:27" s="64" customFormat="1" ht="11.5" x14ac:dyDescent="0.25">
      <c r="A171" s="70" t="s">
        <v>61</v>
      </c>
      <c r="B171" s="70" t="s">
        <v>62</v>
      </c>
      <c r="C171" s="70" t="s">
        <v>94</v>
      </c>
      <c r="D171" s="75" t="s">
        <v>359</v>
      </c>
      <c r="E171" s="75" t="s">
        <v>178</v>
      </c>
      <c r="F171" s="116">
        <f t="shared" si="188"/>
        <v>0.5</v>
      </c>
      <c r="G171" s="116">
        <f t="shared" si="188"/>
        <v>0.5</v>
      </c>
      <c r="H171" s="116">
        <f t="shared" si="188"/>
        <v>0.7</v>
      </c>
      <c r="I171" s="116">
        <f t="shared" si="230"/>
        <v>0.19999999999999996</v>
      </c>
      <c r="J171" s="81">
        <v>0.1</v>
      </c>
      <c r="K171" s="72">
        <v>46213</v>
      </c>
      <c r="L171" s="72">
        <f t="shared" si="231"/>
        <v>46213</v>
      </c>
      <c r="M171" s="72">
        <v>46171</v>
      </c>
      <c r="N171" s="72">
        <f t="shared" si="232"/>
        <v>46255</v>
      </c>
      <c r="O171" s="72">
        <f t="shared" si="233"/>
        <v>46255</v>
      </c>
      <c r="P171" s="149">
        <v>46248</v>
      </c>
      <c r="Q171" s="72">
        <f t="shared" si="234"/>
        <v>46297</v>
      </c>
      <c r="R171" s="72">
        <f t="shared" si="235"/>
        <v>46297</v>
      </c>
      <c r="S171" s="72"/>
      <c r="T171" s="72">
        <f t="shared" si="236"/>
        <v>46311</v>
      </c>
      <c r="U171" s="72">
        <f t="shared" si="237"/>
        <v>46311</v>
      </c>
      <c r="V171" s="72"/>
      <c r="X171" s="184" t="str">
        <f t="shared" ca="1" si="204"/>
        <v>Completed</v>
      </c>
      <c r="Y171" s="184" t="str">
        <f t="shared" ca="1" si="205"/>
        <v>Completed</v>
      </c>
      <c r="Z171" s="184" t="str">
        <f t="shared" ca="1" si="206"/>
        <v/>
      </c>
      <c r="AA171" s="185" t="str">
        <f t="shared" ca="1" si="207"/>
        <v/>
      </c>
    </row>
    <row r="172" spans="1:27" s="64" customFormat="1" ht="11.5" x14ac:dyDescent="0.25">
      <c r="A172" s="70" t="s">
        <v>61</v>
      </c>
      <c r="B172" s="70" t="s">
        <v>62</v>
      </c>
      <c r="C172" s="70" t="s">
        <v>94</v>
      </c>
      <c r="D172" s="75" t="s">
        <v>360</v>
      </c>
      <c r="E172" s="75" t="s">
        <v>179</v>
      </c>
      <c r="F172" s="116">
        <f t="shared" si="188"/>
        <v>0.5</v>
      </c>
      <c r="G172" s="116">
        <f t="shared" si="188"/>
        <v>0.5</v>
      </c>
      <c r="H172" s="116">
        <f t="shared" si="188"/>
        <v>0.7</v>
      </c>
      <c r="I172" s="116">
        <f t="shared" si="230"/>
        <v>0.19999999999999996</v>
      </c>
      <c r="J172" s="81">
        <v>0.1</v>
      </c>
      <c r="K172" s="72">
        <v>46213</v>
      </c>
      <c r="L172" s="72">
        <f t="shared" si="231"/>
        <v>46213</v>
      </c>
      <c r="M172" s="72">
        <v>46171</v>
      </c>
      <c r="N172" s="72">
        <f t="shared" si="232"/>
        <v>46255</v>
      </c>
      <c r="O172" s="72">
        <f t="shared" si="233"/>
        <v>46255</v>
      </c>
      <c r="P172" s="149">
        <v>46248</v>
      </c>
      <c r="Q172" s="72">
        <f t="shared" si="234"/>
        <v>46297</v>
      </c>
      <c r="R172" s="72">
        <f t="shared" si="235"/>
        <v>46297</v>
      </c>
      <c r="S172" s="72"/>
      <c r="T172" s="72">
        <f t="shared" si="236"/>
        <v>46311</v>
      </c>
      <c r="U172" s="72">
        <f t="shared" si="237"/>
        <v>46311</v>
      </c>
      <c r="V172" s="72"/>
      <c r="X172" s="184" t="str">
        <f t="shared" ca="1" si="204"/>
        <v>Completed</v>
      </c>
      <c r="Y172" s="184" t="str">
        <f t="shared" ca="1" si="205"/>
        <v>Completed</v>
      </c>
      <c r="Z172" s="184" t="str">
        <f t="shared" ca="1" si="206"/>
        <v/>
      </c>
      <c r="AA172" s="185" t="str">
        <f t="shared" ca="1" si="207"/>
        <v/>
      </c>
    </row>
    <row r="173" spans="1:27" s="64" customFormat="1" ht="11.5" x14ac:dyDescent="0.25">
      <c r="A173" s="70" t="s">
        <v>61</v>
      </c>
      <c r="B173" s="70" t="s">
        <v>62</v>
      </c>
      <c r="C173" s="70" t="s">
        <v>94</v>
      </c>
      <c r="D173" s="75" t="s">
        <v>361</v>
      </c>
      <c r="E173" s="75" t="s">
        <v>180</v>
      </c>
      <c r="F173" s="116">
        <f t="shared" si="188"/>
        <v>0.5</v>
      </c>
      <c r="G173" s="116">
        <f t="shared" si="188"/>
        <v>0.5</v>
      </c>
      <c r="H173" s="116">
        <f t="shared" si="188"/>
        <v>0.5</v>
      </c>
      <c r="I173" s="116">
        <f t="shared" si="230"/>
        <v>0</v>
      </c>
      <c r="J173" s="81">
        <v>0.1</v>
      </c>
      <c r="K173" s="72">
        <v>46213</v>
      </c>
      <c r="L173" s="72">
        <f t="shared" si="231"/>
        <v>46213</v>
      </c>
      <c r="M173" s="72">
        <v>46171</v>
      </c>
      <c r="N173" s="72">
        <f t="shared" si="232"/>
        <v>46255</v>
      </c>
      <c r="O173" s="72">
        <f t="shared" si="233"/>
        <v>46255</v>
      </c>
      <c r="P173" s="72"/>
      <c r="Q173" s="72">
        <f t="shared" si="234"/>
        <v>46297</v>
      </c>
      <c r="R173" s="72">
        <f t="shared" si="235"/>
        <v>46297</v>
      </c>
      <c r="S173" s="72"/>
      <c r="T173" s="72">
        <f t="shared" si="236"/>
        <v>46311</v>
      </c>
      <c r="U173" s="72">
        <f t="shared" si="237"/>
        <v>46311</v>
      </c>
      <c r="V173" s="72"/>
      <c r="X173" s="184" t="str">
        <f t="shared" ca="1" si="204"/>
        <v>Completed</v>
      </c>
      <c r="Y173" s="184" t="str">
        <f t="shared" ca="1" si="205"/>
        <v>Follow-Next Week</v>
      </c>
      <c r="Z173" s="184" t="str">
        <f t="shared" ca="1" si="206"/>
        <v/>
      </c>
      <c r="AA173" s="185" t="str">
        <f t="shared" ca="1" si="207"/>
        <v/>
      </c>
    </row>
    <row r="174" spans="1:27" s="64" customFormat="1" ht="11.5" x14ac:dyDescent="0.25">
      <c r="A174" s="70" t="s">
        <v>61</v>
      </c>
      <c r="B174" s="70" t="s">
        <v>62</v>
      </c>
      <c r="C174" s="70" t="s">
        <v>94</v>
      </c>
      <c r="D174" s="75" t="s">
        <v>362</v>
      </c>
      <c r="E174" s="75" t="s">
        <v>181</v>
      </c>
      <c r="F174" s="116">
        <f t="shared" si="188"/>
        <v>0.5</v>
      </c>
      <c r="G174" s="116">
        <f t="shared" si="188"/>
        <v>0.5</v>
      </c>
      <c r="H174" s="116">
        <f t="shared" si="188"/>
        <v>0.5</v>
      </c>
      <c r="I174" s="116">
        <f t="shared" si="230"/>
        <v>0</v>
      </c>
      <c r="J174" s="81">
        <v>0.1</v>
      </c>
      <c r="K174" s="72">
        <v>46213</v>
      </c>
      <c r="L174" s="72">
        <f t="shared" si="231"/>
        <v>46213</v>
      </c>
      <c r="M174" s="72">
        <v>46171</v>
      </c>
      <c r="N174" s="72">
        <f t="shared" si="232"/>
        <v>46255</v>
      </c>
      <c r="O174" s="72">
        <f t="shared" si="233"/>
        <v>46255</v>
      </c>
      <c r="P174" s="72"/>
      <c r="Q174" s="72">
        <f t="shared" si="234"/>
        <v>46297</v>
      </c>
      <c r="R174" s="72">
        <f t="shared" si="235"/>
        <v>46297</v>
      </c>
      <c r="S174" s="72"/>
      <c r="T174" s="72">
        <f t="shared" si="236"/>
        <v>46311</v>
      </c>
      <c r="U174" s="72">
        <f t="shared" si="237"/>
        <v>46311</v>
      </c>
      <c r="V174" s="72"/>
      <c r="X174" s="184" t="str">
        <f t="shared" ca="1" si="204"/>
        <v>Completed</v>
      </c>
      <c r="Y174" s="184" t="str">
        <f t="shared" ca="1" si="205"/>
        <v>Follow-Next Week</v>
      </c>
      <c r="Z174" s="184" t="str">
        <f t="shared" ca="1" si="206"/>
        <v/>
      </c>
      <c r="AA174" s="185" t="str">
        <f t="shared" ca="1" si="207"/>
        <v/>
      </c>
    </row>
    <row r="175" spans="1:27" s="64" customFormat="1" ht="11.5" x14ac:dyDescent="0.25">
      <c r="A175" s="70" t="s">
        <v>61</v>
      </c>
      <c r="B175" s="70" t="s">
        <v>62</v>
      </c>
      <c r="C175" s="70" t="s">
        <v>94</v>
      </c>
      <c r="D175" s="75" t="s">
        <v>363</v>
      </c>
      <c r="E175" s="75" t="s">
        <v>182</v>
      </c>
      <c r="F175" s="116">
        <f t="shared" si="188"/>
        <v>0.5</v>
      </c>
      <c r="G175" s="116">
        <f t="shared" si="188"/>
        <v>0.5</v>
      </c>
      <c r="H175" s="116">
        <f t="shared" si="188"/>
        <v>0.5</v>
      </c>
      <c r="I175" s="116">
        <f t="shared" si="230"/>
        <v>0</v>
      </c>
      <c r="J175" s="81">
        <v>0.1</v>
      </c>
      <c r="K175" s="72">
        <v>46213</v>
      </c>
      <c r="L175" s="72">
        <f t="shared" si="231"/>
        <v>46213</v>
      </c>
      <c r="M175" s="72">
        <v>46171</v>
      </c>
      <c r="N175" s="72">
        <f t="shared" si="232"/>
        <v>46255</v>
      </c>
      <c r="O175" s="72">
        <f t="shared" si="233"/>
        <v>46255</v>
      </c>
      <c r="P175" s="72"/>
      <c r="Q175" s="72">
        <f t="shared" si="234"/>
        <v>46297</v>
      </c>
      <c r="R175" s="72">
        <f t="shared" si="235"/>
        <v>46297</v>
      </c>
      <c r="S175" s="72"/>
      <c r="T175" s="72">
        <f t="shared" si="236"/>
        <v>46311</v>
      </c>
      <c r="U175" s="72">
        <f t="shared" si="237"/>
        <v>46311</v>
      </c>
      <c r="V175" s="72"/>
      <c r="X175" s="184" t="str">
        <f t="shared" ca="1" si="204"/>
        <v>Completed</v>
      </c>
      <c r="Y175" s="184" t="str">
        <f t="shared" ca="1" si="205"/>
        <v>Follow-Next Week</v>
      </c>
      <c r="Z175" s="184" t="str">
        <f t="shared" ca="1" si="206"/>
        <v/>
      </c>
      <c r="AA175" s="185" t="str">
        <f t="shared" ca="1" si="207"/>
        <v/>
      </c>
    </row>
    <row r="176" spans="1:27" s="64" customFormat="1" ht="11.5" x14ac:dyDescent="0.25">
      <c r="A176" s="70" t="s">
        <v>61</v>
      </c>
      <c r="B176" s="70" t="s">
        <v>62</v>
      </c>
      <c r="C176" s="70" t="s">
        <v>94</v>
      </c>
      <c r="D176" s="75" t="s">
        <v>364</v>
      </c>
      <c r="E176" s="75" t="s">
        <v>183</v>
      </c>
      <c r="F176" s="116">
        <f t="shared" si="188"/>
        <v>0.5</v>
      </c>
      <c r="G176" s="116">
        <f t="shared" si="188"/>
        <v>0.5</v>
      </c>
      <c r="H176" s="116">
        <f t="shared" si="188"/>
        <v>0.5</v>
      </c>
      <c r="I176" s="116">
        <f t="shared" si="230"/>
        <v>0</v>
      </c>
      <c r="J176" s="81">
        <v>0.1</v>
      </c>
      <c r="K176" s="72">
        <v>46213</v>
      </c>
      <c r="L176" s="72">
        <f t="shared" si="231"/>
        <v>46213</v>
      </c>
      <c r="M176" s="72">
        <v>46171</v>
      </c>
      <c r="N176" s="72">
        <f t="shared" si="232"/>
        <v>46255</v>
      </c>
      <c r="O176" s="72">
        <f t="shared" si="233"/>
        <v>46255</v>
      </c>
      <c r="P176" s="72"/>
      <c r="Q176" s="72">
        <f t="shared" si="234"/>
        <v>46297</v>
      </c>
      <c r="R176" s="72">
        <f t="shared" si="235"/>
        <v>46297</v>
      </c>
      <c r="S176" s="72"/>
      <c r="T176" s="72">
        <f t="shared" si="236"/>
        <v>46311</v>
      </c>
      <c r="U176" s="72">
        <f t="shared" si="237"/>
        <v>46311</v>
      </c>
      <c r="V176" s="72"/>
      <c r="X176" s="184" t="str">
        <f t="shared" ca="1" si="204"/>
        <v>Completed</v>
      </c>
      <c r="Y176" s="184" t="str">
        <f t="shared" ca="1" si="205"/>
        <v>Follow-Next Week</v>
      </c>
      <c r="Z176" s="184" t="str">
        <f t="shared" ca="1" si="206"/>
        <v/>
      </c>
      <c r="AA176" s="185" t="str">
        <f t="shared" ca="1" si="207"/>
        <v/>
      </c>
    </row>
    <row r="177" spans="1:27" s="64" customFormat="1" ht="11.5" x14ac:dyDescent="0.25">
      <c r="A177" s="70" t="s">
        <v>61</v>
      </c>
      <c r="B177" s="70" t="s">
        <v>62</v>
      </c>
      <c r="C177" s="70" t="s">
        <v>94</v>
      </c>
      <c r="D177" s="75" t="s">
        <v>365</v>
      </c>
      <c r="E177" s="75" t="s">
        <v>184</v>
      </c>
      <c r="F177" s="116">
        <f t="shared" si="188"/>
        <v>0.5</v>
      </c>
      <c r="G177" s="116">
        <f t="shared" si="188"/>
        <v>0.5</v>
      </c>
      <c r="H177" s="116">
        <f t="shared" si="188"/>
        <v>0.5</v>
      </c>
      <c r="I177" s="116">
        <f t="shared" si="230"/>
        <v>0</v>
      </c>
      <c r="J177" s="81">
        <v>0.1</v>
      </c>
      <c r="K177" s="72">
        <v>46213</v>
      </c>
      <c r="L177" s="72">
        <f t="shared" si="231"/>
        <v>46213</v>
      </c>
      <c r="M177" s="72">
        <v>46171</v>
      </c>
      <c r="N177" s="72">
        <f t="shared" si="232"/>
        <v>46255</v>
      </c>
      <c r="O177" s="72">
        <f t="shared" si="233"/>
        <v>46255</v>
      </c>
      <c r="P177" s="72"/>
      <c r="Q177" s="72">
        <f t="shared" si="234"/>
        <v>46297</v>
      </c>
      <c r="R177" s="72">
        <f t="shared" si="235"/>
        <v>46297</v>
      </c>
      <c r="S177" s="72"/>
      <c r="T177" s="72">
        <f t="shared" si="236"/>
        <v>46311</v>
      </c>
      <c r="U177" s="72">
        <f t="shared" si="237"/>
        <v>46311</v>
      </c>
      <c r="V177" s="72"/>
      <c r="X177" s="184" t="str">
        <f t="shared" ca="1" si="204"/>
        <v>Completed</v>
      </c>
      <c r="Y177" s="184" t="str">
        <f t="shared" ca="1" si="205"/>
        <v>Follow-Next Week</v>
      </c>
      <c r="Z177" s="184" t="str">
        <f t="shared" ca="1" si="206"/>
        <v/>
      </c>
      <c r="AA177" s="185" t="str">
        <f t="shared" ca="1" si="207"/>
        <v/>
      </c>
    </row>
    <row r="178" spans="1:27" s="64" customFormat="1" ht="11.5" x14ac:dyDescent="0.25">
      <c r="A178" s="70" t="s">
        <v>61</v>
      </c>
      <c r="B178" s="70" t="s">
        <v>62</v>
      </c>
      <c r="C178" s="70" t="s">
        <v>94</v>
      </c>
      <c r="D178" s="124" t="s">
        <v>366</v>
      </c>
      <c r="E178" s="124" t="s">
        <v>185</v>
      </c>
      <c r="F178" s="125">
        <f t="shared" ref="F178" si="266">(COUNTIFS(K178,"&lt;="&amp;$D$1)*50%)+(COUNTIFS(N178,"&lt;="&amp;$D$1)*20%)+(COUNTIFS(Q178,"&lt;="&amp;$D$1)*10%)+(COUNTIFS(T178,"&lt;="&amp;$D$1)*20%)</f>
        <v>0.5</v>
      </c>
      <c r="G178" s="125">
        <f t="shared" ref="G178" si="267">(COUNTIFS(L178,"&lt;="&amp;$D$1)*50%)+(COUNTIFS(O178,"&lt;="&amp;$D$1)*20%)+(COUNTIFS(R178,"&lt;="&amp;$D$1)*10%)+(COUNTIFS(U178,"&lt;="&amp;$D$1)*20%)</f>
        <v>0.5</v>
      </c>
      <c r="H178" s="125">
        <f t="shared" ref="H178" si="268">(COUNTIFS(M178,"&lt;="&amp;$D$1)*50%)+(COUNTIFS(P178,"&lt;="&amp;$D$1)*20%)+(COUNTIFS(S178,"&lt;="&amp;$D$1)*10%)+(COUNTIFS(V178,"&lt;="&amp;$D$1)*20%)</f>
        <v>0.5</v>
      </c>
      <c r="I178" s="125">
        <f t="shared" si="230"/>
        <v>0</v>
      </c>
      <c r="J178" s="81">
        <v>0.1</v>
      </c>
      <c r="K178" s="72">
        <v>46213</v>
      </c>
      <c r="L178" s="107">
        <f t="shared" si="231"/>
        <v>46213</v>
      </c>
      <c r="M178" s="72">
        <v>46171</v>
      </c>
      <c r="N178" s="107">
        <f t="shared" si="232"/>
        <v>46255</v>
      </c>
      <c r="O178" s="107">
        <f t="shared" si="233"/>
        <v>46255</v>
      </c>
      <c r="P178" s="107"/>
      <c r="Q178" s="107">
        <f t="shared" si="234"/>
        <v>46297</v>
      </c>
      <c r="R178" s="107">
        <f t="shared" si="235"/>
        <v>46297</v>
      </c>
      <c r="S178" s="107"/>
      <c r="T178" s="107">
        <f t="shared" si="236"/>
        <v>46311</v>
      </c>
      <c r="U178" s="107">
        <f t="shared" si="237"/>
        <v>46311</v>
      </c>
      <c r="V178" s="107"/>
      <c r="X178" s="184" t="str">
        <f t="shared" ca="1" si="204"/>
        <v>Completed</v>
      </c>
      <c r="Y178" s="184" t="str">
        <f t="shared" ca="1" si="205"/>
        <v>Follow-Next Week</v>
      </c>
      <c r="Z178" s="184" t="str">
        <f t="shared" ca="1" si="206"/>
        <v/>
      </c>
      <c r="AA178" s="185" t="str">
        <f t="shared" ca="1" si="207"/>
        <v/>
      </c>
    </row>
    <row r="179" spans="1:27" s="64" customFormat="1" ht="11.5" x14ac:dyDescent="0.25">
      <c r="A179" s="70" t="s">
        <v>61</v>
      </c>
      <c r="B179" s="70" t="s">
        <v>62</v>
      </c>
      <c r="C179" s="70" t="s">
        <v>94</v>
      </c>
      <c r="D179" s="75" t="s">
        <v>367</v>
      </c>
      <c r="E179" s="75" t="s">
        <v>186</v>
      </c>
      <c r="F179" s="116">
        <f t="shared" ref="F179:H235" si="269">(COUNTIFS(K179,"&lt;="&amp;$D$1)*50%)+(COUNTIFS(N179,"&lt;="&amp;$D$1)*20%)+(COUNTIFS(Q179,"&lt;="&amp;$D$1)*10%)+(COUNTIFS(T179,"&lt;="&amp;$D$1)*20%)</f>
        <v>0.5</v>
      </c>
      <c r="G179" s="116">
        <f t="shared" si="269"/>
        <v>0.5</v>
      </c>
      <c r="H179" s="116">
        <f t="shared" si="269"/>
        <v>0.5</v>
      </c>
      <c r="I179" s="116">
        <f t="shared" si="230"/>
        <v>0</v>
      </c>
      <c r="J179" s="81">
        <v>0.1</v>
      </c>
      <c r="K179" s="72">
        <v>46213</v>
      </c>
      <c r="L179" s="72">
        <f t="shared" si="231"/>
        <v>46213</v>
      </c>
      <c r="M179" s="72">
        <v>46171</v>
      </c>
      <c r="N179" s="72">
        <f t="shared" si="232"/>
        <v>46255</v>
      </c>
      <c r="O179" s="72">
        <f t="shared" si="233"/>
        <v>46255</v>
      </c>
      <c r="P179" s="72"/>
      <c r="Q179" s="72">
        <f t="shared" si="234"/>
        <v>46297</v>
      </c>
      <c r="R179" s="72">
        <f t="shared" si="235"/>
        <v>46297</v>
      </c>
      <c r="S179" s="72"/>
      <c r="T179" s="72">
        <f t="shared" si="236"/>
        <v>46311</v>
      </c>
      <c r="U179" s="72">
        <f t="shared" si="237"/>
        <v>46311</v>
      </c>
      <c r="V179" s="72"/>
      <c r="X179" s="184" t="str">
        <f t="shared" ca="1" si="204"/>
        <v>Completed</v>
      </c>
      <c r="Y179" s="184" t="str">
        <f t="shared" ca="1" si="205"/>
        <v>Follow-Next Week</v>
      </c>
      <c r="Z179" s="184" t="str">
        <f t="shared" ca="1" si="206"/>
        <v/>
      </c>
      <c r="AA179" s="185" t="str">
        <f t="shared" ca="1" si="207"/>
        <v/>
      </c>
    </row>
    <row r="180" spans="1:27" s="64" customFormat="1" ht="11.5" x14ac:dyDescent="0.25">
      <c r="A180" s="70" t="s">
        <v>61</v>
      </c>
      <c r="B180" s="70" t="s">
        <v>62</v>
      </c>
      <c r="C180" s="70" t="s">
        <v>94</v>
      </c>
      <c r="D180" s="75" t="s">
        <v>368</v>
      </c>
      <c r="E180" s="75" t="s">
        <v>187</v>
      </c>
      <c r="F180" s="116">
        <f t="shared" si="269"/>
        <v>0.5</v>
      </c>
      <c r="G180" s="116">
        <f t="shared" si="269"/>
        <v>0.5</v>
      </c>
      <c r="H180" s="116">
        <f t="shared" si="269"/>
        <v>0.5</v>
      </c>
      <c r="I180" s="116">
        <f t="shared" si="230"/>
        <v>0</v>
      </c>
      <c r="J180" s="81">
        <v>0.1</v>
      </c>
      <c r="K180" s="72">
        <v>46213</v>
      </c>
      <c r="L180" s="72">
        <f t="shared" si="231"/>
        <v>46213</v>
      </c>
      <c r="M180" s="72">
        <v>46171</v>
      </c>
      <c r="N180" s="72">
        <f t="shared" si="232"/>
        <v>46255</v>
      </c>
      <c r="O180" s="72">
        <f t="shared" si="233"/>
        <v>46255</v>
      </c>
      <c r="P180" s="72"/>
      <c r="Q180" s="72">
        <f t="shared" si="234"/>
        <v>46297</v>
      </c>
      <c r="R180" s="72">
        <f t="shared" si="235"/>
        <v>46297</v>
      </c>
      <c r="S180" s="72"/>
      <c r="T180" s="72">
        <f t="shared" si="236"/>
        <v>46311</v>
      </c>
      <c r="U180" s="72">
        <f t="shared" si="237"/>
        <v>46311</v>
      </c>
      <c r="V180" s="72"/>
      <c r="X180" s="184" t="str">
        <f t="shared" ca="1" si="204"/>
        <v>Completed</v>
      </c>
      <c r="Y180" s="184" t="str">
        <f t="shared" ca="1" si="205"/>
        <v>Follow-Next Week</v>
      </c>
      <c r="Z180" s="184" t="str">
        <f t="shared" ca="1" si="206"/>
        <v/>
      </c>
      <c r="AA180" s="185" t="str">
        <f t="shared" ca="1" si="207"/>
        <v/>
      </c>
    </row>
    <row r="181" spans="1:27" s="145" customFormat="1" ht="11.5" x14ac:dyDescent="0.25">
      <c r="A181" s="140" t="s">
        <v>61</v>
      </c>
      <c r="B181" s="140" t="s">
        <v>62</v>
      </c>
      <c r="C181" s="140" t="s">
        <v>94</v>
      </c>
      <c r="D181" s="141" t="s">
        <v>431</v>
      </c>
      <c r="E181" s="141" t="s">
        <v>518</v>
      </c>
      <c r="F181" s="142"/>
      <c r="G181" s="142"/>
      <c r="H181" s="142"/>
      <c r="I181" s="142"/>
      <c r="J181" s="143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X181" s="184"/>
      <c r="Y181" s="184"/>
      <c r="Z181" s="184"/>
      <c r="AA181" s="185"/>
    </row>
    <row r="182" spans="1:27" s="64" customFormat="1" ht="11.5" x14ac:dyDescent="0.25">
      <c r="A182" s="70" t="s">
        <v>61</v>
      </c>
      <c r="B182" s="70" t="s">
        <v>62</v>
      </c>
      <c r="C182" s="70" t="s">
        <v>94</v>
      </c>
      <c r="D182" s="75" t="s">
        <v>369</v>
      </c>
      <c r="E182" s="75" t="s">
        <v>188</v>
      </c>
      <c r="F182" s="116">
        <f t="shared" si="269"/>
        <v>0.5</v>
      </c>
      <c r="G182" s="116">
        <f t="shared" si="269"/>
        <v>0.5</v>
      </c>
      <c r="H182" s="116">
        <f t="shared" si="269"/>
        <v>0.7</v>
      </c>
      <c r="I182" s="116">
        <f t="shared" si="230"/>
        <v>0.19999999999999996</v>
      </c>
      <c r="J182" s="81">
        <v>0.1</v>
      </c>
      <c r="K182" s="72">
        <v>46220</v>
      </c>
      <c r="L182" s="72">
        <f t="shared" si="231"/>
        <v>46220</v>
      </c>
      <c r="M182" s="72">
        <v>46178</v>
      </c>
      <c r="N182" s="72">
        <f t="shared" si="232"/>
        <v>46262</v>
      </c>
      <c r="O182" s="72">
        <f t="shared" si="233"/>
        <v>46262</v>
      </c>
      <c r="P182" s="149">
        <v>46248</v>
      </c>
      <c r="Q182" s="72">
        <f t="shared" si="234"/>
        <v>46304</v>
      </c>
      <c r="R182" s="72">
        <f t="shared" si="235"/>
        <v>46304</v>
      </c>
      <c r="S182" s="72"/>
      <c r="T182" s="72">
        <f t="shared" si="236"/>
        <v>46318</v>
      </c>
      <c r="U182" s="72">
        <f t="shared" si="237"/>
        <v>46318</v>
      </c>
      <c r="V182" s="72"/>
      <c r="X182" s="184" t="str">
        <f t="shared" ca="1" si="204"/>
        <v>Completed</v>
      </c>
      <c r="Y182" s="184" t="str">
        <f t="shared" ca="1" si="205"/>
        <v>Completed</v>
      </c>
      <c r="Z182" s="184" t="str">
        <f t="shared" ca="1" si="206"/>
        <v/>
      </c>
      <c r="AA182" s="185" t="str">
        <f t="shared" ca="1" si="207"/>
        <v/>
      </c>
    </row>
    <row r="183" spans="1:27" s="64" customFormat="1" ht="11.5" x14ac:dyDescent="0.25">
      <c r="A183" s="70" t="s">
        <v>61</v>
      </c>
      <c r="B183" s="70" t="s">
        <v>62</v>
      </c>
      <c r="C183" s="70" t="s">
        <v>94</v>
      </c>
      <c r="D183" s="75" t="s">
        <v>370</v>
      </c>
      <c r="E183" s="75" t="s">
        <v>189</v>
      </c>
      <c r="F183" s="116">
        <f t="shared" si="269"/>
        <v>0.5</v>
      </c>
      <c r="G183" s="116">
        <f>(COUNTIFS(L183,"&lt;="&amp;$D$1)*50%)+(COUNTIFS(O183,"&lt;="&amp;$D$1)*20%)+(COUNTIFS(R183,"&lt;="&amp;$D$1)*10%)+(COUNTIFS(U183,"&lt;="&amp;$D$1)*20%)</f>
        <v>0.5</v>
      </c>
      <c r="H183" s="116">
        <f t="shared" si="269"/>
        <v>0.7</v>
      </c>
      <c r="I183" s="116">
        <f t="shared" si="230"/>
        <v>0.19999999999999996</v>
      </c>
      <c r="J183" s="81">
        <v>0.1</v>
      </c>
      <c r="K183" s="72">
        <v>46220</v>
      </c>
      <c r="L183" s="72">
        <f t="shared" si="231"/>
        <v>46220</v>
      </c>
      <c r="M183" s="72">
        <v>46178</v>
      </c>
      <c r="N183" s="72">
        <f t="shared" si="232"/>
        <v>46262</v>
      </c>
      <c r="O183" s="72">
        <f t="shared" si="233"/>
        <v>46262</v>
      </c>
      <c r="P183" s="149">
        <v>46248</v>
      </c>
      <c r="Q183" s="72">
        <f t="shared" si="234"/>
        <v>46304</v>
      </c>
      <c r="R183" s="72">
        <f t="shared" si="235"/>
        <v>46304</v>
      </c>
      <c r="S183" s="72"/>
      <c r="T183" s="72">
        <f t="shared" si="236"/>
        <v>46318</v>
      </c>
      <c r="U183" s="72">
        <f t="shared" si="237"/>
        <v>46318</v>
      </c>
      <c r="V183" s="72"/>
      <c r="X183" s="184" t="str">
        <f t="shared" ca="1" si="204"/>
        <v>Completed</v>
      </c>
      <c r="Y183" s="184" t="str">
        <f t="shared" ca="1" si="205"/>
        <v>Completed</v>
      </c>
      <c r="Z183" s="184" t="str">
        <f t="shared" ca="1" si="206"/>
        <v/>
      </c>
      <c r="AA183" s="185" t="str">
        <f t="shared" ca="1" si="207"/>
        <v/>
      </c>
    </row>
    <row r="184" spans="1:27" s="64" customFormat="1" ht="9.5" customHeight="1" x14ac:dyDescent="0.25">
      <c r="A184" s="70" t="s">
        <v>61</v>
      </c>
      <c r="B184" s="70" t="s">
        <v>62</v>
      </c>
      <c r="C184" s="70" t="s">
        <v>94</v>
      </c>
      <c r="D184" s="75" t="s">
        <v>371</v>
      </c>
      <c r="E184" s="75" t="s">
        <v>190</v>
      </c>
      <c r="F184" s="116">
        <f t="shared" si="269"/>
        <v>0.5</v>
      </c>
      <c r="G184" s="116">
        <f>(COUNTIFS(L184,"&lt;="&amp;$D$1)*50%)+(COUNTIFS(O184,"&lt;="&amp;$D$1)*20%)+(COUNTIFS(R184,"&lt;="&amp;$D$1)*10%)+(COUNTIFS(U184,"&lt;="&amp;$D$1)*20%)</f>
        <v>0.5</v>
      </c>
      <c r="H184" s="116">
        <f t="shared" si="269"/>
        <v>0.7</v>
      </c>
      <c r="I184" s="116">
        <f t="shared" si="230"/>
        <v>0.19999999999999996</v>
      </c>
      <c r="J184" s="81">
        <v>0.1</v>
      </c>
      <c r="K184" s="72">
        <v>46220</v>
      </c>
      <c r="L184" s="72">
        <f t="shared" si="231"/>
        <v>46220</v>
      </c>
      <c r="M184" s="72">
        <v>46178</v>
      </c>
      <c r="N184" s="72">
        <f t="shared" si="232"/>
        <v>46262</v>
      </c>
      <c r="O184" s="72">
        <f t="shared" si="233"/>
        <v>46262</v>
      </c>
      <c r="P184" s="149">
        <v>46248</v>
      </c>
      <c r="Q184" s="72">
        <f t="shared" si="234"/>
        <v>46304</v>
      </c>
      <c r="R184" s="72">
        <f t="shared" si="235"/>
        <v>46304</v>
      </c>
      <c r="S184" s="72"/>
      <c r="T184" s="72">
        <f t="shared" si="236"/>
        <v>46318</v>
      </c>
      <c r="U184" s="72">
        <f t="shared" si="237"/>
        <v>46318</v>
      </c>
      <c r="V184" s="72"/>
      <c r="X184" s="184" t="str">
        <f t="shared" ca="1" si="204"/>
        <v>Completed</v>
      </c>
      <c r="Y184" s="184" t="str">
        <f t="shared" ca="1" si="205"/>
        <v>Completed</v>
      </c>
      <c r="Z184" s="184" t="str">
        <f t="shared" ca="1" si="206"/>
        <v/>
      </c>
      <c r="AA184" s="185" t="str">
        <f t="shared" ca="1" si="207"/>
        <v/>
      </c>
    </row>
    <row r="185" spans="1:27" s="64" customFormat="1" ht="9.5" customHeight="1" x14ac:dyDescent="0.25">
      <c r="A185" s="70" t="s">
        <v>61</v>
      </c>
      <c r="B185" s="70" t="s">
        <v>62</v>
      </c>
      <c r="C185" s="70" t="s">
        <v>94</v>
      </c>
      <c r="D185" s="75" t="s">
        <v>372</v>
      </c>
      <c r="E185" s="75" t="s">
        <v>191</v>
      </c>
      <c r="F185" s="116">
        <f t="shared" si="269"/>
        <v>0.5</v>
      </c>
      <c r="G185" s="116">
        <f>(COUNTIFS(L185,"&lt;="&amp;$D$1)*50%)+(COUNTIFS(O185,"&lt;="&amp;$D$1)*20%)+(COUNTIFS(R185,"&lt;="&amp;$D$1)*10%)+(COUNTIFS(U185,"&lt;="&amp;$D$1)*20%)</f>
        <v>0.5</v>
      </c>
      <c r="H185" s="116">
        <f t="shared" si="269"/>
        <v>0.7</v>
      </c>
      <c r="I185" s="116">
        <f t="shared" si="230"/>
        <v>0.19999999999999996</v>
      </c>
      <c r="J185" s="81">
        <v>0.1</v>
      </c>
      <c r="K185" s="72">
        <v>46220</v>
      </c>
      <c r="L185" s="72">
        <f t="shared" si="231"/>
        <v>46220</v>
      </c>
      <c r="M185" s="72">
        <v>46178</v>
      </c>
      <c r="N185" s="72">
        <f t="shared" si="232"/>
        <v>46262</v>
      </c>
      <c r="O185" s="72">
        <f t="shared" si="233"/>
        <v>46262</v>
      </c>
      <c r="P185" s="149">
        <v>46248</v>
      </c>
      <c r="Q185" s="72">
        <f t="shared" si="234"/>
        <v>46304</v>
      </c>
      <c r="R185" s="72">
        <f t="shared" si="235"/>
        <v>46304</v>
      </c>
      <c r="S185" s="72"/>
      <c r="T185" s="72">
        <f t="shared" si="236"/>
        <v>46318</v>
      </c>
      <c r="U185" s="72">
        <f t="shared" si="237"/>
        <v>46318</v>
      </c>
      <c r="V185" s="72"/>
      <c r="X185" s="184" t="str">
        <f t="shared" ca="1" si="204"/>
        <v>Completed</v>
      </c>
      <c r="Y185" s="184" t="str">
        <f t="shared" ca="1" si="205"/>
        <v>Completed</v>
      </c>
      <c r="Z185" s="184" t="str">
        <f t="shared" ca="1" si="206"/>
        <v/>
      </c>
      <c r="AA185" s="185" t="str">
        <f t="shared" ca="1" si="207"/>
        <v/>
      </c>
    </row>
    <row r="186" spans="1:27" s="64" customFormat="1" ht="9.5" customHeight="1" x14ac:dyDescent="0.25">
      <c r="A186" s="70" t="s">
        <v>61</v>
      </c>
      <c r="B186" s="70" t="s">
        <v>62</v>
      </c>
      <c r="C186" s="70" t="s">
        <v>94</v>
      </c>
      <c r="D186" s="75" t="s">
        <v>373</v>
      </c>
      <c r="E186" s="75" t="s">
        <v>192</v>
      </c>
      <c r="F186" s="116">
        <f t="shared" si="269"/>
        <v>0.5</v>
      </c>
      <c r="G186" s="116">
        <f t="shared" si="269"/>
        <v>0.5</v>
      </c>
      <c r="H186" s="116">
        <f t="shared" si="269"/>
        <v>0.7</v>
      </c>
      <c r="I186" s="116">
        <f t="shared" si="230"/>
        <v>0.19999999999999996</v>
      </c>
      <c r="J186" s="81">
        <v>0.1</v>
      </c>
      <c r="K186" s="72">
        <v>46220</v>
      </c>
      <c r="L186" s="72">
        <f t="shared" si="231"/>
        <v>46220</v>
      </c>
      <c r="M186" s="72">
        <v>46178</v>
      </c>
      <c r="N186" s="72">
        <f t="shared" si="232"/>
        <v>46262</v>
      </c>
      <c r="O186" s="72">
        <f t="shared" si="233"/>
        <v>46262</v>
      </c>
      <c r="P186" s="149">
        <v>46248</v>
      </c>
      <c r="Q186" s="72">
        <f t="shared" si="234"/>
        <v>46304</v>
      </c>
      <c r="R186" s="72">
        <f t="shared" si="235"/>
        <v>46304</v>
      </c>
      <c r="S186" s="72"/>
      <c r="T186" s="72">
        <f t="shared" si="236"/>
        <v>46318</v>
      </c>
      <c r="U186" s="72">
        <f t="shared" si="237"/>
        <v>46318</v>
      </c>
      <c r="V186" s="72"/>
      <c r="X186" s="184" t="str">
        <f t="shared" ca="1" si="204"/>
        <v>Completed</v>
      </c>
      <c r="Y186" s="184" t="str">
        <f t="shared" ca="1" si="205"/>
        <v>Completed</v>
      </c>
      <c r="Z186" s="184" t="str">
        <f t="shared" ca="1" si="206"/>
        <v/>
      </c>
      <c r="AA186" s="185" t="str">
        <f t="shared" ca="1" si="207"/>
        <v/>
      </c>
    </row>
    <row r="187" spans="1:27" s="64" customFormat="1" ht="9.5" customHeight="1" x14ac:dyDescent="0.25">
      <c r="A187" s="70" t="s">
        <v>61</v>
      </c>
      <c r="B187" s="70" t="s">
        <v>62</v>
      </c>
      <c r="C187" s="70" t="s">
        <v>94</v>
      </c>
      <c r="D187" s="75" t="s">
        <v>374</v>
      </c>
      <c r="E187" s="75" t="s">
        <v>193</v>
      </c>
      <c r="F187" s="116">
        <f t="shared" si="269"/>
        <v>0.5</v>
      </c>
      <c r="G187" s="116">
        <f t="shared" si="269"/>
        <v>0.5</v>
      </c>
      <c r="H187" s="116">
        <f>(COUNTIFS(M187,"&lt;="&amp;$D$1)*50%)+(COUNTIFS(P187,"&lt;="&amp;$D$1)*20%)+(COUNTIFS(S187,"&lt;="&amp;$D$1)*10%)+(COUNTIFS(V187,"&lt;="&amp;$D$1)*20%)</f>
        <v>0.7</v>
      </c>
      <c r="I187" s="116">
        <f t="shared" si="230"/>
        <v>0.19999999999999996</v>
      </c>
      <c r="J187" s="81">
        <v>0.1</v>
      </c>
      <c r="K187" s="72">
        <v>46220</v>
      </c>
      <c r="L187" s="72">
        <f t="shared" si="231"/>
        <v>46220</v>
      </c>
      <c r="M187" s="72">
        <v>46178</v>
      </c>
      <c r="N187" s="72">
        <f t="shared" si="232"/>
        <v>46262</v>
      </c>
      <c r="O187" s="72">
        <f t="shared" si="233"/>
        <v>46262</v>
      </c>
      <c r="P187" s="149">
        <v>46248</v>
      </c>
      <c r="Q187" s="72">
        <f t="shared" si="234"/>
        <v>46304</v>
      </c>
      <c r="R187" s="72">
        <f t="shared" si="235"/>
        <v>46304</v>
      </c>
      <c r="S187" s="72"/>
      <c r="T187" s="72">
        <f t="shared" si="236"/>
        <v>46318</v>
      </c>
      <c r="U187" s="72">
        <f t="shared" si="237"/>
        <v>46318</v>
      </c>
      <c r="V187" s="72"/>
      <c r="X187" s="184" t="str">
        <f t="shared" ca="1" si="204"/>
        <v>Completed</v>
      </c>
      <c r="Y187" s="184" t="str">
        <f t="shared" ca="1" si="205"/>
        <v>Completed</v>
      </c>
      <c r="Z187" s="184" t="str">
        <f t="shared" ca="1" si="206"/>
        <v/>
      </c>
      <c r="AA187" s="185" t="str">
        <f t="shared" ca="1" si="207"/>
        <v/>
      </c>
    </row>
    <row r="188" spans="1:27" s="64" customFormat="1" ht="9.5" customHeight="1" x14ac:dyDescent="0.25">
      <c r="A188" s="70" t="s">
        <v>61</v>
      </c>
      <c r="B188" s="70" t="s">
        <v>62</v>
      </c>
      <c r="C188" s="70" t="s">
        <v>94</v>
      </c>
      <c r="D188" s="75" t="s">
        <v>432</v>
      </c>
      <c r="E188" s="75" t="s">
        <v>433</v>
      </c>
      <c r="F188" s="116">
        <f t="shared" si="269"/>
        <v>0.5</v>
      </c>
      <c r="G188" s="116">
        <f t="shared" ref="G188" si="270">(COUNTIFS(L188,"&lt;="&amp;$D$1)*50%)+(COUNTIFS(O188,"&lt;="&amp;$D$1)*20%)+(COUNTIFS(R188,"&lt;="&amp;$D$1)*10%)+(COUNTIFS(U188,"&lt;="&amp;$D$1)*20%)</f>
        <v>0.5</v>
      </c>
      <c r="H188" s="116">
        <f>(COUNTIFS(M188,"&lt;="&amp;$D$1)*50%)+(COUNTIFS(P188,"&lt;="&amp;$D$1)*20%)+(COUNTIFS(S188,"&lt;="&amp;$D$1)*10%)+(COUNTIFS(V188,"&lt;="&amp;$D$1)*20%)</f>
        <v>0.7</v>
      </c>
      <c r="I188" s="116">
        <f t="shared" ref="I188" si="271">H188-F188</f>
        <v>0.19999999999999996</v>
      </c>
      <c r="J188" s="81">
        <v>0.1</v>
      </c>
      <c r="K188" s="72">
        <v>46220</v>
      </c>
      <c r="L188" s="72">
        <f t="shared" ref="L188" si="272">K188</f>
        <v>46220</v>
      </c>
      <c r="M188" s="72">
        <v>46185</v>
      </c>
      <c r="N188" s="72">
        <f t="shared" ref="N188" si="273">K188+42</f>
        <v>46262</v>
      </c>
      <c r="O188" s="72">
        <f t="shared" ref="O188" si="274">N188</f>
        <v>46262</v>
      </c>
      <c r="P188" s="149">
        <v>46248</v>
      </c>
      <c r="Q188" s="72">
        <f t="shared" ref="Q188" si="275">N188+42</f>
        <v>46304</v>
      </c>
      <c r="R188" s="72">
        <f t="shared" ref="R188" si="276">Q188</f>
        <v>46304</v>
      </c>
      <c r="S188" s="72"/>
      <c r="T188" s="72">
        <f t="shared" ref="T188" si="277">Q188+14</f>
        <v>46318</v>
      </c>
      <c r="U188" s="72">
        <f t="shared" ref="U188" si="278">T188</f>
        <v>46318</v>
      </c>
      <c r="V188" s="72"/>
      <c r="X188" s="184" t="str">
        <f t="shared" ca="1" si="204"/>
        <v>Completed</v>
      </c>
      <c r="Y188" s="184" t="str">
        <f t="shared" ca="1" si="205"/>
        <v>Completed</v>
      </c>
      <c r="Z188" s="184" t="str">
        <f t="shared" ca="1" si="206"/>
        <v/>
      </c>
      <c r="AA188" s="185" t="str">
        <f t="shared" ca="1" si="207"/>
        <v/>
      </c>
    </row>
    <row r="189" spans="1:27" s="64" customFormat="1" ht="9.5" customHeight="1" x14ac:dyDescent="0.25">
      <c r="A189" s="70" t="s">
        <v>61</v>
      </c>
      <c r="B189" s="70" t="s">
        <v>62</v>
      </c>
      <c r="C189" s="70" t="s">
        <v>94</v>
      </c>
      <c r="D189" s="75" t="s">
        <v>375</v>
      </c>
      <c r="E189" s="75" t="s">
        <v>194</v>
      </c>
      <c r="F189" s="116">
        <f t="shared" si="269"/>
        <v>0.5</v>
      </c>
      <c r="G189" s="116">
        <f t="shared" si="269"/>
        <v>0.5</v>
      </c>
      <c r="H189" s="116">
        <f t="shared" si="269"/>
        <v>0.5</v>
      </c>
      <c r="I189" s="116">
        <f t="shared" si="230"/>
        <v>0</v>
      </c>
      <c r="J189" s="81">
        <v>0.1</v>
      </c>
      <c r="K189" s="72">
        <v>46220</v>
      </c>
      <c r="L189" s="72">
        <f t="shared" si="231"/>
        <v>46220</v>
      </c>
      <c r="M189" s="72">
        <v>46171</v>
      </c>
      <c r="N189" s="72">
        <f t="shared" si="232"/>
        <v>46262</v>
      </c>
      <c r="O189" s="72">
        <f t="shared" si="233"/>
        <v>46262</v>
      </c>
      <c r="P189" s="72"/>
      <c r="Q189" s="72">
        <f t="shared" si="234"/>
        <v>46304</v>
      </c>
      <c r="R189" s="72">
        <f t="shared" si="235"/>
        <v>46304</v>
      </c>
      <c r="S189" s="72"/>
      <c r="T189" s="72">
        <f t="shared" si="236"/>
        <v>46318</v>
      </c>
      <c r="U189" s="72">
        <f t="shared" si="237"/>
        <v>46318</v>
      </c>
      <c r="V189" s="72"/>
      <c r="X189" s="184" t="str">
        <f t="shared" ca="1" si="204"/>
        <v>Completed</v>
      </c>
      <c r="Y189" s="184" t="str">
        <f t="shared" ca="1" si="205"/>
        <v/>
      </c>
      <c r="Z189" s="184" t="str">
        <f t="shared" ca="1" si="206"/>
        <v/>
      </c>
      <c r="AA189" s="185" t="str">
        <f t="shared" ca="1" si="207"/>
        <v/>
      </c>
    </row>
    <row r="190" spans="1:27" s="64" customFormat="1" ht="9.5" customHeight="1" x14ac:dyDescent="0.25">
      <c r="A190" s="140" t="s">
        <v>61</v>
      </c>
      <c r="B190" s="140" t="s">
        <v>62</v>
      </c>
      <c r="C190" s="140" t="s">
        <v>94</v>
      </c>
      <c r="D190" s="141" t="s">
        <v>376</v>
      </c>
      <c r="E190" s="141" t="s">
        <v>524</v>
      </c>
      <c r="F190" s="142"/>
      <c r="G190" s="142"/>
      <c r="H190" s="142"/>
      <c r="I190" s="142"/>
      <c r="J190" s="143">
        <v>0.1</v>
      </c>
      <c r="K190" s="144">
        <v>46220</v>
      </c>
      <c r="L190" s="144">
        <f t="shared" si="231"/>
        <v>46220</v>
      </c>
      <c r="M190" s="189">
        <v>46248</v>
      </c>
      <c r="N190" s="144">
        <f t="shared" si="232"/>
        <v>46262</v>
      </c>
      <c r="O190" s="144">
        <f t="shared" si="233"/>
        <v>46262</v>
      </c>
      <c r="P190" s="189">
        <v>46248</v>
      </c>
      <c r="Q190" s="144">
        <f t="shared" si="234"/>
        <v>46304</v>
      </c>
      <c r="R190" s="144">
        <f t="shared" si="235"/>
        <v>46304</v>
      </c>
      <c r="S190" s="189">
        <v>46248</v>
      </c>
      <c r="T190" s="144">
        <f t="shared" si="236"/>
        <v>46318</v>
      </c>
      <c r="U190" s="144">
        <f t="shared" si="237"/>
        <v>46318</v>
      </c>
      <c r="V190" s="189">
        <v>46248</v>
      </c>
      <c r="X190" s="184" t="str">
        <f t="shared" ca="1" si="204"/>
        <v>Completed</v>
      </c>
      <c r="Y190" s="184" t="str">
        <f t="shared" ca="1" si="205"/>
        <v>Completed</v>
      </c>
      <c r="Z190" s="184" t="str">
        <f t="shared" ca="1" si="206"/>
        <v>Completed</v>
      </c>
      <c r="AA190" s="185" t="str">
        <f t="shared" ca="1" si="207"/>
        <v>Completed</v>
      </c>
    </row>
    <row r="191" spans="1:27" s="64" customFormat="1" ht="9.5" customHeight="1" x14ac:dyDescent="0.25">
      <c r="A191" s="70" t="s">
        <v>61</v>
      </c>
      <c r="B191" s="70" t="s">
        <v>62</v>
      </c>
      <c r="C191" s="70" t="s">
        <v>94</v>
      </c>
      <c r="D191" s="75" t="s">
        <v>377</v>
      </c>
      <c r="E191" s="75" t="s">
        <v>195</v>
      </c>
      <c r="F191" s="116">
        <f t="shared" si="269"/>
        <v>0.5</v>
      </c>
      <c r="G191" s="116">
        <f t="shared" si="269"/>
        <v>0.5</v>
      </c>
      <c r="H191" s="116">
        <f t="shared" si="269"/>
        <v>0.7</v>
      </c>
      <c r="I191" s="116">
        <f t="shared" si="230"/>
        <v>0.19999999999999996</v>
      </c>
      <c r="J191" s="81">
        <v>0.15</v>
      </c>
      <c r="K191" s="72">
        <v>46220</v>
      </c>
      <c r="L191" s="72">
        <f t="shared" si="231"/>
        <v>46220</v>
      </c>
      <c r="M191" s="72">
        <v>46199</v>
      </c>
      <c r="N191" s="72">
        <f t="shared" si="232"/>
        <v>46262</v>
      </c>
      <c r="O191" s="72">
        <f t="shared" si="233"/>
        <v>46262</v>
      </c>
      <c r="P191" s="74">
        <v>46204</v>
      </c>
      <c r="Q191" s="72">
        <f t="shared" si="234"/>
        <v>46304</v>
      </c>
      <c r="R191" s="72">
        <f t="shared" si="235"/>
        <v>46304</v>
      </c>
      <c r="S191" s="72"/>
      <c r="T191" s="72">
        <f t="shared" si="236"/>
        <v>46318</v>
      </c>
      <c r="U191" s="72">
        <f t="shared" si="237"/>
        <v>46318</v>
      </c>
      <c r="V191" s="72"/>
      <c r="X191" s="184" t="str">
        <f t="shared" ca="1" si="204"/>
        <v>Completed</v>
      </c>
      <c r="Y191" s="184" t="str">
        <f t="shared" ca="1" si="205"/>
        <v>Completed</v>
      </c>
      <c r="Z191" s="184" t="str">
        <f t="shared" ca="1" si="206"/>
        <v/>
      </c>
      <c r="AA191" s="185" t="str">
        <f t="shared" ca="1" si="207"/>
        <v/>
      </c>
    </row>
    <row r="192" spans="1:27" s="64" customFormat="1" ht="9.5" customHeight="1" x14ac:dyDescent="0.25">
      <c r="A192" s="70" t="s">
        <v>61</v>
      </c>
      <c r="B192" s="70" t="s">
        <v>62</v>
      </c>
      <c r="C192" s="70" t="s">
        <v>94</v>
      </c>
      <c r="D192" s="75" t="s">
        <v>378</v>
      </c>
      <c r="E192" s="75" t="s">
        <v>196</v>
      </c>
      <c r="F192" s="116">
        <f t="shared" si="269"/>
        <v>0.5</v>
      </c>
      <c r="G192" s="116">
        <f t="shared" si="269"/>
        <v>0.5</v>
      </c>
      <c r="H192" s="116">
        <f t="shared" si="269"/>
        <v>0.7</v>
      </c>
      <c r="I192" s="116">
        <f t="shared" si="230"/>
        <v>0.19999999999999996</v>
      </c>
      <c r="J192" s="81">
        <v>0.15</v>
      </c>
      <c r="K192" s="72">
        <v>46220</v>
      </c>
      <c r="L192" s="72">
        <f t="shared" si="231"/>
        <v>46220</v>
      </c>
      <c r="M192" s="72">
        <v>46199</v>
      </c>
      <c r="N192" s="72">
        <f t="shared" si="232"/>
        <v>46262</v>
      </c>
      <c r="O192" s="72">
        <f t="shared" si="233"/>
        <v>46262</v>
      </c>
      <c r="P192" s="74">
        <v>46204</v>
      </c>
      <c r="Q192" s="72">
        <f t="shared" si="234"/>
        <v>46304</v>
      </c>
      <c r="R192" s="72">
        <f t="shared" si="235"/>
        <v>46304</v>
      </c>
      <c r="S192" s="72"/>
      <c r="T192" s="72">
        <f t="shared" si="236"/>
        <v>46318</v>
      </c>
      <c r="U192" s="72">
        <f t="shared" si="237"/>
        <v>46318</v>
      </c>
      <c r="V192" s="72"/>
      <c r="X192" s="184" t="str">
        <f t="shared" ca="1" si="204"/>
        <v>Completed</v>
      </c>
      <c r="Y192" s="184" t="str">
        <f t="shared" ca="1" si="205"/>
        <v>Completed</v>
      </c>
      <c r="Z192" s="184" t="str">
        <f t="shared" ca="1" si="206"/>
        <v/>
      </c>
      <c r="AA192" s="185" t="str">
        <f t="shared" ca="1" si="207"/>
        <v/>
      </c>
    </row>
    <row r="193" spans="1:27" s="64" customFormat="1" ht="9.5" customHeight="1" x14ac:dyDescent="0.25">
      <c r="A193" s="70" t="s">
        <v>61</v>
      </c>
      <c r="B193" s="70" t="s">
        <v>62</v>
      </c>
      <c r="C193" s="70" t="s">
        <v>94</v>
      </c>
      <c r="D193" s="75" t="s">
        <v>379</v>
      </c>
      <c r="E193" s="75" t="s">
        <v>197</v>
      </c>
      <c r="F193" s="116">
        <f t="shared" si="269"/>
        <v>0.5</v>
      </c>
      <c r="G193" s="116">
        <f t="shared" si="269"/>
        <v>0.5</v>
      </c>
      <c r="H193" s="116">
        <f t="shared" si="269"/>
        <v>0.5</v>
      </c>
      <c r="I193" s="116">
        <f t="shared" si="230"/>
        <v>0</v>
      </c>
      <c r="J193" s="81">
        <v>0.1</v>
      </c>
      <c r="K193" s="72">
        <v>46227</v>
      </c>
      <c r="L193" s="72">
        <f t="shared" si="231"/>
        <v>46227</v>
      </c>
      <c r="M193" s="72">
        <v>46178</v>
      </c>
      <c r="N193" s="72">
        <f t="shared" si="232"/>
        <v>46269</v>
      </c>
      <c r="O193" s="72">
        <f t="shared" si="233"/>
        <v>46269</v>
      </c>
      <c r="P193" s="72"/>
      <c r="Q193" s="72">
        <f t="shared" si="234"/>
        <v>46311</v>
      </c>
      <c r="R193" s="72">
        <f t="shared" si="235"/>
        <v>46311</v>
      </c>
      <c r="S193" s="72"/>
      <c r="T193" s="72">
        <f t="shared" si="236"/>
        <v>46325</v>
      </c>
      <c r="U193" s="72">
        <f t="shared" si="237"/>
        <v>46325</v>
      </c>
      <c r="V193" s="72"/>
      <c r="X193" s="184" t="str">
        <f t="shared" ca="1" si="204"/>
        <v>Completed</v>
      </c>
      <c r="Y193" s="184" t="str">
        <f t="shared" ca="1" si="205"/>
        <v/>
      </c>
      <c r="Z193" s="184" t="str">
        <f t="shared" ca="1" si="206"/>
        <v/>
      </c>
      <c r="AA193" s="185" t="str">
        <f t="shared" ca="1" si="207"/>
        <v/>
      </c>
    </row>
    <row r="194" spans="1:27" s="64" customFormat="1" ht="9.5" customHeight="1" x14ac:dyDescent="0.25">
      <c r="A194" s="70" t="s">
        <v>61</v>
      </c>
      <c r="B194" s="70" t="s">
        <v>62</v>
      </c>
      <c r="C194" s="70" t="s">
        <v>94</v>
      </c>
      <c r="D194" s="75" t="s">
        <v>380</v>
      </c>
      <c r="E194" s="75" t="s">
        <v>198</v>
      </c>
      <c r="F194" s="116">
        <f t="shared" si="269"/>
        <v>0.5</v>
      </c>
      <c r="G194" s="116">
        <f t="shared" si="269"/>
        <v>0.5</v>
      </c>
      <c r="H194" s="116">
        <f t="shared" si="269"/>
        <v>0.5</v>
      </c>
      <c r="I194" s="116">
        <f t="shared" si="230"/>
        <v>0</v>
      </c>
      <c r="J194" s="81">
        <v>0.1</v>
      </c>
      <c r="K194" s="72">
        <v>46227</v>
      </c>
      <c r="L194" s="72">
        <f t="shared" si="231"/>
        <v>46227</v>
      </c>
      <c r="M194" s="72">
        <v>46178</v>
      </c>
      <c r="N194" s="72">
        <f t="shared" si="232"/>
        <v>46269</v>
      </c>
      <c r="O194" s="72">
        <f t="shared" si="233"/>
        <v>46269</v>
      </c>
      <c r="P194" s="72"/>
      <c r="Q194" s="72">
        <f t="shared" si="234"/>
        <v>46311</v>
      </c>
      <c r="R194" s="72">
        <f t="shared" si="235"/>
        <v>46311</v>
      </c>
      <c r="S194" s="72"/>
      <c r="T194" s="72">
        <f t="shared" si="236"/>
        <v>46325</v>
      </c>
      <c r="U194" s="72">
        <f t="shared" si="237"/>
        <v>46325</v>
      </c>
      <c r="V194" s="72"/>
      <c r="X194" s="184" t="str">
        <f t="shared" ca="1" si="204"/>
        <v>Completed</v>
      </c>
      <c r="Y194" s="184" t="str">
        <f t="shared" ca="1" si="205"/>
        <v/>
      </c>
      <c r="Z194" s="184" t="str">
        <f t="shared" ca="1" si="206"/>
        <v/>
      </c>
      <c r="AA194" s="185" t="str">
        <f t="shared" ca="1" si="207"/>
        <v/>
      </c>
    </row>
    <row r="195" spans="1:27" s="64" customFormat="1" ht="9.5" customHeight="1" x14ac:dyDescent="0.25">
      <c r="A195" s="70" t="s">
        <v>61</v>
      </c>
      <c r="B195" s="70" t="s">
        <v>62</v>
      </c>
      <c r="C195" s="70" t="s">
        <v>94</v>
      </c>
      <c r="D195" s="124" t="s">
        <v>381</v>
      </c>
      <c r="E195" s="124" t="s">
        <v>199</v>
      </c>
      <c r="F195" s="125">
        <f t="shared" si="269"/>
        <v>0.5</v>
      </c>
      <c r="G195" s="125">
        <f t="shared" si="269"/>
        <v>0.5</v>
      </c>
      <c r="H195" s="125">
        <f t="shared" si="269"/>
        <v>0.5</v>
      </c>
      <c r="I195" s="125">
        <f t="shared" si="230"/>
        <v>0</v>
      </c>
      <c r="J195" s="81">
        <v>0.1</v>
      </c>
      <c r="K195" s="72">
        <v>46227</v>
      </c>
      <c r="L195" s="74">
        <f t="shared" si="231"/>
        <v>46227</v>
      </c>
      <c r="M195" s="72">
        <v>46178</v>
      </c>
      <c r="N195" s="74">
        <f t="shared" si="232"/>
        <v>46269</v>
      </c>
      <c r="O195" s="74">
        <f t="shared" si="233"/>
        <v>46269</v>
      </c>
      <c r="P195" s="74"/>
      <c r="Q195" s="74">
        <f t="shared" si="234"/>
        <v>46311</v>
      </c>
      <c r="R195" s="74">
        <f t="shared" si="235"/>
        <v>46311</v>
      </c>
      <c r="S195" s="74"/>
      <c r="T195" s="74">
        <f t="shared" si="236"/>
        <v>46325</v>
      </c>
      <c r="U195" s="74">
        <f t="shared" si="237"/>
        <v>46325</v>
      </c>
      <c r="V195" s="72"/>
      <c r="X195" s="184" t="str">
        <f t="shared" ca="1" si="204"/>
        <v>Completed</v>
      </c>
      <c r="Y195" s="184" t="str">
        <f t="shared" ca="1" si="205"/>
        <v/>
      </c>
      <c r="Z195" s="184" t="str">
        <f t="shared" ca="1" si="206"/>
        <v/>
      </c>
      <c r="AA195" s="185" t="str">
        <f t="shared" ca="1" si="207"/>
        <v/>
      </c>
    </row>
    <row r="196" spans="1:27" s="64" customFormat="1" ht="9.5" customHeight="1" x14ac:dyDescent="0.25">
      <c r="A196" s="70" t="s">
        <v>61</v>
      </c>
      <c r="B196" s="70" t="s">
        <v>62</v>
      </c>
      <c r="C196" s="70" t="s">
        <v>94</v>
      </c>
      <c r="D196" s="124" t="s">
        <v>382</v>
      </c>
      <c r="E196" s="124" t="s">
        <v>200</v>
      </c>
      <c r="F196" s="125">
        <f t="shared" si="269"/>
        <v>0.5</v>
      </c>
      <c r="G196" s="125">
        <f t="shared" si="269"/>
        <v>0.5</v>
      </c>
      <c r="H196" s="125">
        <f t="shared" si="269"/>
        <v>0.5</v>
      </c>
      <c r="I196" s="125">
        <f t="shared" si="230"/>
        <v>0</v>
      </c>
      <c r="J196" s="81">
        <v>0.1</v>
      </c>
      <c r="K196" s="72">
        <v>46227</v>
      </c>
      <c r="L196" s="74">
        <f t="shared" si="231"/>
        <v>46227</v>
      </c>
      <c r="M196" s="72">
        <v>46178</v>
      </c>
      <c r="N196" s="74">
        <f t="shared" si="232"/>
        <v>46269</v>
      </c>
      <c r="O196" s="74">
        <f t="shared" si="233"/>
        <v>46269</v>
      </c>
      <c r="P196" s="74"/>
      <c r="Q196" s="74">
        <f t="shared" si="234"/>
        <v>46311</v>
      </c>
      <c r="R196" s="74">
        <f t="shared" si="235"/>
        <v>46311</v>
      </c>
      <c r="S196" s="74"/>
      <c r="T196" s="74">
        <f t="shared" si="236"/>
        <v>46325</v>
      </c>
      <c r="U196" s="74">
        <f t="shared" si="237"/>
        <v>46325</v>
      </c>
      <c r="V196" s="72"/>
      <c r="X196" s="184" t="str">
        <f t="shared" ca="1" si="204"/>
        <v>Completed</v>
      </c>
      <c r="Y196" s="184" t="str">
        <f t="shared" ca="1" si="205"/>
        <v/>
      </c>
      <c r="Z196" s="184" t="str">
        <f t="shared" ca="1" si="206"/>
        <v/>
      </c>
      <c r="AA196" s="185" t="str">
        <f t="shared" ca="1" si="207"/>
        <v/>
      </c>
    </row>
    <row r="197" spans="1:27" s="64" customFormat="1" ht="9.5" customHeight="1" x14ac:dyDescent="0.25">
      <c r="A197" s="70" t="s">
        <v>61</v>
      </c>
      <c r="B197" s="70" t="s">
        <v>62</v>
      </c>
      <c r="C197" s="70" t="s">
        <v>94</v>
      </c>
      <c r="D197" s="124" t="s">
        <v>383</v>
      </c>
      <c r="E197" s="124" t="s">
        <v>201</v>
      </c>
      <c r="F197" s="125">
        <f t="shared" si="269"/>
        <v>0.5</v>
      </c>
      <c r="G197" s="125">
        <f t="shared" si="269"/>
        <v>0.5</v>
      </c>
      <c r="H197" s="125">
        <f t="shared" si="269"/>
        <v>0.5</v>
      </c>
      <c r="I197" s="125">
        <f t="shared" si="230"/>
        <v>0</v>
      </c>
      <c r="J197" s="81">
        <v>0.1</v>
      </c>
      <c r="K197" s="72">
        <v>46227</v>
      </c>
      <c r="L197" s="74">
        <f t="shared" si="231"/>
        <v>46227</v>
      </c>
      <c r="M197" s="72">
        <v>46178</v>
      </c>
      <c r="N197" s="74">
        <f t="shared" si="232"/>
        <v>46269</v>
      </c>
      <c r="O197" s="74">
        <f t="shared" si="233"/>
        <v>46269</v>
      </c>
      <c r="P197" s="74"/>
      <c r="Q197" s="74">
        <f t="shared" si="234"/>
        <v>46311</v>
      </c>
      <c r="R197" s="74">
        <f t="shared" si="235"/>
        <v>46311</v>
      </c>
      <c r="S197" s="74"/>
      <c r="T197" s="74">
        <f t="shared" si="236"/>
        <v>46325</v>
      </c>
      <c r="U197" s="74">
        <f t="shared" si="237"/>
        <v>46325</v>
      </c>
      <c r="V197" s="74"/>
      <c r="X197" s="184" t="str">
        <f t="shared" ca="1" si="204"/>
        <v>Completed</v>
      </c>
      <c r="Y197" s="184" t="str">
        <f t="shared" ca="1" si="205"/>
        <v/>
      </c>
      <c r="Z197" s="184" t="str">
        <f t="shared" ca="1" si="206"/>
        <v/>
      </c>
      <c r="AA197" s="185" t="str">
        <f t="shared" ca="1" si="207"/>
        <v/>
      </c>
    </row>
    <row r="198" spans="1:27" s="64" customFormat="1" ht="9.5" customHeight="1" x14ac:dyDescent="0.25">
      <c r="A198" s="70" t="s">
        <v>61</v>
      </c>
      <c r="B198" s="70" t="s">
        <v>62</v>
      </c>
      <c r="C198" s="70" t="s">
        <v>94</v>
      </c>
      <c r="D198" s="124" t="s">
        <v>384</v>
      </c>
      <c r="E198" s="124" t="s">
        <v>202</v>
      </c>
      <c r="F198" s="125">
        <f t="shared" ref="F198:F201" si="279">(COUNTIFS(K198,"&lt;="&amp;$D$1)*50%)+(COUNTIFS(N198,"&lt;="&amp;$D$1)*20%)+(COUNTIFS(Q198,"&lt;="&amp;$D$1)*10%)+(COUNTIFS(T198,"&lt;="&amp;$D$1)*20%)</f>
        <v>0.5</v>
      </c>
      <c r="G198" s="125">
        <f t="shared" ref="G198:G201" si="280">(COUNTIFS(L198,"&lt;="&amp;$D$1)*50%)+(COUNTIFS(O198,"&lt;="&amp;$D$1)*20%)+(COUNTIFS(R198,"&lt;="&amp;$D$1)*10%)+(COUNTIFS(U198,"&lt;="&amp;$D$1)*20%)</f>
        <v>0.5</v>
      </c>
      <c r="H198" s="125">
        <f t="shared" ref="H198:H201" si="281">(COUNTIFS(M198,"&lt;="&amp;$D$1)*50%)+(COUNTIFS(P198,"&lt;="&amp;$D$1)*20%)+(COUNTIFS(S198,"&lt;="&amp;$D$1)*10%)+(COUNTIFS(V198,"&lt;="&amp;$D$1)*20%)</f>
        <v>0.5</v>
      </c>
      <c r="I198" s="125">
        <f t="shared" ref="I198:I201" si="282">H198-F198</f>
        <v>0</v>
      </c>
      <c r="J198" s="81">
        <v>0.1</v>
      </c>
      <c r="K198" s="72">
        <v>46227</v>
      </c>
      <c r="L198" s="74">
        <f t="shared" si="231"/>
        <v>46227</v>
      </c>
      <c r="M198" s="72">
        <v>46178</v>
      </c>
      <c r="N198" s="74">
        <f t="shared" si="232"/>
        <v>46269</v>
      </c>
      <c r="O198" s="74">
        <f t="shared" si="233"/>
        <v>46269</v>
      </c>
      <c r="P198" s="74"/>
      <c r="Q198" s="74">
        <f t="shared" si="234"/>
        <v>46311</v>
      </c>
      <c r="R198" s="74">
        <f t="shared" si="235"/>
        <v>46311</v>
      </c>
      <c r="S198" s="74"/>
      <c r="T198" s="74">
        <f t="shared" si="236"/>
        <v>46325</v>
      </c>
      <c r="U198" s="74">
        <f t="shared" si="237"/>
        <v>46325</v>
      </c>
      <c r="V198" s="74"/>
      <c r="X198" s="184" t="str">
        <f t="shared" ca="1" si="204"/>
        <v>Completed</v>
      </c>
      <c r="Y198" s="184" t="str">
        <f t="shared" ca="1" si="205"/>
        <v/>
      </c>
      <c r="Z198" s="184" t="str">
        <f t="shared" ca="1" si="206"/>
        <v/>
      </c>
      <c r="AA198" s="185" t="str">
        <f t="shared" ca="1" si="207"/>
        <v/>
      </c>
    </row>
    <row r="199" spans="1:27" s="64" customFormat="1" ht="9.5" customHeight="1" x14ac:dyDescent="0.25">
      <c r="A199" s="70" t="s">
        <v>61</v>
      </c>
      <c r="B199" s="70" t="s">
        <v>62</v>
      </c>
      <c r="C199" s="70" t="s">
        <v>94</v>
      </c>
      <c r="D199" s="124" t="s">
        <v>385</v>
      </c>
      <c r="E199" s="124" t="s">
        <v>203</v>
      </c>
      <c r="F199" s="125">
        <f t="shared" si="279"/>
        <v>0.5</v>
      </c>
      <c r="G199" s="125">
        <f t="shared" si="280"/>
        <v>0.5</v>
      </c>
      <c r="H199" s="125">
        <f t="shared" si="281"/>
        <v>0.5</v>
      </c>
      <c r="I199" s="125">
        <f t="shared" si="282"/>
        <v>0</v>
      </c>
      <c r="J199" s="81">
        <v>0.1</v>
      </c>
      <c r="K199" s="72">
        <v>46227</v>
      </c>
      <c r="L199" s="74">
        <f t="shared" si="231"/>
        <v>46227</v>
      </c>
      <c r="M199" s="72">
        <v>46178</v>
      </c>
      <c r="N199" s="74">
        <f t="shared" si="232"/>
        <v>46269</v>
      </c>
      <c r="O199" s="74">
        <f t="shared" si="233"/>
        <v>46269</v>
      </c>
      <c r="P199" s="74"/>
      <c r="Q199" s="74">
        <f t="shared" si="234"/>
        <v>46311</v>
      </c>
      <c r="R199" s="74">
        <f t="shared" si="235"/>
        <v>46311</v>
      </c>
      <c r="S199" s="74"/>
      <c r="T199" s="74">
        <f t="shared" si="236"/>
        <v>46325</v>
      </c>
      <c r="U199" s="74">
        <f t="shared" si="237"/>
        <v>46325</v>
      </c>
      <c r="V199" s="74"/>
      <c r="X199" s="184" t="str">
        <f t="shared" ca="1" si="204"/>
        <v>Completed</v>
      </c>
      <c r="Y199" s="184" t="str">
        <f t="shared" ca="1" si="205"/>
        <v/>
      </c>
      <c r="Z199" s="184" t="str">
        <f t="shared" ca="1" si="206"/>
        <v/>
      </c>
      <c r="AA199" s="185" t="str">
        <f t="shared" ca="1" si="207"/>
        <v/>
      </c>
    </row>
    <row r="200" spans="1:27" s="64" customFormat="1" ht="9.5" customHeight="1" x14ac:dyDescent="0.25">
      <c r="A200" s="70" t="s">
        <v>61</v>
      </c>
      <c r="B200" s="70" t="s">
        <v>62</v>
      </c>
      <c r="C200" s="70" t="s">
        <v>94</v>
      </c>
      <c r="D200" s="124" t="s">
        <v>386</v>
      </c>
      <c r="E200" s="124" t="s">
        <v>204</v>
      </c>
      <c r="F200" s="125">
        <f t="shared" si="279"/>
        <v>0.5</v>
      </c>
      <c r="G200" s="125">
        <f t="shared" si="280"/>
        <v>0.5</v>
      </c>
      <c r="H200" s="125">
        <f t="shared" si="281"/>
        <v>0.5</v>
      </c>
      <c r="I200" s="125">
        <f t="shared" si="282"/>
        <v>0</v>
      </c>
      <c r="J200" s="81">
        <v>0.1</v>
      </c>
      <c r="K200" s="72">
        <v>46227</v>
      </c>
      <c r="L200" s="74">
        <f t="shared" si="231"/>
        <v>46227</v>
      </c>
      <c r="M200" s="72">
        <v>46178</v>
      </c>
      <c r="N200" s="74">
        <f t="shared" si="232"/>
        <v>46269</v>
      </c>
      <c r="O200" s="74">
        <f t="shared" si="233"/>
        <v>46269</v>
      </c>
      <c r="P200" s="74"/>
      <c r="Q200" s="74">
        <f t="shared" si="234"/>
        <v>46311</v>
      </c>
      <c r="R200" s="74">
        <f t="shared" si="235"/>
        <v>46311</v>
      </c>
      <c r="S200" s="74"/>
      <c r="T200" s="74">
        <f t="shared" si="236"/>
        <v>46325</v>
      </c>
      <c r="U200" s="74">
        <f t="shared" si="237"/>
        <v>46325</v>
      </c>
      <c r="V200" s="74"/>
      <c r="X200" s="184" t="str">
        <f t="shared" ca="1" si="204"/>
        <v>Completed</v>
      </c>
      <c r="Y200" s="184" t="str">
        <f t="shared" ca="1" si="205"/>
        <v/>
      </c>
      <c r="Z200" s="184" t="str">
        <f t="shared" ca="1" si="206"/>
        <v/>
      </c>
      <c r="AA200" s="185" t="str">
        <f t="shared" ca="1" si="207"/>
        <v/>
      </c>
    </row>
    <row r="201" spans="1:27" s="64" customFormat="1" ht="9.5" customHeight="1" x14ac:dyDescent="0.25">
      <c r="A201" s="70" t="s">
        <v>61</v>
      </c>
      <c r="B201" s="70" t="s">
        <v>62</v>
      </c>
      <c r="C201" s="70" t="s">
        <v>94</v>
      </c>
      <c r="D201" s="124" t="s">
        <v>387</v>
      </c>
      <c r="E201" s="124" t="s">
        <v>205</v>
      </c>
      <c r="F201" s="125">
        <f t="shared" si="279"/>
        <v>0.5</v>
      </c>
      <c r="G201" s="125">
        <f t="shared" si="280"/>
        <v>0.5</v>
      </c>
      <c r="H201" s="125">
        <f t="shared" si="281"/>
        <v>0.5</v>
      </c>
      <c r="I201" s="125">
        <f t="shared" si="282"/>
        <v>0</v>
      </c>
      <c r="J201" s="81">
        <v>0.1</v>
      </c>
      <c r="K201" s="72">
        <v>46227</v>
      </c>
      <c r="L201" s="74">
        <f t="shared" si="231"/>
        <v>46227</v>
      </c>
      <c r="M201" s="72">
        <v>46178</v>
      </c>
      <c r="N201" s="74">
        <f t="shared" si="232"/>
        <v>46269</v>
      </c>
      <c r="O201" s="74">
        <f t="shared" si="233"/>
        <v>46269</v>
      </c>
      <c r="P201" s="74"/>
      <c r="Q201" s="74">
        <f t="shared" si="234"/>
        <v>46311</v>
      </c>
      <c r="R201" s="74">
        <f t="shared" si="235"/>
        <v>46311</v>
      </c>
      <c r="S201" s="74"/>
      <c r="T201" s="74">
        <f t="shared" si="236"/>
        <v>46325</v>
      </c>
      <c r="U201" s="74">
        <f t="shared" si="237"/>
        <v>46325</v>
      </c>
      <c r="V201" s="74"/>
      <c r="X201" s="184" t="str">
        <f t="shared" ca="1" si="204"/>
        <v>Completed</v>
      </c>
      <c r="Y201" s="184" t="str">
        <f t="shared" ca="1" si="205"/>
        <v/>
      </c>
      <c r="Z201" s="184" t="str">
        <f t="shared" ca="1" si="206"/>
        <v/>
      </c>
      <c r="AA201" s="185" t="str">
        <f t="shared" ca="1" si="207"/>
        <v/>
      </c>
    </row>
    <row r="202" spans="1:27" s="64" customFormat="1" ht="9.5" customHeight="1" x14ac:dyDescent="0.25">
      <c r="A202" s="70" t="s">
        <v>61</v>
      </c>
      <c r="B202" s="70" t="s">
        <v>62</v>
      </c>
      <c r="C202" s="70" t="s">
        <v>94</v>
      </c>
      <c r="D202" s="124" t="s">
        <v>388</v>
      </c>
      <c r="E202" s="124" t="s">
        <v>206</v>
      </c>
      <c r="F202" s="125">
        <f t="shared" si="269"/>
        <v>0.5</v>
      </c>
      <c r="G202" s="125">
        <f t="shared" si="269"/>
        <v>0.5</v>
      </c>
      <c r="H202" s="125">
        <f t="shared" si="269"/>
        <v>0.5</v>
      </c>
      <c r="I202" s="125">
        <f t="shared" si="230"/>
        <v>0</v>
      </c>
      <c r="J202" s="81">
        <v>0.1</v>
      </c>
      <c r="K202" s="72">
        <v>46227</v>
      </c>
      <c r="L202" s="74">
        <f t="shared" si="231"/>
        <v>46227</v>
      </c>
      <c r="M202" s="72">
        <v>46178</v>
      </c>
      <c r="N202" s="74">
        <f t="shared" si="232"/>
        <v>46269</v>
      </c>
      <c r="O202" s="74">
        <f t="shared" si="233"/>
        <v>46269</v>
      </c>
      <c r="P202" s="74"/>
      <c r="Q202" s="74">
        <f t="shared" si="234"/>
        <v>46311</v>
      </c>
      <c r="R202" s="74">
        <f t="shared" si="235"/>
        <v>46311</v>
      </c>
      <c r="S202" s="74"/>
      <c r="T202" s="74">
        <f t="shared" si="236"/>
        <v>46325</v>
      </c>
      <c r="U202" s="74">
        <f t="shared" si="237"/>
        <v>46325</v>
      </c>
      <c r="V202" s="72"/>
      <c r="X202" s="184" t="str">
        <f t="shared" ref="X202:X237" ca="1" si="283">IF(OR(M202&lt;&gt;""),"Completed",
IF(L202="","",IF(L202&lt;TODAY(),"Overdue",
IF(AND(L202&gt;=TODAY()-WEEKDAY(TODAY(),2)+1,L202&lt;=TODAY()-WEEKDAY(TODAY(),2)+7),"Follow-This Week",
IF(AND(L202&gt;=TODAY()-WEEKDAY(TODAY(),2)+8,L202&lt;=TODAY()-WEEKDAY(TODAY(),2)+14),"Follow-Next Week","")))))</f>
        <v>Completed</v>
      </c>
      <c r="Y202" s="184" t="str">
        <f t="shared" ref="Y202:Y237" ca="1" si="284">IF(OR(P202&lt;&gt;""),"Completed",IF(O202="","",
IF(O202&lt;TODAY(),"Overdue",
IF(AND(O202&gt;=TODAY()-WEEKDAY(TODAY(),2)+1,O202&lt;=TODAY()-WEEKDAY(TODAY(),2)+7),"Follow-This Week",
IF(AND(O202&gt;=TODAY()-WEEKDAY(TODAY(),2)+8,O202&lt;=TODAY()-WEEKDAY(TODAY(),2)+14),"Follow-Next Week","")))))</f>
        <v/>
      </c>
      <c r="Z202" s="184" t="str">
        <f t="shared" ref="Z202:Z237" ca="1" si="285">IF(OR(S202&lt;&gt;""),"Completed",IF(R202="","",
IF(R202&lt;TODAY(),"Overdue",
IF(AND(R202&gt;=TODAY()-WEEKDAY(TODAY(),2)+1,R202&lt;=TODAY()-WEEKDAY(TODAY(),2)+7),"Follow-This Week",
IF(AND(R202&gt;=TODAY()-WEEKDAY(TODAY(),2)+8,R202&lt;=TODAY()-WEEKDAY(TODAY(),2)+14),"Follow-Next Week","")))))</f>
        <v/>
      </c>
      <c r="AA202" s="185" t="str">
        <f t="shared" ref="AA202:AA237" ca="1" si="286">IF(OR(V202&lt;&gt;""),"Completed",IF(U202="","",
IF(U202&lt;TODAY(),"Overdue",
IF(AND(U202&gt;=TODAY()-WEEKDAY(TODAY(),2)+1,U202&lt;=TODAY()-WEEKDAY(TODAY(),2)+7),"Follow-This Week",
IF(AND(U202&gt;=TODAY()-WEEKDAY(TODAY(),2)+8,U202&lt;=TODAY()-WEEKDAY(TODAY(),2)+14),"Follow-Next Week","")))))</f>
        <v/>
      </c>
    </row>
    <row r="203" spans="1:27" s="64" customFormat="1" ht="9.5" customHeight="1" x14ac:dyDescent="0.25">
      <c r="A203" s="70" t="s">
        <v>61</v>
      </c>
      <c r="B203" s="70" t="s">
        <v>62</v>
      </c>
      <c r="C203" s="70" t="s">
        <v>94</v>
      </c>
      <c r="D203" s="124" t="s">
        <v>389</v>
      </c>
      <c r="E203" s="124" t="s">
        <v>207</v>
      </c>
      <c r="F203" s="125">
        <f t="shared" si="269"/>
        <v>0.5</v>
      </c>
      <c r="G203" s="125">
        <f t="shared" si="269"/>
        <v>0.5</v>
      </c>
      <c r="H203" s="125">
        <f t="shared" si="269"/>
        <v>0.5</v>
      </c>
      <c r="I203" s="125">
        <f t="shared" si="230"/>
        <v>0</v>
      </c>
      <c r="J203" s="81">
        <v>0.1</v>
      </c>
      <c r="K203" s="72">
        <v>46227</v>
      </c>
      <c r="L203" s="74">
        <f t="shared" si="231"/>
        <v>46227</v>
      </c>
      <c r="M203" s="72">
        <v>46185</v>
      </c>
      <c r="N203" s="74">
        <f t="shared" si="232"/>
        <v>46269</v>
      </c>
      <c r="O203" s="74">
        <f t="shared" si="233"/>
        <v>46269</v>
      </c>
      <c r="P203" s="74"/>
      <c r="Q203" s="74">
        <f t="shared" si="234"/>
        <v>46311</v>
      </c>
      <c r="R203" s="74">
        <f t="shared" si="235"/>
        <v>46311</v>
      </c>
      <c r="S203" s="74"/>
      <c r="T203" s="74">
        <f t="shared" si="236"/>
        <v>46325</v>
      </c>
      <c r="U203" s="74">
        <f t="shared" si="237"/>
        <v>46325</v>
      </c>
      <c r="V203" s="72"/>
      <c r="X203" s="184" t="str">
        <f t="shared" ca="1" si="283"/>
        <v>Completed</v>
      </c>
      <c r="Y203" s="184" t="str">
        <f t="shared" ca="1" si="284"/>
        <v/>
      </c>
      <c r="Z203" s="184" t="str">
        <f t="shared" ca="1" si="285"/>
        <v/>
      </c>
      <c r="AA203" s="185" t="str">
        <f t="shared" ca="1" si="286"/>
        <v/>
      </c>
    </row>
    <row r="204" spans="1:27" s="64" customFormat="1" ht="9.5" customHeight="1" x14ac:dyDescent="0.25">
      <c r="A204" s="70" t="s">
        <v>61</v>
      </c>
      <c r="B204" s="70" t="s">
        <v>62</v>
      </c>
      <c r="C204" s="70" t="s">
        <v>94</v>
      </c>
      <c r="D204" s="75" t="s">
        <v>390</v>
      </c>
      <c r="E204" s="75" t="s">
        <v>208</v>
      </c>
      <c r="F204" s="116">
        <f t="shared" si="269"/>
        <v>0.5</v>
      </c>
      <c r="G204" s="116">
        <f t="shared" si="269"/>
        <v>0.5</v>
      </c>
      <c r="H204" s="116">
        <f t="shared" si="269"/>
        <v>0.5</v>
      </c>
      <c r="I204" s="116">
        <f t="shared" si="230"/>
        <v>0</v>
      </c>
      <c r="J204" s="81">
        <v>0.1</v>
      </c>
      <c r="K204" s="72">
        <v>46227</v>
      </c>
      <c r="L204" s="72">
        <f t="shared" si="231"/>
        <v>46227</v>
      </c>
      <c r="M204" s="72">
        <v>46178</v>
      </c>
      <c r="N204" s="72">
        <f t="shared" si="232"/>
        <v>46269</v>
      </c>
      <c r="O204" s="72">
        <f t="shared" si="233"/>
        <v>46269</v>
      </c>
      <c r="P204" s="72"/>
      <c r="Q204" s="72">
        <f t="shared" si="234"/>
        <v>46311</v>
      </c>
      <c r="R204" s="72">
        <f t="shared" si="235"/>
        <v>46311</v>
      </c>
      <c r="S204" s="72"/>
      <c r="T204" s="72">
        <f t="shared" si="236"/>
        <v>46325</v>
      </c>
      <c r="U204" s="72">
        <f t="shared" si="237"/>
        <v>46325</v>
      </c>
      <c r="V204" s="72"/>
      <c r="X204" s="184" t="str">
        <f t="shared" ca="1" si="283"/>
        <v>Completed</v>
      </c>
      <c r="Y204" s="184" t="str">
        <f t="shared" ca="1" si="284"/>
        <v/>
      </c>
      <c r="Z204" s="184" t="str">
        <f t="shared" ca="1" si="285"/>
        <v/>
      </c>
      <c r="AA204" s="185" t="str">
        <f t="shared" ca="1" si="286"/>
        <v/>
      </c>
    </row>
    <row r="205" spans="1:27" s="64" customFormat="1" ht="9.5" customHeight="1" x14ac:dyDescent="0.25">
      <c r="A205" s="70" t="s">
        <v>61</v>
      </c>
      <c r="B205" s="70" t="s">
        <v>62</v>
      </c>
      <c r="C205" s="70" t="s">
        <v>94</v>
      </c>
      <c r="D205" s="75" t="s">
        <v>434</v>
      </c>
      <c r="E205" s="75" t="s">
        <v>435</v>
      </c>
      <c r="F205" s="116">
        <f t="shared" si="269"/>
        <v>0.5</v>
      </c>
      <c r="G205" s="125">
        <f t="shared" si="269"/>
        <v>0.5</v>
      </c>
      <c r="H205" s="125">
        <f t="shared" si="269"/>
        <v>0.5</v>
      </c>
      <c r="I205" s="125">
        <f t="shared" si="230"/>
        <v>0</v>
      </c>
      <c r="J205" s="81">
        <v>0.1</v>
      </c>
      <c r="K205" s="72">
        <v>46227</v>
      </c>
      <c r="L205" s="74">
        <f t="shared" ref="L205:L221" si="287">K205</f>
        <v>46227</v>
      </c>
      <c r="M205" s="72">
        <v>46185</v>
      </c>
      <c r="N205" s="74">
        <f t="shared" ref="N205:N221" si="288">K205+42</f>
        <v>46269</v>
      </c>
      <c r="O205" s="74">
        <f t="shared" ref="O205:O221" si="289">N205</f>
        <v>46269</v>
      </c>
      <c r="P205" s="74"/>
      <c r="Q205" s="74">
        <f t="shared" ref="Q205:Q221" si="290">N205+42</f>
        <v>46311</v>
      </c>
      <c r="R205" s="74">
        <f t="shared" ref="R205:R221" si="291">Q205</f>
        <v>46311</v>
      </c>
      <c r="S205" s="74"/>
      <c r="T205" s="74">
        <f t="shared" ref="T205:T221" si="292">Q205+14</f>
        <v>46325</v>
      </c>
      <c r="U205" s="74">
        <f t="shared" ref="U205:U221" si="293">T205</f>
        <v>46325</v>
      </c>
      <c r="V205" s="72"/>
      <c r="X205" s="184" t="str">
        <f t="shared" ca="1" si="283"/>
        <v>Completed</v>
      </c>
      <c r="Y205" s="184" t="str">
        <f t="shared" ca="1" si="284"/>
        <v/>
      </c>
      <c r="Z205" s="184" t="str">
        <f t="shared" ca="1" si="285"/>
        <v/>
      </c>
      <c r="AA205" s="185" t="str">
        <f t="shared" ca="1" si="286"/>
        <v/>
      </c>
    </row>
    <row r="206" spans="1:27" s="64" customFormat="1" ht="9.5" customHeight="1" x14ac:dyDescent="0.25">
      <c r="A206" s="70" t="s">
        <v>61</v>
      </c>
      <c r="B206" s="70" t="s">
        <v>62</v>
      </c>
      <c r="C206" s="70" t="s">
        <v>94</v>
      </c>
      <c r="D206" s="75" t="s">
        <v>436</v>
      </c>
      <c r="E206" s="75" t="s">
        <v>437</v>
      </c>
      <c r="F206" s="116">
        <f t="shared" si="269"/>
        <v>0.5</v>
      </c>
      <c r="G206" s="125">
        <f t="shared" ref="G206:G221" si="294">(COUNTIFS(L206,"&lt;="&amp;$D$1)*50%)+(COUNTIFS(O206,"&lt;="&amp;$D$1)*20%)+(COUNTIFS(R206,"&lt;="&amp;$D$1)*10%)+(COUNTIFS(U206,"&lt;="&amp;$D$1)*20%)</f>
        <v>0.5</v>
      </c>
      <c r="H206" s="125">
        <f t="shared" ref="H206:H221" si="295">(COUNTIFS(M206,"&lt;="&amp;$D$1)*50%)+(COUNTIFS(P206,"&lt;="&amp;$D$1)*20%)+(COUNTIFS(S206,"&lt;="&amp;$D$1)*10%)+(COUNTIFS(V206,"&lt;="&amp;$D$1)*20%)</f>
        <v>0.5</v>
      </c>
      <c r="I206" s="125">
        <f t="shared" ref="I206:I221" si="296">H206-F206</f>
        <v>0</v>
      </c>
      <c r="J206" s="81">
        <v>0.1</v>
      </c>
      <c r="K206" s="72">
        <v>46227</v>
      </c>
      <c r="L206" s="74">
        <f t="shared" si="287"/>
        <v>46227</v>
      </c>
      <c r="M206" s="72">
        <v>46185</v>
      </c>
      <c r="N206" s="74">
        <f t="shared" si="288"/>
        <v>46269</v>
      </c>
      <c r="O206" s="74">
        <f t="shared" si="289"/>
        <v>46269</v>
      </c>
      <c r="P206" s="74"/>
      <c r="Q206" s="74">
        <f t="shared" si="290"/>
        <v>46311</v>
      </c>
      <c r="R206" s="74">
        <f t="shared" si="291"/>
        <v>46311</v>
      </c>
      <c r="S206" s="74"/>
      <c r="T206" s="74">
        <f t="shared" si="292"/>
        <v>46325</v>
      </c>
      <c r="U206" s="74">
        <f t="shared" si="293"/>
        <v>46325</v>
      </c>
      <c r="V206" s="72"/>
      <c r="X206" s="184" t="str">
        <f t="shared" ca="1" si="283"/>
        <v>Completed</v>
      </c>
      <c r="Y206" s="184" t="str">
        <f t="shared" ca="1" si="284"/>
        <v/>
      </c>
      <c r="Z206" s="184" t="str">
        <f t="shared" ca="1" si="285"/>
        <v/>
      </c>
      <c r="AA206" s="185" t="str">
        <f t="shared" ca="1" si="286"/>
        <v/>
      </c>
    </row>
    <row r="207" spans="1:27" s="64" customFormat="1" ht="9.5" customHeight="1" x14ac:dyDescent="0.25">
      <c r="A207" s="140" t="s">
        <v>61</v>
      </c>
      <c r="B207" s="140" t="s">
        <v>62</v>
      </c>
      <c r="C207" s="140" t="s">
        <v>94</v>
      </c>
      <c r="D207" s="141" t="s">
        <v>438</v>
      </c>
      <c r="E207" s="141" t="s">
        <v>522</v>
      </c>
      <c r="F207" s="142"/>
      <c r="G207" s="147"/>
      <c r="H207" s="147"/>
      <c r="I207" s="147"/>
      <c r="J207" s="143">
        <v>0.1</v>
      </c>
      <c r="K207" s="144">
        <v>46227</v>
      </c>
      <c r="L207" s="148">
        <f t="shared" si="287"/>
        <v>46227</v>
      </c>
      <c r="M207" s="189">
        <v>46248</v>
      </c>
      <c r="N207" s="148">
        <f t="shared" si="288"/>
        <v>46269</v>
      </c>
      <c r="O207" s="148">
        <f t="shared" si="289"/>
        <v>46269</v>
      </c>
      <c r="P207" s="189">
        <v>46248</v>
      </c>
      <c r="Q207" s="148">
        <f t="shared" si="290"/>
        <v>46311</v>
      </c>
      <c r="R207" s="148">
        <f t="shared" si="291"/>
        <v>46311</v>
      </c>
      <c r="S207" s="189">
        <v>46248</v>
      </c>
      <c r="T207" s="148">
        <f t="shared" si="292"/>
        <v>46325</v>
      </c>
      <c r="U207" s="148">
        <f t="shared" si="293"/>
        <v>46325</v>
      </c>
      <c r="V207" s="189">
        <v>46248</v>
      </c>
      <c r="X207" s="184" t="str">
        <f t="shared" ca="1" si="283"/>
        <v>Completed</v>
      </c>
      <c r="Y207" s="184" t="str">
        <f t="shared" ca="1" si="284"/>
        <v>Completed</v>
      </c>
      <c r="Z207" s="184" t="str">
        <f t="shared" ca="1" si="285"/>
        <v>Completed</v>
      </c>
      <c r="AA207" s="185" t="str">
        <f t="shared" ca="1" si="286"/>
        <v>Completed</v>
      </c>
    </row>
    <row r="208" spans="1:27" s="64" customFormat="1" ht="9.5" customHeight="1" x14ac:dyDescent="0.25">
      <c r="A208" s="70" t="s">
        <v>61</v>
      </c>
      <c r="B208" s="70" t="s">
        <v>62</v>
      </c>
      <c r="C208" s="70" t="s">
        <v>94</v>
      </c>
      <c r="D208" s="75" t="s">
        <v>439</v>
      </c>
      <c r="E208" s="75" t="s">
        <v>440</v>
      </c>
      <c r="F208" s="116">
        <f t="shared" si="269"/>
        <v>0.5</v>
      </c>
      <c r="G208" s="116">
        <f t="shared" si="294"/>
        <v>0.5</v>
      </c>
      <c r="H208" s="116">
        <f t="shared" si="295"/>
        <v>0</v>
      </c>
      <c r="I208" s="116">
        <f t="shared" si="296"/>
        <v>-0.5</v>
      </c>
      <c r="J208" s="81">
        <v>0.1</v>
      </c>
      <c r="K208" s="72">
        <v>46227</v>
      </c>
      <c r="L208" s="72">
        <f t="shared" si="287"/>
        <v>46227</v>
      </c>
      <c r="M208" s="148"/>
      <c r="N208" s="72">
        <f t="shared" si="288"/>
        <v>46269</v>
      </c>
      <c r="O208" s="72">
        <f t="shared" si="289"/>
        <v>46269</v>
      </c>
      <c r="P208" s="72"/>
      <c r="Q208" s="72">
        <f t="shared" si="290"/>
        <v>46311</v>
      </c>
      <c r="R208" s="72">
        <f t="shared" si="291"/>
        <v>46311</v>
      </c>
      <c r="S208" s="72"/>
      <c r="T208" s="72">
        <f t="shared" si="292"/>
        <v>46325</v>
      </c>
      <c r="U208" s="72">
        <f t="shared" si="293"/>
        <v>46325</v>
      </c>
      <c r="V208" s="72"/>
      <c r="X208" s="184" t="str">
        <f t="shared" ca="1" si="283"/>
        <v>Overdue</v>
      </c>
      <c r="Y208" s="184" t="str">
        <f t="shared" ca="1" si="284"/>
        <v/>
      </c>
      <c r="Z208" s="184" t="str">
        <f t="shared" ca="1" si="285"/>
        <v/>
      </c>
      <c r="AA208" s="185" t="str">
        <f t="shared" ca="1" si="286"/>
        <v/>
      </c>
    </row>
    <row r="209" spans="1:27" s="64" customFormat="1" ht="9.5" customHeight="1" x14ac:dyDescent="0.25">
      <c r="A209" s="70" t="s">
        <v>61</v>
      </c>
      <c r="B209" s="70" t="s">
        <v>62</v>
      </c>
      <c r="C209" s="70" t="s">
        <v>94</v>
      </c>
      <c r="D209" s="75" t="s">
        <v>441</v>
      </c>
      <c r="E209" s="75" t="s">
        <v>442</v>
      </c>
      <c r="F209" s="116">
        <f t="shared" si="269"/>
        <v>0.5</v>
      </c>
      <c r="G209" s="125">
        <f t="shared" si="294"/>
        <v>0.5</v>
      </c>
      <c r="H209" s="125">
        <f t="shared" si="295"/>
        <v>0</v>
      </c>
      <c r="I209" s="125">
        <f t="shared" si="296"/>
        <v>-0.5</v>
      </c>
      <c r="J209" s="81">
        <v>0.1</v>
      </c>
      <c r="K209" s="72">
        <v>46227</v>
      </c>
      <c r="L209" s="74">
        <f t="shared" si="287"/>
        <v>46227</v>
      </c>
      <c r="M209" s="148"/>
      <c r="N209" s="74">
        <f t="shared" si="288"/>
        <v>46269</v>
      </c>
      <c r="O209" s="74">
        <f t="shared" si="289"/>
        <v>46269</v>
      </c>
      <c r="P209" s="74"/>
      <c r="Q209" s="74">
        <f t="shared" si="290"/>
        <v>46311</v>
      </c>
      <c r="R209" s="74">
        <f t="shared" si="291"/>
        <v>46311</v>
      </c>
      <c r="S209" s="74"/>
      <c r="T209" s="74">
        <f t="shared" si="292"/>
        <v>46325</v>
      </c>
      <c r="U209" s="74">
        <f t="shared" si="293"/>
        <v>46325</v>
      </c>
      <c r="V209" s="72"/>
      <c r="X209" s="184" t="str">
        <f t="shared" ca="1" si="283"/>
        <v>Overdue</v>
      </c>
      <c r="Y209" s="184" t="str">
        <f t="shared" ca="1" si="284"/>
        <v/>
      </c>
      <c r="Z209" s="184" t="str">
        <f t="shared" ca="1" si="285"/>
        <v/>
      </c>
      <c r="AA209" s="185" t="str">
        <f t="shared" ca="1" si="286"/>
        <v/>
      </c>
    </row>
    <row r="210" spans="1:27" s="64" customFormat="1" ht="9.5" customHeight="1" x14ac:dyDescent="0.25">
      <c r="A210" s="70" t="s">
        <v>61</v>
      </c>
      <c r="B210" s="70" t="s">
        <v>62</v>
      </c>
      <c r="C210" s="70" t="s">
        <v>94</v>
      </c>
      <c r="D210" s="75" t="s">
        <v>443</v>
      </c>
      <c r="E210" s="75" t="s">
        <v>444</v>
      </c>
      <c r="F210" s="116">
        <f t="shared" si="269"/>
        <v>0.5</v>
      </c>
      <c r="G210" s="125">
        <f t="shared" si="294"/>
        <v>0.5</v>
      </c>
      <c r="H210" s="125">
        <f t="shared" si="295"/>
        <v>0</v>
      </c>
      <c r="I210" s="125">
        <f t="shared" si="296"/>
        <v>-0.5</v>
      </c>
      <c r="J210" s="81">
        <v>0.1</v>
      </c>
      <c r="K210" s="72">
        <v>46227</v>
      </c>
      <c r="L210" s="74">
        <f t="shared" si="287"/>
        <v>46227</v>
      </c>
      <c r="M210" s="148"/>
      <c r="N210" s="74">
        <f t="shared" si="288"/>
        <v>46269</v>
      </c>
      <c r="O210" s="74">
        <f t="shared" si="289"/>
        <v>46269</v>
      </c>
      <c r="P210" s="74"/>
      <c r="Q210" s="74">
        <f t="shared" si="290"/>
        <v>46311</v>
      </c>
      <c r="R210" s="74">
        <f t="shared" si="291"/>
        <v>46311</v>
      </c>
      <c r="S210" s="74"/>
      <c r="T210" s="74">
        <f t="shared" si="292"/>
        <v>46325</v>
      </c>
      <c r="U210" s="74">
        <f t="shared" si="293"/>
        <v>46325</v>
      </c>
      <c r="V210" s="72"/>
      <c r="X210" s="184" t="str">
        <f t="shared" ca="1" si="283"/>
        <v>Overdue</v>
      </c>
      <c r="Y210" s="184" t="str">
        <f t="shared" ca="1" si="284"/>
        <v/>
      </c>
      <c r="Z210" s="184" t="str">
        <f t="shared" ca="1" si="285"/>
        <v/>
      </c>
      <c r="AA210" s="185" t="str">
        <f t="shared" ca="1" si="286"/>
        <v/>
      </c>
    </row>
    <row r="211" spans="1:27" s="64" customFormat="1" ht="9.5" customHeight="1" x14ac:dyDescent="0.25">
      <c r="A211" s="70" t="s">
        <v>61</v>
      </c>
      <c r="B211" s="70" t="s">
        <v>62</v>
      </c>
      <c r="C211" s="70" t="s">
        <v>94</v>
      </c>
      <c r="D211" s="75" t="s">
        <v>445</v>
      </c>
      <c r="E211" s="75" t="s">
        <v>446</v>
      </c>
      <c r="F211" s="116">
        <f t="shared" si="269"/>
        <v>0.5</v>
      </c>
      <c r="G211" s="125">
        <f t="shared" si="294"/>
        <v>0.5</v>
      </c>
      <c r="H211" s="125">
        <f t="shared" si="295"/>
        <v>0</v>
      </c>
      <c r="I211" s="125">
        <f t="shared" si="296"/>
        <v>-0.5</v>
      </c>
      <c r="J211" s="81">
        <v>0.1</v>
      </c>
      <c r="K211" s="72">
        <v>46227</v>
      </c>
      <c r="L211" s="74">
        <f t="shared" si="287"/>
        <v>46227</v>
      </c>
      <c r="M211" s="148"/>
      <c r="N211" s="74">
        <f t="shared" si="288"/>
        <v>46269</v>
      </c>
      <c r="O211" s="74">
        <f t="shared" si="289"/>
        <v>46269</v>
      </c>
      <c r="P211" s="74"/>
      <c r="Q211" s="74">
        <f t="shared" si="290"/>
        <v>46311</v>
      </c>
      <c r="R211" s="74">
        <f t="shared" si="291"/>
        <v>46311</v>
      </c>
      <c r="S211" s="74"/>
      <c r="T211" s="74">
        <f t="shared" si="292"/>
        <v>46325</v>
      </c>
      <c r="U211" s="74">
        <f t="shared" si="293"/>
        <v>46325</v>
      </c>
      <c r="V211" s="72"/>
      <c r="X211" s="184" t="str">
        <f t="shared" ca="1" si="283"/>
        <v>Overdue</v>
      </c>
      <c r="Y211" s="184" t="str">
        <f t="shared" ca="1" si="284"/>
        <v/>
      </c>
      <c r="Z211" s="184" t="str">
        <f t="shared" ca="1" si="285"/>
        <v/>
      </c>
      <c r="AA211" s="185" t="str">
        <f t="shared" ca="1" si="286"/>
        <v/>
      </c>
    </row>
    <row r="212" spans="1:27" s="64" customFormat="1" ht="9.5" customHeight="1" x14ac:dyDescent="0.25">
      <c r="A212" s="70" t="s">
        <v>61</v>
      </c>
      <c r="B212" s="70" t="s">
        <v>62</v>
      </c>
      <c r="C212" s="70" t="s">
        <v>94</v>
      </c>
      <c r="D212" s="75" t="s">
        <v>447</v>
      </c>
      <c r="E212" s="75" t="s">
        <v>448</v>
      </c>
      <c r="F212" s="116">
        <f t="shared" si="269"/>
        <v>0.5</v>
      </c>
      <c r="G212" s="116">
        <f t="shared" si="294"/>
        <v>0.5</v>
      </c>
      <c r="H212" s="116">
        <f t="shared" si="295"/>
        <v>0.7</v>
      </c>
      <c r="I212" s="116">
        <f t="shared" si="296"/>
        <v>0.19999999999999996</v>
      </c>
      <c r="J212" s="81">
        <v>0.1</v>
      </c>
      <c r="K212" s="72">
        <v>46227</v>
      </c>
      <c r="L212" s="72">
        <f t="shared" si="287"/>
        <v>46227</v>
      </c>
      <c r="M212" s="74">
        <v>46237</v>
      </c>
      <c r="N212" s="72">
        <f t="shared" si="288"/>
        <v>46269</v>
      </c>
      <c r="O212" s="72">
        <f t="shared" si="289"/>
        <v>46269</v>
      </c>
      <c r="P212" s="149">
        <v>46244</v>
      </c>
      <c r="Q212" s="72">
        <f t="shared" si="290"/>
        <v>46311</v>
      </c>
      <c r="R212" s="72">
        <f t="shared" si="291"/>
        <v>46311</v>
      </c>
      <c r="S212" s="72"/>
      <c r="T212" s="72">
        <f t="shared" si="292"/>
        <v>46325</v>
      </c>
      <c r="U212" s="72">
        <f t="shared" si="293"/>
        <v>46325</v>
      </c>
      <c r="V212" s="72"/>
      <c r="X212" s="184" t="str">
        <f t="shared" ca="1" si="283"/>
        <v>Completed</v>
      </c>
      <c r="Y212" s="184" t="str">
        <f t="shared" ca="1" si="284"/>
        <v>Completed</v>
      </c>
      <c r="Z212" s="184" t="str">
        <f t="shared" ca="1" si="285"/>
        <v/>
      </c>
      <c r="AA212" s="185" t="str">
        <f t="shared" ca="1" si="286"/>
        <v/>
      </c>
    </row>
    <row r="213" spans="1:27" s="64" customFormat="1" ht="9.5" customHeight="1" x14ac:dyDescent="0.25">
      <c r="A213" s="70" t="s">
        <v>61</v>
      </c>
      <c r="B213" s="70" t="s">
        <v>62</v>
      </c>
      <c r="C213" s="70" t="s">
        <v>94</v>
      </c>
      <c r="D213" s="75" t="s">
        <v>449</v>
      </c>
      <c r="E213" s="75" t="s">
        <v>450</v>
      </c>
      <c r="F213" s="116">
        <f t="shared" si="269"/>
        <v>0.5</v>
      </c>
      <c r="G213" s="125">
        <f t="shared" si="294"/>
        <v>0.5</v>
      </c>
      <c r="H213" s="125">
        <f t="shared" si="295"/>
        <v>0.7</v>
      </c>
      <c r="I213" s="125">
        <f t="shared" si="296"/>
        <v>0.19999999999999996</v>
      </c>
      <c r="J213" s="81">
        <v>0.1</v>
      </c>
      <c r="K213" s="72">
        <v>46227</v>
      </c>
      <c r="L213" s="74">
        <f t="shared" si="287"/>
        <v>46227</v>
      </c>
      <c r="M213" s="74">
        <v>46237</v>
      </c>
      <c r="N213" s="74">
        <f t="shared" si="288"/>
        <v>46269</v>
      </c>
      <c r="O213" s="74">
        <f t="shared" si="289"/>
        <v>46269</v>
      </c>
      <c r="P213" s="149">
        <v>46244</v>
      </c>
      <c r="Q213" s="74">
        <f t="shared" si="290"/>
        <v>46311</v>
      </c>
      <c r="R213" s="74">
        <f t="shared" si="291"/>
        <v>46311</v>
      </c>
      <c r="S213" s="74"/>
      <c r="T213" s="74">
        <f t="shared" si="292"/>
        <v>46325</v>
      </c>
      <c r="U213" s="74">
        <f t="shared" si="293"/>
        <v>46325</v>
      </c>
      <c r="V213" s="72"/>
      <c r="X213" s="184" t="str">
        <f t="shared" ca="1" si="283"/>
        <v>Completed</v>
      </c>
      <c r="Y213" s="184" t="str">
        <f t="shared" ca="1" si="284"/>
        <v>Completed</v>
      </c>
      <c r="Z213" s="184" t="str">
        <f t="shared" ca="1" si="285"/>
        <v/>
      </c>
      <c r="AA213" s="185" t="str">
        <f t="shared" ca="1" si="286"/>
        <v/>
      </c>
    </row>
    <row r="214" spans="1:27" s="64" customFormat="1" ht="9.5" customHeight="1" x14ac:dyDescent="0.25">
      <c r="A214" s="140" t="s">
        <v>61</v>
      </c>
      <c r="B214" s="140" t="s">
        <v>62</v>
      </c>
      <c r="C214" s="140" t="s">
        <v>94</v>
      </c>
      <c r="D214" s="141" t="s">
        <v>451</v>
      </c>
      <c r="E214" s="141" t="s">
        <v>523</v>
      </c>
      <c r="F214" s="142"/>
      <c r="G214" s="147"/>
      <c r="H214" s="147"/>
      <c r="I214" s="147"/>
      <c r="J214" s="143">
        <v>0.1</v>
      </c>
      <c r="K214" s="144">
        <v>46227</v>
      </c>
      <c r="L214" s="148">
        <f t="shared" si="287"/>
        <v>46227</v>
      </c>
      <c r="M214" s="189">
        <v>46248</v>
      </c>
      <c r="N214" s="148">
        <f t="shared" si="288"/>
        <v>46269</v>
      </c>
      <c r="O214" s="148">
        <f t="shared" si="289"/>
        <v>46269</v>
      </c>
      <c r="P214" s="189">
        <v>46248</v>
      </c>
      <c r="Q214" s="148">
        <f t="shared" si="290"/>
        <v>46311</v>
      </c>
      <c r="R214" s="148">
        <f t="shared" si="291"/>
        <v>46311</v>
      </c>
      <c r="S214" s="189">
        <v>46248</v>
      </c>
      <c r="T214" s="148">
        <f t="shared" si="292"/>
        <v>46325</v>
      </c>
      <c r="U214" s="148">
        <f t="shared" si="293"/>
        <v>46325</v>
      </c>
      <c r="V214" s="189">
        <v>46248</v>
      </c>
      <c r="X214" s="184" t="str">
        <f t="shared" ca="1" si="283"/>
        <v>Completed</v>
      </c>
      <c r="Y214" s="184" t="str">
        <f t="shared" ca="1" si="284"/>
        <v>Completed</v>
      </c>
      <c r="Z214" s="184" t="str">
        <f t="shared" ca="1" si="285"/>
        <v>Completed</v>
      </c>
      <c r="AA214" s="185" t="str">
        <f t="shared" ca="1" si="286"/>
        <v>Completed</v>
      </c>
    </row>
    <row r="215" spans="1:27" s="64" customFormat="1" ht="9.5" customHeight="1" x14ac:dyDescent="0.25">
      <c r="A215" s="70" t="s">
        <v>61</v>
      </c>
      <c r="B215" s="70" t="s">
        <v>62</v>
      </c>
      <c r="C215" s="70" t="s">
        <v>94</v>
      </c>
      <c r="D215" s="75" t="s">
        <v>452</v>
      </c>
      <c r="E215" s="75" t="s">
        <v>453</v>
      </c>
      <c r="F215" s="116">
        <f t="shared" si="269"/>
        <v>0.5</v>
      </c>
      <c r="G215" s="125">
        <f t="shared" si="294"/>
        <v>0.5</v>
      </c>
      <c r="H215" s="125">
        <f t="shared" si="295"/>
        <v>0.7</v>
      </c>
      <c r="I215" s="125">
        <f t="shared" si="296"/>
        <v>0.19999999999999996</v>
      </c>
      <c r="J215" s="81">
        <v>0.1</v>
      </c>
      <c r="K215" s="72">
        <v>46227</v>
      </c>
      <c r="L215" s="74">
        <f t="shared" si="287"/>
        <v>46227</v>
      </c>
      <c r="M215" s="74">
        <v>46237</v>
      </c>
      <c r="N215" s="74">
        <f t="shared" si="288"/>
        <v>46269</v>
      </c>
      <c r="O215" s="74">
        <f t="shared" si="289"/>
        <v>46269</v>
      </c>
      <c r="P215" s="149">
        <v>46244</v>
      </c>
      <c r="Q215" s="74">
        <f t="shared" si="290"/>
        <v>46311</v>
      </c>
      <c r="R215" s="74">
        <f t="shared" si="291"/>
        <v>46311</v>
      </c>
      <c r="S215" s="74"/>
      <c r="T215" s="74">
        <f t="shared" si="292"/>
        <v>46325</v>
      </c>
      <c r="U215" s="74">
        <f t="shared" si="293"/>
        <v>46325</v>
      </c>
      <c r="V215" s="72"/>
      <c r="X215" s="184" t="str">
        <f t="shared" ca="1" si="283"/>
        <v>Completed</v>
      </c>
      <c r="Y215" s="184" t="str">
        <f t="shared" ca="1" si="284"/>
        <v>Completed</v>
      </c>
      <c r="Z215" s="184" t="str">
        <f t="shared" ca="1" si="285"/>
        <v/>
      </c>
      <c r="AA215" s="185" t="str">
        <f t="shared" ca="1" si="286"/>
        <v/>
      </c>
    </row>
    <row r="216" spans="1:27" s="64" customFormat="1" ht="9.5" customHeight="1" x14ac:dyDescent="0.25">
      <c r="A216" s="70" t="s">
        <v>61</v>
      </c>
      <c r="B216" s="70" t="s">
        <v>62</v>
      </c>
      <c r="C216" s="70" t="s">
        <v>94</v>
      </c>
      <c r="D216" s="75" t="s">
        <v>454</v>
      </c>
      <c r="E216" s="75" t="s">
        <v>455</v>
      </c>
      <c r="F216" s="116">
        <f t="shared" si="269"/>
        <v>0.5</v>
      </c>
      <c r="G216" s="116">
        <f t="shared" si="294"/>
        <v>0.5</v>
      </c>
      <c r="H216" s="116">
        <f t="shared" si="295"/>
        <v>0.7</v>
      </c>
      <c r="I216" s="116">
        <f t="shared" si="296"/>
        <v>0.19999999999999996</v>
      </c>
      <c r="J216" s="81">
        <v>0.1</v>
      </c>
      <c r="K216" s="72">
        <v>46227</v>
      </c>
      <c r="L216" s="72">
        <f t="shared" si="287"/>
        <v>46227</v>
      </c>
      <c r="M216" s="74">
        <v>46237</v>
      </c>
      <c r="N216" s="72">
        <f t="shared" si="288"/>
        <v>46269</v>
      </c>
      <c r="O216" s="72">
        <f t="shared" si="289"/>
        <v>46269</v>
      </c>
      <c r="P216" s="149">
        <v>46244</v>
      </c>
      <c r="Q216" s="72">
        <f t="shared" si="290"/>
        <v>46311</v>
      </c>
      <c r="R216" s="72">
        <f t="shared" si="291"/>
        <v>46311</v>
      </c>
      <c r="S216" s="72"/>
      <c r="T216" s="72">
        <f t="shared" si="292"/>
        <v>46325</v>
      </c>
      <c r="U216" s="72">
        <f t="shared" si="293"/>
        <v>46325</v>
      </c>
      <c r="V216" s="72"/>
      <c r="X216" s="184" t="str">
        <f t="shared" ca="1" si="283"/>
        <v>Completed</v>
      </c>
      <c r="Y216" s="184" t="str">
        <f t="shared" ca="1" si="284"/>
        <v>Completed</v>
      </c>
      <c r="Z216" s="184" t="str">
        <f t="shared" ca="1" si="285"/>
        <v/>
      </c>
      <c r="AA216" s="185" t="str">
        <f t="shared" ca="1" si="286"/>
        <v/>
      </c>
    </row>
    <row r="217" spans="1:27" s="64" customFormat="1" ht="9.5" customHeight="1" x14ac:dyDescent="0.25">
      <c r="A217" s="70" t="s">
        <v>61</v>
      </c>
      <c r="B217" s="70" t="s">
        <v>62</v>
      </c>
      <c r="C217" s="70" t="s">
        <v>94</v>
      </c>
      <c r="D217" s="75" t="s">
        <v>456</v>
      </c>
      <c r="E217" s="75" t="s">
        <v>457</v>
      </c>
      <c r="F217" s="116">
        <f t="shared" si="269"/>
        <v>0.5</v>
      </c>
      <c r="G217" s="125">
        <f t="shared" si="294"/>
        <v>0.5</v>
      </c>
      <c r="H217" s="125">
        <f t="shared" si="295"/>
        <v>0.7</v>
      </c>
      <c r="I217" s="125">
        <f t="shared" si="296"/>
        <v>0.19999999999999996</v>
      </c>
      <c r="J217" s="81">
        <v>0.1</v>
      </c>
      <c r="K217" s="72">
        <v>46227</v>
      </c>
      <c r="L217" s="74">
        <f t="shared" si="287"/>
        <v>46227</v>
      </c>
      <c r="M217" s="74">
        <v>46237</v>
      </c>
      <c r="N217" s="74">
        <f t="shared" si="288"/>
        <v>46269</v>
      </c>
      <c r="O217" s="74">
        <f t="shared" si="289"/>
        <v>46269</v>
      </c>
      <c r="P217" s="149">
        <v>46244</v>
      </c>
      <c r="Q217" s="74">
        <f t="shared" si="290"/>
        <v>46311</v>
      </c>
      <c r="R217" s="74">
        <f t="shared" si="291"/>
        <v>46311</v>
      </c>
      <c r="S217" s="74"/>
      <c r="T217" s="74">
        <f t="shared" si="292"/>
        <v>46325</v>
      </c>
      <c r="U217" s="74">
        <f t="shared" si="293"/>
        <v>46325</v>
      </c>
      <c r="V217" s="72"/>
      <c r="X217" s="184" t="str">
        <f t="shared" ca="1" si="283"/>
        <v>Completed</v>
      </c>
      <c r="Y217" s="184" t="str">
        <f t="shared" ca="1" si="284"/>
        <v>Completed</v>
      </c>
      <c r="Z217" s="184" t="str">
        <f t="shared" ca="1" si="285"/>
        <v/>
      </c>
      <c r="AA217" s="185" t="str">
        <f t="shared" ca="1" si="286"/>
        <v/>
      </c>
    </row>
    <row r="218" spans="1:27" s="64" customFormat="1" ht="9.5" customHeight="1" x14ac:dyDescent="0.25">
      <c r="A218" s="140" t="s">
        <v>61</v>
      </c>
      <c r="B218" s="140" t="s">
        <v>62</v>
      </c>
      <c r="C218" s="140" t="s">
        <v>94</v>
      </c>
      <c r="D218" s="141" t="s">
        <v>458</v>
      </c>
      <c r="E218" s="141" t="s">
        <v>506</v>
      </c>
      <c r="F218" s="142">
        <f t="shared" si="269"/>
        <v>0.5</v>
      </c>
      <c r="G218" s="147">
        <f t="shared" si="294"/>
        <v>0.5</v>
      </c>
      <c r="H218" s="147">
        <f t="shared" si="295"/>
        <v>1</v>
      </c>
      <c r="I218" s="147">
        <f t="shared" si="296"/>
        <v>0.5</v>
      </c>
      <c r="J218" s="143">
        <v>0.1</v>
      </c>
      <c r="K218" s="144">
        <v>46227</v>
      </c>
      <c r="L218" s="148">
        <f t="shared" si="287"/>
        <v>46227</v>
      </c>
      <c r="M218" s="189">
        <v>46234</v>
      </c>
      <c r="N218" s="148">
        <f t="shared" si="288"/>
        <v>46269</v>
      </c>
      <c r="O218" s="148">
        <f t="shared" si="289"/>
        <v>46269</v>
      </c>
      <c r="P218" s="189">
        <v>46234</v>
      </c>
      <c r="Q218" s="148">
        <f t="shared" si="290"/>
        <v>46311</v>
      </c>
      <c r="R218" s="148">
        <f t="shared" si="291"/>
        <v>46311</v>
      </c>
      <c r="S218" s="189">
        <v>46234</v>
      </c>
      <c r="T218" s="148">
        <f t="shared" si="292"/>
        <v>46325</v>
      </c>
      <c r="U218" s="148">
        <f t="shared" si="293"/>
        <v>46325</v>
      </c>
      <c r="V218" s="189">
        <v>46234</v>
      </c>
      <c r="X218" s="184" t="str">
        <f t="shared" ca="1" si="283"/>
        <v>Completed</v>
      </c>
      <c r="Y218" s="184" t="str">
        <f t="shared" ca="1" si="284"/>
        <v>Completed</v>
      </c>
      <c r="Z218" s="184" t="str">
        <f t="shared" ca="1" si="285"/>
        <v>Completed</v>
      </c>
      <c r="AA218" s="185" t="str">
        <f t="shared" ca="1" si="286"/>
        <v>Completed</v>
      </c>
    </row>
    <row r="219" spans="1:27" s="64" customFormat="1" ht="9.5" customHeight="1" x14ac:dyDescent="0.25">
      <c r="A219" s="140" t="s">
        <v>61</v>
      </c>
      <c r="B219" s="140" t="s">
        <v>62</v>
      </c>
      <c r="C219" s="140" t="s">
        <v>94</v>
      </c>
      <c r="D219" s="141" t="s">
        <v>459</v>
      </c>
      <c r="E219" s="141" t="s">
        <v>507</v>
      </c>
      <c r="F219" s="142">
        <f t="shared" si="269"/>
        <v>0.5</v>
      </c>
      <c r="G219" s="147">
        <f t="shared" si="294"/>
        <v>0.5</v>
      </c>
      <c r="H219" s="147">
        <f t="shared" si="295"/>
        <v>1</v>
      </c>
      <c r="I219" s="147">
        <f t="shared" si="296"/>
        <v>0.5</v>
      </c>
      <c r="J219" s="143">
        <v>0.1</v>
      </c>
      <c r="K219" s="144">
        <v>46227</v>
      </c>
      <c r="L219" s="148">
        <f t="shared" si="287"/>
        <v>46227</v>
      </c>
      <c r="M219" s="189">
        <v>46234</v>
      </c>
      <c r="N219" s="148">
        <f t="shared" si="288"/>
        <v>46269</v>
      </c>
      <c r="O219" s="148">
        <f t="shared" si="289"/>
        <v>46269</v>
      </c>
      <c r="P219" s="189">
        <v>46234</v>
      </c>
      <c r="Q219" s="148">
        <f t="shared" si="290"/>
        <v>46311</v>
      </c>
      <c r="R219" s="148">
        <f t="shared" si="291"/>
        <v>46311</v>
      </c>
      <c r="S219" s="189">
        <v>46234</v>
      </c>
      <c r="T219" s="148">
        <f t="shared" si="292"/>
        <v>46325</v>
      </c>
      <c r="U219" s="148">
        <f t="shared" si="293"/>
        <v>46325</v>
      </c>
      <c r="V219" s="189">
        <v>46234</v>
      </c>
      <c r="X219" s="184" t="str">
        <f t="shared" ca="1" si="283"/>
        <v>Completed</v>
      </c>
      <c r="Y219" s="184" t="str">
        <f t="shared" ca="1" si="284"/>
        <v>Completed</v>
      </c>
      <c r="Z219" s="184" t="str">
        <f t="shared" ca="1" si="285"/>
        <v>Completed</v>
      </c>
      <c r="AA219" s="185" t="str">
        <f t="shared" ca="1" si="286"/>
        <v>Completed</v>
      </c>
    </row>
    <row r="220" spans="1:27" s="64" customFormat="1" ht="9.5" customHeight="1" x14ac:dyDescent="0.25">
      <c r="A220" s="140" t="s">
        <v>61</v>
      </c>
      <c r="B220" s="140" t="s">
        <v>62</v>
      </c>
      <c r="C220" s="140" t="s">
        <v>94</v>
      </c>
      <c r="D220" s="141" t="s">
        <v>460</v>
      </c>
      <c r="E220" s="141" t="s">
        <v>508</v>
      </c>
      <c r="F220" s="142">
        <f t="shared" si="269"/>
        <v>0.5</v>
      </c>
      <c r="G220" s="142">
        <f t="shared" si="294"/>
        <v>0.5</v>
      </c>
      <c r="H220" s="142">
        <f t="shared" si="295"/>
        <v>1</v>
      </c>
      <c r="I220" s="142">
        <f t="shared" si="296"/>
        <v>0.5</v>
      </c>
      <c r="J220" s="143">
        <v>0.1</v>
      </c>
      <c r="K220" s="144">
        <v>46227</v>
      </c>
      <c r="L220" s="144">
        <f t="shared" si="287"/>
        <v>46227</v>
      </c>
      <c r="M220" s="189">
        <v>46234</v>
      </c>
      <c r="N220" s="144">
        <f t="shared" si="288"/>
        <v>46269</v>
      </c>
      <c r="O220" s="144">
        <f t="shared" si="289"/>
        <v>46269</v>
      </c>
      <c r="P220" s="189">
        <v>46234</v>
      </c>
      <c r="Q220" s="144">
        <f t="shared" si="290"/>
        <v>46311</v>
      </c>
      <c r="R220" s="144">
        <f t="shared" si="291"/>
        <v>46311</v>
      </c>
      <c r="S220" s="189">
        <v>46235</v>
      </c>
      <c r="T220" s="144">
        <f t="shared" si="292"/>
        <v>46325</v>
      </c>
      <c r="U220" s="144">
        <f t="shared" si="293"/>
        <v>46325</v>
      </c>
      <c r="V220" s="189">
        <v>46234</v>
      </c>
      <c r="X220" s="184" t="str">
        <f t="shared" ca="1" si="283"/>
        <v>Completed</v>
      </c>
      <c r="Y220" s="184" t="str">
        <f t="shared" ca="1" si="284"/>
        <v>Completed</v>
      </c>
      <c r="Z220" s="184" t="str">
        <f t="shared" ca="1" si="285"/>
        <v>Completed</v>
      </c>
      <c r="AA220" s="185" t="str">
        <f t="shared" ca="1" si="286"/>
        <v>Completed</v>
      </c>
    </row>
    <row r="221" spans="1:27" s="145" customFormat="1" ht="9.5" customHeight="1" x14ac:dyDescent="0.25">
      <c r="A221" s="140" t="s">
        <v>61</v>
      </c>
      <c r="B221" s="140" t="s">
        <v>62</v>
      </c>
      <c r="C221" s="140" t="s">
        <v>94</v>
      </c>
      <c r="D221" s="141" t="s">
        <v>461</v>
      </c>
      <c r="E221" s="141" t="s">
        <v>462</v>
      </c>
      <c r="F221" s="142">
        <f t="shared" si="269"/>
        <v>0.5</v>
      </c>
      <c r="G221" s="147">
        <f t="shared" si="294"/>
        <v>0.5</v>
      </c>
      <c r="H221" s="147">
        <f t="shared" si="295"/>
        <v>1</v>
      </c>
      <c r="I221" s="147">
        <f t="shared" si="296"/>
        <v>0.5</v>
      </c>
      <c r="J221" s="143">
        <v>0</v>
      </c>
      <c r="K221" s="144">
        <v>46227</v>
      </c>
      <c r="L221" s="148">
        <f t="shared" si="287"/>
        <v>46227</v>
      </c>
      <c r="M221" s="189">
        <v>46234</v>
      </c>
      <c r="N221" s="148">
        <f t="shared" si="288"/>
        <v>46269</v>
      </c>
      <c r="O221" s="148">
        <f t="shared" si="289"/>
        <v>46269</v>
      </c>
      <c r="P221" s="189">
        <v>46234</v>
      </c>
      <c r="Q221" s="148">
        <f t="shared" si="290"/>
        <v>46311</v>
      </c>
      <c r="R221" s="148">
        <f t="shared" si="291"/>
        <v>46311</v>
      </c>
      <c r="S221" s="189">
        <v>46236</v>
      </c>
      <c r="T221" s="148">
        <f t="shared" si="292"/>
        <v>46325</v>
      </c>
      <c r="U221" s="148">
        <f t="shared" si="293"/>
        <v>46325</v>
      </c>
      <c r="V221" s="189">
        <v>46234</v>
      </c>
      <c r="X221" s="184" t="str">
        <f t="shared" ca="1" si="283"/>
        <v>Completed</v>
      </c>
      <c r="Y221" s="184" t="str">
        <f t="shared" ca="1" si="284"/>
        <v>Completed</v>
      </c>
      <c r="Z221" s="184" t="str">
        <f t="shared" ca="1" si="285"/>
        <v>Completed</v>
      </c>
      <c r="AA221" s="185" t="str">
        <f t="shared" ca="1" si="286"/>
        <v>Completed</v>
      </c>
    </row>
    <row r="222" spans="1:27" s="64" customFormat="1" ht="9.5" customHeight="1" x14ac:dyDescent="0.25">
      <c r="A222" s="70" t="s">
        <v>61</v>
      </c>
      <c r="B222" s="70" t="s">
        <v>62</v>
      </c>
      <c r="C222" s="70" t="s">
        <v>94</v>
      </c>
      <c r="D222" s="75" t="s">
        <v>391</v>
      </c>
      <c r="E222" s="75" t="s">
        <v>209</v>
      </c>
      <c r="F222" s="116">
        <f t="shared" si="269"/>
        <v>0.5</v>
      </c>
      <c r="G222" s="116">
        <f t="shared" si="269"/>
        <v>0.5</v>
      </c>
      <c r="H222" s="116">
        <f t="shared" si="269"/>
        <v>0.5</v>
      </c>
      <c r="I222" s="116">
        <f t="shared" si="230"/>
        <v>0</v>
      </c>
      <c r="J222" s="81">
        <v>0.1</v>
      </c>
      <c r="K222" s="72">
        <v>46227</v>
      </c>
      <c r="L222" s="72">
        <f t="shared" si="231"/>
        <v>46227</v>
      </c>
      <c r="M222" s="72">
        <v>46185</v>
      </c>
      <c r="N222" s="72">
        <f t="shared" si="232"/>
        <v>46269</v>
      </c>
      <c r="O222" s="72">
        <f t="shared" si="233"/>
        <v>46269</v>
      </c>
      <c r="P222" s="72"/>
      <c r="Q222" s="72">
        <f t="shared" si="234"/>
        <v>46311</v>
      </c>
      <c r="R222" s="72">
        <f t="shared" si="235"/>
        <v>46311</v>
      </c>
      <c r="S222" s="72"/>
      <c r="T222" s="72">
        <f t="shared" si="236"/>
        <v>46325</v>
      </c>
      <c r="U222" s="72">
        <f t="shared" si="237"/>
        <v>46325</v>
      </c>
      <c r="V222" s="72"/>
      <c r="X222" s="184" t="str">
        <f t="shared" ca="1" si="283"/>
        <v>Completed</v>
      </c>
      <c r="Y222" s="184" t="str">
        <f t="shared" ca="1" si="284"/>
        <v/>
      </c>
      <c r="Z222" s="184" t="str">
        <f t="shared" ca="1" si="285"/>
        <v/>
      </c>
      <c r="AA222" s="185" t="str">
        <f t="shared" ca="1" si="286"/>
        <v/>
      </c>
    </row>
    <row r="223" spans="1:27" s="64" customFormat="1" ht="9.5" customHeight="1" x14ac:dyDescent="0.25">
      <c r="A223" s="70" t="s">
        <v>61</v>
      </c>
      <c r="B223" s="70" t="s">
        <v>62</v>
      </c>
      <c r="C223" s="70" t="s">
        <v>94</v>
      </c>
      <c r="D223" s="75" t="s">
        <v>392</v>
      </c>
      <c r="E223" s="75" t="s">
        <v>210</v>
      </c>
      <c r="F223" s="116">
        <f t="shared" si="269"/>
        <v>0.5</v>
      </c>
      <c r="G223" s="116">
        <f t="shared" si="269"/>
        <v>0.5</v>
      </c>
      <c r="H223" s="116">
        <f t="shared" si="269"/>
        <v>0.7</v>
      </c>
      <c r="I223" s="116">
        <f t="shared" si="230"/>
        <v>0.19999999999999996</v>
      </c>
      <c r="J223" s="81">
        <v>0.1</v>
      </c>
      <c r="K223" s="72">
        <v>46227</v>
      </c>
      <c r="L223" s="72">
        <f t="shared" si="231"/>
        <v>46227</v>
      </c>
      <c r="M223" s="72">
        <v>46185</v>
      </c>
      <c r="N223" s="72">
        <f t="shared" si="232"/>
        <v>46269</v>
      </c>
      <c r="O223" s="72">
        <f t="shared" si="233"/>
        <v>46269</v>
      </c>
      <c r="P223" s="72">
        <v>46192</v>
      </c>
      <c r="Q223" s="72">
        <f t="shared" si="234"/>
        <v>46311</v>
      </c>
      <c r="R223" s="72">
        <f t="shared" si="235"/>
        <v>46311</v>
      </c>
      <c r="S223" s="72"/>
      <c r="T223" s="72">
        <f t="shared" si="236"/>
        <v>46325</v>
      </c>
      <c r="U223" s="72">
        <f t="shared" si="237"/>
        <v>46325</v>
      </c>
      <c r="V223" s="72"/>
      <c r="X223" s="184" t="str">
        <f t="shared" ca="1" si="283"/>
        <v>Completed</v>
      </c>
      <c r="Y223" s="184" t="str">
        <f t="shared" ca="1" si="284"/>
        <v>Completed</v>
      </c>
      <c r="Z223" s="184" t="str">
        <f t="shared" ca="1" si="285"/>
        <v/>
      </c>
      <c r="AA223" s="185" t="str">
        <f t="shared" ca="1" si="286"/>
        <v/>
      </c>
    </row>
    <row r="224" spans="1:27" s="64" customFormat="1" ht="9.5" customHeight="1" x14ac:dyDescent="0.25">
      <c r="A224" s="70" t="s">
        <v>61</v>
      </c>
      <c r="B224" s="70" t="s">
        <v>62</v>
      </c>
      <c r="C224" s="70" t="s">
        <v>94</v>
      </c>
      <c r="D224" s="75" t="s">
        <v>393</v>
      </c>
      <c r="E224" s="75" t="s">
        <v>211</v>
      </c>
      <c r="F224" s="116">
        <f t="shared" si="269"/>
        <v>0.5</v>
      </c>
      <c r="G224" s="116">
        <f t="shared" si="269"/>
        <v>0.5</v>
      </c>
      <c r="H224" s="116">
        <f t="shared" si="269"/>
        <v>0.7</v>
      </c>
      <c r="I224" s="116">
        <f t="shared" si="230"/>
        <v>0.19999999999999996</v>
      </c>
      <c r="J224" s="81">
        <v>0.1</v>
      </c>
      <c r="K224" s="72">
        <v>46227</v>
      </c>
      <c r="L224" s="72">
        <f t="shared" si="231"/>
        <v>46227</v>
      </c>
      <c r="M224" s="72">
        <v>46185</v>
      </c>
      <c r="N224" s="72">
        <f t="shared" si="232"/>
        <v>46269</v>
      </c>
      <c r="O224" s="72">
        <f t="shared" si="233"/>
        <v>46269</v>
      </c>
      <c r="P224" s="72">
        <v>46192</v>
      </c>
      <c r="Q224" s="72">
        <f t="shared" si="234"/>
        <v>46311</v>
      </c>
      <c r="R224" s="72">
        <f t="shared" si="235"/>
        <v>46311</v>
      </c>
      <c r="S224" s="72"/>
      <c r="T224" s="72">
        <f t="shared" si="236"/>
        <v>46325</v>
      </c>
      <c r="U224" s="72">
        <f t="shared" si="237"/>
        <v>46325</v>
      </c>
      <c r="V224" s="72"/>
      <c r="X224" s="184" t="str">
        <f t="shared" ca="1" si="283"/>
        <v>Completed</v>
      </c>
      <c r="Y224" s="184" t="str">
        <f t="shared" ca="1" si="284"/>
        <v>Completed</v>
      </c>
      <c r="Z224" s="184" t="str">
        <f t="shared" ca="1" si="285"/>
        <v/>
      </c>
      <c r="AA224" s="185" t="str">
        <f t="shared" ca="1" si="286"/>
        <v/>
      </c>
    </row>
    <row r="225" spans="1:27" s="64" customFormat="1" ht="9.5" customHeight="1" x14ac:dyDescent="0.25">
      <c r="A225" s="70" t="s">
        <v>61</v>
      </c>
      <c r="B225" s="70" t="s">
        <v>62</v>
      </c>
      <c r="C225" s="70" t="s">
        <v>94</v>
      </c>
      <c r="D225" s="75" t="s">
        <v>394</v>
      </c>
      <c r="E225" s="75" t="s">
        <v>212</v>
      </c>
      <c r="F225" s="116">
        <f t="shared" si="269"/>
        <v>0.5</v>
      </c>
      <c r="G225" s="116">
        <f t="shared" si="269"/>
        <v>0.5</v>
      </c>
      <c r="H225" s="116">
        <f t="shared" si="269"/>
        <v>0.5</v>
      </c>
      <c r="I225" s="116">
        <f t="shared" si="230"/>
        <v>0</v>
      </c>
      <c r="J225" s="81">
        <v>0.1</v>
      </c>
      <c r="K225" s="72">
        <v>46227</v>
      </c>
      <c r="L225" s="72">
        <f t="shared" si="231"/>
        <v>46227</v>
      </c>
      <c r="M225" s="72">
        <v>46171</v>
      </c>
      <c r="N225" s="72">
        <f t="shared" si="232"/>
        <v>46269</v>
      </c>
      <c r="O225" s="72">
        <f t="shared" si="233"/>
        <v>46269</v>
      </c>
      <c r="P225" s="72"/>
      <c r="Q225" s="72">
        <f t="shared" si="234"/>
        <v>46311</v>
      </c>
      <c r="R225" s="72">
        <f t="shared" si="235"/>
        <v>46311</v>
      </c>
      <c r="S225" s="72"/>
      <c r="T225" s="72">
        <f t="shared" si="236"/>
        <v>46325</v>
      </c>
      <c r="U225" s="72">
        <f t="shared" si="237"/>
        <v>46325</v>
      </c>
      <c r="V225" s="72"/>
      <c r="X225" s="184" t="str">
        <f t="shared" ca="1" si="283"/>
        <v>Completed</v>
      </c>
      <c r="Y225" s="184" t="str">
        <f t="shared" ca="1" si="284"/>
        <v/>
      </c>
      <c r="Z225" s="184" t="str">
        <f t="shared" ca="1" si="285"/>
        <v/>
      </c>
      <c r="AA225" s="185" t="str">
        <f t="shared" ca="1" si="286"/>
        <v/>
      </c>
    </row>
    <row r="226" spans="1:27" s="64" customFormat="1" ht="9.5" customHeight="1" x14ac:dyDescent="0.25">
      <c r="A226" s="70" t="s">
        <v>61</v>
      </c>
      <c r="B226" s="70" t="s">
        <v>62</v>
      </c>
      <c r="C226" s="70" t="s">
        <v>94</v>
      </c>
      <c r="D226" s="75" t="s">
        <v>395</v>
      </c>
      <c r="E226" s="75" t="s">
        <v>213</v>
      </c>
      <c r="F226" s="116">
        <f t="shared" si="269"/>
        <v>0.5</v>
      </c>
      <c r="G226" s="116">
        <f t="shared" si="269"/>
        <v>0.5</v>
      </c>
      <c r="H226" s="116">
        <f t="shared" si="269"/>
        <v>0.5</v>
      </c>
      <c r="I226" s="116">
        <f t="shared" si="230"/>
        <v>0</v>
      </c>
      <c r="J226" s="81">
        <v>0.1</v>
      </c>
      <c r="K226" s="72">
        <v>46227</v>
      </c>
      <c r="L226" s="72">
        <f t="shared" si="231"/>
        <v>46227</v>
      </c>
      <c r="M226" s="72">
        <v>46171</v>
      </c>
      <c r="N226" s="72">
        <f t="shared" si="232"/>
        <v>46269</v>
      </c>
      <c r="O226" s="72">
        <f t="shared" si="233"/>
        <v>46269</v>
      </c>
      <c r="P226" s="72"/>
      <c r="Q226" s="72">
        <f t="shared" si="234"/>
        <v>46311</v>
      </c>
      <c r="R226" s="72">
        <f t="shared" si="235"/>
        <v>46311</v>
      </c>
      <c r="S226" s="72"/>
      <c r="T226" s="72">
        <f t="shared" si="236"/>
        <v>46325</v>
      </c>
      <c r="U226" s="72">
        <f t="shared" si="237"/>
        <v>46325</v>
      </c>
      <c r="V226" s="72"/>
      <c r="X226" s="184" t="str">
        <f t="shared" ca="1" si="283"/>
        <v>Completed</v>
      </c>
      <c r="Y226" s="184" t="str">
        <f t="shared" ca="1" si="284"/>
        <v/>
      </c>
      <c r="Z226" s="184" t="str">
        <f t="shared" ca="1" si="285"/>
        <v/>
      </c>
      <c r="AA226" s="185" t="str">
        <f t="shared" ca="1" si="286"/>
        <v/>
      </c>
    </row>
    <row r="227" spans="1:27" s="64" customFormat="1" ht="9.5" customHeight="1" x14ac:dyDescent="0.25">
      <c r="A227" s="70" t="s">
        <v>61</v>
      </c>
      <c r="B227" s="70" t="s">
        <v>62</v>
      </c>
      <c r="C227" s="70" t="s">
        <v>94</v>
      </c>
      <c r="D227" s="75" t="s">
        <v>396</v>
      </c>
      <c r="E227" s="75" t="s">
        <v>214</v>
      </c>
      <c r="F227" s="116">
        <f t="shared" si="269"/>
        <v>0.5</v>
      </c>
      <c r="G227" s="116">
        <f t="shared" si="269"/>
        <v>0.5</v>
      </c>
      <c r="H227" s="116">
        <f t="shared" si="269"/>
        <v>0.5</v>
      </c>
      <c r="I227" s="116">
        <f t="shared" si="230"/>
        <v>0</v>
      </c>
      <c r="J227" s="81">
        <v>0.1</v>
      </c>
      <c r="K227" s="72">
        <v>46227</v>
      </c>
      <c r="L227" s="72">
        <f t="shared" si="231"/>
        <v>46227</v>
      </c>
      <c r="M227" s="149">
        <v>46248</v>
      </c>
      <c r="N227" s="72">
        <f t="shared" si="232"/>
        <v>46269</v>
      </c>
      <c r="O227" s="72">
        <f t="shared" si="233"/>
        <v>46269</v>
      </c>
      <c r="P227" s="72"/>
      <c r="Q227" s="72">
        <f t="shared" si="234"/>
        <v>46311</v>
      </c>
      <c r="R227" s="72">
        <f t="shared" si="235"/>
        <v>46311</v>
      </c>
      <c r="S227" s="72"/>
      <c r="T227" s="72">
        <f t="shared" si="236"/>
        <v>46325</v>
      </c>
      <c r="U227" s="72">
        <f t="shared" si="237"/>
        <v>46325</v>
      </c>
      <c r="V227" s="72"/>
      <c r="X227" s="184" t="str">
        <f t="shared" ca="1" si="283"/>
        <v>Completed</v>
      </c>
      <c r="Y227" s="184" t="str">
        <f t="shared" ca="1" si="284"/>
        <v/>
      </c>
      <c r="Z227" s="184" t="str">
        <f t="shared" ca="1" si="285"/>
        <v/>
      </c>
      <c r="AA227" s="185" t="str">
        <f t="shared" ca="1" si="286"/>
        <v/>
      </c>
    </row>
    <row r="228" spans="1:27" s="64" customFormat="1" ht="9.5" customHeight="1" x14ac:dyDescent="0.25">
      <c r="A228" s="70" t="s">
        <v>61</v>
      </c>
      <c r="B228" s="70" t="s">
        <v>62</v>
      </c>
      <c r="C228" s="70" t="s">
        <v>94</v>
      </c>
      <c r="D228" s="75" t="s">
        <v>397</v>
      </c>
      <c r="E228" s="75" t="s">
        <v>215</v>
      </c>
      <c r="F228" s="116">
        <f t="shared" si="269"/>
        <v>0.5</v>
      </c>
      <c r="G228" s="116">
        <f t="shared" si="269"/>
        <v>0.5</v>
      </c>
      <c r="H228" s="116">
        <f t="shared" si="269"/>
        <v>0.5</v>
      </c>
      <c r="I228" s="116">
        <f t="shared" si="230"/>
        <v>0</v>
      </c>
      <c r="J228" s="81">
        <v>0.1</v>
      </c>
      <c r="K228" s="72">
        <v>46227</v>
      </c>
      <c r="L228" s="72">
        <f t="shared" si="231"/>
        <v>46227</v>
      </c>
      <c r="M228" s="149">
        <v>46248</v>
      </c>
      <c r="N228" s="72">
        <f t="shared" si="232"/>
        <v>46269</v>
      </c>
      <c r="O228" s="72">
        <f t="shared" si="233"/>
        <v>46269</v>
      </c>
      <c r="P228" s="72"/>
      <c r="Q228" s="72">
        <f t="shared" si="234"/>
        <v>46311</v>
      </c>
      <c r="R228" s="72">
        <f t="shared" si="235"/>
        <v>46311</v>
      </c>
      <c r="S228" s="72"/>
      <c r="T228" s="72">
        <f t="shared" si="236"/>
        <v>46325</v>
      </c>
      <c r="U228" s="72">
        <f t="shared" si="237"/>
        <v>46325</v>
      </c>
      <c r="V228" s="72"/>
      <c r="X228" s="184" t="str">
        <f t="shared" ca="1" si="283"/>
        <v>Completed</v>
      </c>
      <c r="Y228" s="184" t="str">
        <f t="shared" ca="1" si="284"/>
        <v/>
      </c>
      <c r="Z228" s="184" t="str">
        <f t="shared" ca="1" si="285"/>
        <v/>
      </c>
      <c r="AA228" s="185" t="str">
        <f t="shared" ca="1" si="286"/>
        <v/>
      </c>
    </row>
    <row r="229" spans="1:27" s="64" customFormat="1" ht="9.5" customHeight="1" x14ac:dyDescent="0.25">
      <c r="A229" s="70" t="s">
        <v>61</v>
      </c>
      <c r="B229" s="70" t="s">
        <v>62</v>
      </c>
      <c r="C229" s="70" t="s">
        <v>94</v>
      </c>
      <c r="D229" s="75" t="s">
        <v>398</v>
      </c>
      <c r="E229" s="75" t="s">
        <v>216</v>
      </c>
      <c r="F229" s="116">
        <f t="shared" si="269"/>
        <v>0.5</v>
      </c>
      <c r="G229" s="116">
        <f t="shared" si="269"/>
        <v>0.5</v>
      </c>
      <c r="H229" s="116">
        <f t="shared" si="269"/>
        <v>0.5</v>
      </c>
      <c r="I229" s="116">
        <f t="shared" si="230"/>
        <v>0</v>
      </c>
      <c r="J229" s="81">
        <v>0.1</v>
      </c>
      <c r="K229" s="72">
        <v>46227</v>
      </c>
      <c r="L229" s="72">
        <f t="shared" si="231"/>
        <v>46227</v>
      </c>
      <c r="M229" s="72">
        <v>46185</v>
      </c>
      <c r="N229" s="72">
        <f t="shared" si="232"/>
        <v>46269</v>
      </c>
      <c r="O229" s="72">
        <f t="shared" si="233"/>
        <v>46269</v>
      </c>
      <c r="P229" s="72"/>
      <c r="Q229" s="72">
        <f t="shared" si="234"/>
        <v>46311</v>
      </c>
      <c r="R229" s="72">
        <f t="shared" si="235"/>
        <v>46311</v>
      </c>
      <c r="S229" s="72"/>
      <c r="T229" s="72">
        <f t="shared" si="236"/>
        <v>46325</v>
      </c>
      <c r="U229" s="72">
        <f t="shared" si="237"/>
        <v>46325</v>
      </c>
      <c r="V229" s="72"/>
      <c r="X229" s="184" t="str">
        <f t="shared" ca="1" si="283"/>
        <v>Completed</v>
      </c>
      <c r="Y229" s="184" t="str">
        <f t="shared" ca="1" si="284"/>
        <v/>
      </c>
      <c r="Z229" s="184" t="str">
        <f t="shared" ca="1" si="285"/>
        <v/>
      </c>
      <c r="AA229" s="185" t="str">
        <f t="shared" ca="1" si="286"/>
        <v/>
      </c>
    </row>
    <row r="230" spans="1:27" s="64" customFormat="1" ht="9.5" customHeight="1" x14ac:dyDescent="0.25">
      <c r="A230" s="70" t="s">
        <v>61</v>
      </c>
      <c r="B230" s="70" t="s">
        <v>62</v>
      </c>
      <c r="C230" s="70" t="s">
        <v>94</v>
      </c>
      <c r="D230" s="75" t="s">
        <v>399</v>
      </c>
      <c r="E230" s="75" t="s">
        <v>217</v>
      </c>
      <c r="F230" s="116">
        <f t="shared" si="269"/>
        <v>0.5</v>
      </c>
      <c r="G230" s="116">
        <f t="shared" si="269"/>
        <v>0.5</v>
      </c>
      <c r="H230" s="116">
        <f t="shared" si="269"/>
        <v>0.7</v>
      </c>
      <c r="I230" s="116">
        <f t="shared" si="230"/>
        <v>0.19999999999999996</v>
      </c>
      <c r="J230" s="81">
        <v>0.1</v>
      </c>
      <c r="K230" s="72">
        <v>46227</v>
      </c>
      <c r="L230" s="72">
        <f t="shared" si="231"/>
        <v>46227</v>
      </c>
      <c r="M230" s="72">
        <v>46185</v>
      </c>
      <c r="N230" s="72">
        <f t="shared" si="232"/>
        <v>46269</v>
      </c>
      <c r="O230" s="72">
        <f t="shared" si="233"/>
        <v>46269</v>
      </c>
      <c r="P230" s="72">
        <v>46192</v>
      </c>
      <c r="Q230" s="72">
        <f t="shared" si="234"/>
        <v>46311</v>
      </c>
      <c r="R230" s="72">
        <f t="shared" si="235"/>
        <v>46311</v>
      </c>
      <c r="S230" s="74"/>
      <c r="T230" s="72">
        <f t="shared" si="236"/>
        <v>46325</v>
      </c>
      <c r="U230" s="72">
        <f t="shared" si="237"/>
        <v>46325</v>
      </c>
      <c r="V230" s="72"/>
      <c r="X230" s="184" t="str">
        <f t="shared" ca="1" si="283"/>
        <v>Completed</v>
      </c>
      <c r="Y230" s="184" t="str">
        <f t="shared" ca="1" si="284"/>
        <v>Completed</v>
      </c>
      <c r="Z230" s="184" t="str">
        <f t="shared" ca="1" si="285"/>
        <v/>
      </c>
      <c r="AA230" s="185" t="str">
        <f t="shared" ca="1" si="286"/>
        <v/>
      </c>
    </row>
    <row r="231" spans="1:27" s="64" customFormat="1" ht="9.5" customHeight="1" x14ac:dyDescent="0.25">
      <c r="A231" s="70" t="s">
        <v>61</v>
      </c>
      <c r="B231" s="70" t="s">
        <v>62</v>
      </c>
      <c r="C231" s="70" t="s">
        <v>94</v>
      </c>
      <c r="D231" s="75" t="s">
        <v>400</v>
      </c>
      <c r="E231" s="75" t="s">
        <v>218</v>
      </c>
      <c r="F231" s="116">
        <f t="shared" si="269"/>
        <v>0.5</v>
      </c>
      <c r="G231" s="116">
        <f t="shared" si="269"/>
        <v>0.5</v>
      </c>
      <c r="H231" s="116">
        <f t="shared" si="269"/>
        <v>0.5</v>
      </c>
      <c r="I231" s="116">
        <f t="shared" si="230"/>
        <v>0</v>
      </c>
      <c r="J231" s="81">
        <v>0.1</v>
      </c>
      <c r="K231" s="72">
        <v>46227</v>
      </c>
      <c r="L231" s="72">
        <f t="shared" si="231"/>
        <v>46227</v>
      </c>
      <c r="M231" s="72">
        <v>46171</v>
      </c>
      <c r="N231" s="72">
        <f t="shared" si="232"/>
        <v>46269</v>
      </c>
      <c r="O231" s="72">
        <f t="shared" si="233"/>
        <v>46269</v>
      </c>
      <c r="P231" s="72"/>
      <c r="Q231" s="72">
        <f t="shared" si="234"/>
        <v>46311</v>
      </c>
      <c r="R231" s="72">
        <f t="shared" si="235"/>
        <v>46311</v>
      </c>
      <c r="S231" s="74"/>
      <c r="T231" s="72">
        <f t="shared" si="236"/>
        <v>46325</v>
      </c>
      <c r="U231" s="72">
        <f t="shared" si="237"/>
        <v>46325</v>
      </c>
      <c r="V231" s="72"/>
      <c r="X231" s="184" t="str">
        <f t="shared" ca="1" si="283"/>
        <v>Completed</v>
      </c>
      <c r="Y231" s="184" t="str">
        <f t="shared" ca="1" si="284"/>
        <v/>
      </c>
      <c r="Z231" s="184" t="str">
        <f t="shared" ca="1" si="285"/>
        <v/>
      </c>
      <c r="AA231" s="185" t="str">
        <f t="shared" ca="1" si="286"/>
        <v/>
      </c>
    </row>
    <row r="232" spans="1:27" s="64" customFormat="1" ht="9.5" customHeight="1" x14ac:dyDescent="0.25">
      <c r="A232" s="70" t="s">
        <v>61</v>
      </c>
      <c r="B232" s="70" t="s">
        <v>62</v>
      </c>
      <c r="C232" s="70" t="s">
        <v>94</v>
      </c>
      <c r="D232" s="75" t="s">
        <v>401</v>
      </c>
      <c r="E232" s="75" t="s">
        <v>219</v>
      </c>
      <c r="F232" s="116">
        <f t="shared" si="269"/>
        <v>0.5</v>
      </c>
      <c r="G232" s="116">
        <f t="shared" si="269"/>
        <v>0.5</v>
      </c>
      <c r="H232" s="116">
        <f t="shared" si="269"/>
        <v>0.5</v>
      </c>
      <c r="I232" s="116">
        <f t="shared" si="230"/>
        <v>0</v>
      </c>
      <c r="J232" s="81">
        <v>0.1</v>
      </c>
      <c r="K232" s="72">
        <v>46227</v>
      </c>
      <c r="L232" s="72">
        <f t="shared" si="231"/>
        <v>46227</v>
      </c>
      <c r="M232" s="72">
        <v>46171</v>
      </c>
      <c r="N232" s="72">
        <f t="shared" si="232"/>
        <v>46269</v>
      </c>
      <c r="O232" s="72">
        <f t="shared" si="233"/>
        <v>46269</v>
      </c>
      <c r="P232" s="72"/>
      <c r="Q232" s="72">
        <f t="shared" si="234"/>
        <v>46311</v>
      </c>
      <c r="R232" s="72">
        <f t="shared" si="235"/>
        <v>46311</v>
      </c>
      <c r="S232" s="74"/>
      <c r="T232" s="72">
        <f t="shared" si="236"/>
        <v>46325</v>
      </c>
      <c r="U232" s="72">
        <f t="shared" si="237"/>
        <v>46325</v>
      </c>
      <c r="V232" s="72"/>
      <c r="X232" s="184" t="str">
        <f t="shared" ca="1" si="283"/>
        <v>Completed</v>
      </c>
      <c r="Y232" s="184" t="str">
        <f t="shared" ca="1" si="284"/>
        <v/>
      </c>
      <c r="Z232" s="184" t="str">
        <f t="shared" ca="1" si="285"/>
        <v/>
      </c>
      <c r="AA232" s="185" t="str">
        <f t="shared" ca="1" si="286"/>
        <v/>
      </c>
    </row>
    <row r="233" spans="1:27" s="64" customFormat="1" ht="9.5" customHeight="1" x14ac:dyDescent="0.25">
      <c r="A233" s="70" t="s">
        <v>61</v>
      </c>
      <c r="B233" s="70" t="s">
        <v>62</v>
      </c>
      <c r="C233" s="70" t="s">
        <v>94</v>
      </c>
      <c r="D233" s="75" t="s">
        <v>402</v>
      </c>
      <c r="E233" s="75" t="s">
        <v>220</v>
      </c>
      <c r="F233" s="116">
        <f t="shared" si="269"/>
        <v>0.5</v>
      </c>
      <c r="G233" s="116">
        <f t="shared" si="269"/>
        <v>0.5</v>
      </c>
      <c r="H233" s="116">
        <f t="shared" si="269"/>
        <v>0.5</v>
      </c>
      <c r="I233" s="116">
        <f t="shared" si="230"/>
        <v>0</v>
      </c>
      <c r="J233" s="81">
        <v>0.1</v>
      </c>
      <c r="K233" s="72">
        <v>46227</v>
      </c>
      <c r="L233" s="72">
        <f t="shared" si="231"/>
        <v>46227</v>
      </c>
      <c r="M233" s="72">
        <v>46171</v>
      </c>
      <c r="N233" s="72">
        <f t="shared" si="232"/>
        <v>46269</v>
      </c>
      <c r="O233" s="72">
        <f t="shared" si="233"/>
        <v>46269</v>
      </c>
      <c r="P233" s="72"/>
      <c r="Q233" s="72">
        <f t="shared" si="234"/>
        <v>46311</v>
      </c>
      <c r="R233" s="72">
        <f t="shared" si="235"/>
        <v>46311</v>
      </c>
      <c r="S233" s="74"/>
      <c r="T233" s="72">
        <f t="shared" si="236"/>
        <v>46325</v>
      </c>
      <c r="U233" s="72">
        <f t="shared" si="237"/>
        <v>46325</v>
      </c>
      <c r="V233" s="72"/>
      <c r="X233" s="184" t="str">
        <f t="shared" ca="1" si="283"/>
        <v>Completed</v>
      </c>
      <c r="Y233" s="184" t="str">
        <f t="shared" ca="1" si="284"/>
        <v/>
      </c>
      <c r="Z233" s="184" t="str">
        <f t="shared" ca="1" si="285"/>
        <v/>
      </c>
      <c r="AA233" s="185" t="str">
        <f t="shared" ca="1" si="286"/>
        <v/>
      </c>
    </row>
    <row r="234" spans="1:27" s="64" customFormat="1" ht="9.5" customHeight="1" x14ac:dyDescent="0.25">
      <c r="A234" s="70" t="s">
        <v>61</v>
      </c>
      <c r="B234" s="70" t="s">
        <v>62</v>
      </c>
      <c r="C234" s="70" t="s">
        <v>94</v>
      </c>
      <c r="D234" s="75" t="s">
        <v>403</v>
      </c>
      <c r="E234" s="75" t="s">
        <v>221</v>
      </c>
      <c r="F234" s="116">
        <f t="shared" si="269"/>
        <v>0.5</v>
      </c>
      <c r="G234" s="116">
        <f t="shared" si="269"/>
        <v>0.5</v>
      </c>
      <c r="H234" s="116">
        <f t="shared" si="269"/>
        <v>0.5</v>
      </c>
      <c r="I234" s="116">
        <f t="shared" si="230"/>
        <v>0</v>
      </c>
      <c r="J234" s="81">
        <v>0.1</v>
      </c>
      <c r="K234" s="72">
        <v>46227</v>
      </c>
      <c r="L234" s="72">
        <f t="shared" si="231"/>
        <v>46227</v>
      </c>
      <c r="M234" s="72">
        <v>46171</v>
      </c>
      <c r="N234" s="72">
        <f t="shared" si="232"/>
        <v>46269</v>
      </c>
      <c r="O234" s="72">
        <f t="shared" si="233"/>
        <v>46269</v>
      </c>
      <c r="P234" s="72"/>
      <c r="Q234" s="72">
        <f t="shared" si="234"/>
        <v>46311</v>
      </c>
      <c r="R234" s="72">
        <f t="shared" si="235"/>
        <v>46311</v>
      </c>
      <c r="S234" s="74"/>
      <c r="T234" s="72">
        <f t="shared" si="236"/>
        <v>46325</v>
      </c>
      <c r="U234" s="72">
        <f t="shared" si="237"/>
        <v>46325</v>
      </c>
      <c r="V234" s="72"/>
      <c r="X234" s="184" t="str">
        <f t="shared" ca="1" si="283"/>
        <v>Completed</v>
      </c>
      <c r="Y234" s="184" t="str">
        <f t="shared" ca="1" si="284"/>
        <v/>
      </c>
      <c r="Z234" s="184" t="str">
        <f t="shared" ca="1" si="285"/>
        <v/>
      </c>
      <c r="AA234" s="185" t="str">
        <f t="shared" ca="1" si="286"/>
        <v/>
      </c>
    </row>
    <row r="235" spans="1:27" s="64" customFormat="1" ht="9.5" customHeight="1" x14ac:dyDescent="0.25">
      <c r="A235" s="70" t="s">
        <v>61</v>
      </c>
      <c r="B235" s="70" t="s">
        <v>62</v>
      </c>
      <c r="C235" s="70" t="s">
        <v>94</v>
      </c>
      <c r="D235" s="75" t="s">
        <v>404</v>
      </c>
      <c r="E235" s="75" t="s">
        <v>222</v>
      </c>
      <c r="F235" s="116">
        <f t="shared" si="269"/>
        <v>0.7</v>
      </c>
      <c r="G235" s="116">
        <f t="shared" si="269"/>
        <v>0.7</v>
      </c>
      <c r="H235" s="116">
        <f t="shared" si="269"/>
        <v>0.5</v>
      </c>
      <c r="I235" s="116">
        <f t="shared" si="230"/>
        <v>-0.19999999999999996</v>
      </c>
      <c r="J235" s="81">
        <v>0.1</v>
      </c>
      <c r="K235" s="72">
        <v>46185</v>
      </c>
      <c r="L235" s="72">
        <f t="shared" si="231"/>
        <v>46185</v>
      </c>
      <c r="M235" s="72">
        <v>46185</v>
      </c>
      <c r="N235" s="72">
        <f t="shared" si="232"/>
        <v>46227</v>
      </c>
      <c r="O235" s="72">
        <f t="shared" si="233"/>
        <v>46227</v>
      </c>
      <c r="P235" s="72"/>
      <c r="Q235" s="72">
        <f t="shared" si="234"/>
        <v>46269</v>
      </c>
      <c r="R235" s="72">
        <f t="shared" si="235"/>
        <v>46269</v>
      </c>
      <c r="S235" s="74"/>
      <c r="T235" s="72">
        <f t="shared" si="236"/>
        <v>46283</v>
      </c>
      <c r="U235" s="72">
        <f t="shared" si="237"/>
        <v>46283</v>
      </c>
      <c r="V235" s="107"/>
      <c r="X235" s="184" t="str">
        <f t="shared" ca="1" si="283"/>
        <v>Completed</v>
      </c>
      <c r="Y235" s="184" t="str">
        <f t="shared" ca="1" si="284"/>
        <v>Overdue</v>
      </c>
      <c r="Z235" s="184" t="str">
        <f t="shared" ca="1" si="285"/>
        <v/>
      </c>
      <c r="AA235" s="185" t="str">
        <f t="shared" ca="1" si="286"/>
        <v/>
      </c>
    </row>
    <row r="236" spans="1:27" s="64" customFormat="1" ht="9.5" customHeight="1" x14ac:dyDescent="0.25">
      <c r="A236" s="70" t="s">
        <v>61</v>
      </c>
      <c r="B236" s="70" t="s">
        <v>62</v>
      </c>
      <c r="C236" s="80" t="s">
        <v>94</v>
      </c>
      <c r="D236" s="124" t="s">
        <v>405</v>
      </c>
      <c r="E236" s="124" t="s">
        <v>223</v>
      </c>
      <c r="F236" s="125">
        <f t="shared" ref="F236" si="297">(COUNTIFS(K236,"&lt;="&amp;$D$1)*50%)+(COUNTIFS(N236,"&lt;="&amp;$D$1)*20%)+(COUNTIFS(Q236,"&lt;="&amp;$D$1)*10%)+(COUNTIFS(T236,"&lt;="&amp;$D$1)*20%)</f>
        <v>0.7</v>
      </c>
      <c r="G236" s="125">
        <f t="shared" ref="G236" si="298">(COUNTIFS(L236,"&lt;="&amp;$D$1)*50%)+(COUNTIFS(O236,"&lt;="&amp;$D$1)*20%)+(COUNTIFS(R236,"&lt;="&amp;$D$1)*10%)+(COUNTIFS(U236,"&lt;="&amp;$D$1)*20%)</f>
        <v>0.7</v>
      </c>
      <c r="H236" s="125">
        <f t="shared" ref="H236" si="299">(COUNTIFS(M236,"&lt;="&amp;$D$1)*50%)+(COUNTIFS(P236,"&lt;="&amp;$D$1)*20%)+(COUNTIFS(S236,"&lt;="&amp;$D$1)*10%)+(COUNTIFS(V236,"&lt;="&amp;$D$1)*20%)</f>
        <v>0.5</v>
      </c>
      <c r="I236" s="125">
        <f t="shared" ref="I236" si="300">H236-F236</f>
        <v>-0.19999999999999996</v>
      </c>
      <c r="J236" s="81">
        <v>0.1</v>
      </c>
      <c r="K236" s="74">
        <v>46185</v>
      </c>
      <c r="L236" s="74">
        <f t="shared" si="231"/>
        <v>46185</v>
      </c>
      <c r="M236" s="72">
        <v>46185</v>
      </c>
      <c r="N236" s="74">
        <f t="shared" si="232"/>
        <v>46227</v>
      </c>
      <c r="O236" s="74">
        <f t="shared" si="233"/>
        <v>46227</v>
      </c>
      <c r="P236" s="74"/>
      <c r="Q236" s="74">
        <f t="shared" si="234"/>
        <v>46269</v>
      </c>
      <c r="R236" s="74">
        <f t="shared" si="235"/>
        <v>46269</v>
      </c>
      <c r="S236" s="74"/>
      <c r="T236" s="74">
        <f t="shared" si="236"/>
        <v>46283</v>
      </c>
      <c r="U236" s="74">
        <f t="shared" si="237"/>
        <v>46283</v>
      </c>
      <c r="V236" s="74"/>
      <c r="X236" s="184" t="str">
        <f t="shared" ca="1" si="283"/>
        <v>Completed</v>
      </c>
      <c r="Y236" s="184" t="str">
        <f t="shared" ca="1" si="284"/>
        <v>Overdue</v>
      </c>
      <c r="Z236" s="184" t="str">
        <f t="shared" ca="1" si="285"/>
        <v/>
      </c>
      <c r="AA236" s="185" t="str">
        <f t="shared" ca="1" si="286"/>
        <v/>
      </c>
    </row>
    <row r="237" spans="1:27" s="64" customFormat="1" ht="9.5" customHeight="1" x14ac:dyDescent="0.25">
      <c r="A237" s="70" t="s">
        <v>61</v>
      </c>
      <c r="B237" s="70" t="s">
        <v>62</v>
      </c>
      <c r="C237" s="70" t="s">
        <v>94</v>
      </c>
      <c r="D237" s="124" t="s">
        <v>467</v>
      </c>
      <c r="E237" s="124" t="s">
        <v>468</v>
      </c>
      <c r="F237" s="125">
        <f t="shared" ref="F237" si="301">(COUNTIFS(K237,"&lt;="&amp;$D$1)*50%)+(COUNTIFS(N237,"&lt;="&amp;$D$1)*20%)+(COUNTIFS(Q237,"&lt;="&amp;$D$1)*10%)+(COUNTIFS(T237,"&lt;="&amp;$D$1)*20%)</f>
        <v>0.7</v>
      </c>
      <c r="G237" s="125">
        <f t="shared" ref="G237" si="302">(COUNTIFS(L237,"&lt;="&amp;$D$1)*50%)+(COUNTIFS(O237,"&lt;="&amp;$D$1)*20%)+(COUNTIFS(R237,"&lt;="&amp;$D$1)*10%)+(COUNTIFS(U237,"&lt;="&amp;$D$1)*20%)</f>
        <v>0.7</v>
      </c>
      <c r="H237" s="125">
        <f t="shared" ref="H237" si="303">(COUNTIFS(M237,"&lt;="&amp;$D$1)*50%)+(COUNTIFS(P237,"&lt;="&amp;$D$1)*20%)+(COUNTIFS(S237,"&lt;="&amp;$D$1)*10%)+(COUNTIFS(V237,"&lt;="&amp;$D$1)*20%)</f>
        <v>0.5</v>
      </c>
      <c r="I237" s="125">
        <f t="shared" ref="I237" si="304">H237-F237</f>
        <v>-0.19999999999999996</v>
      </c>
      <c r="J237" s="81">
        <v>0.1</v>
      </c>
      <c r="K237" s="74">
        <v>46185</v>
      </c>
      <c r="L237" s="74">
        <f t="shared" ref="L237" si="305">K237</f>
        <v>46185</v>
      </c>
      <c r="M237" s="72">
        <v>46185</v>
      </c>
      <c r="N237" s="74">
        <f t="shared" ref="N237" si="306">K237+42</f>
        <v>46227</v>
      </c>
      <c r="O237" s="74">
        <f t="shared" ref="O237" si="307">N237</f>
        <v>46227</v>
      </c>
      <c r="P237" s="74"/>
      <c r="Q237" s="74">
        <f t="shared" ref="Q237" si="308">N237+42</f>
        <v>46269</v>
      </c>
      <c r="R237" s="74">
        <f t="shared" ref="R237" si="309">Q237</f>
        <v>46269</v>
      </c>
      <c r="S237" s="74"/>
      <c r="T237" s="74">
        <f t="shared" ref="T237" si="310">Q237+14</f>
        <v>46283</v>
      </c>
      <c r="U237" s="74">
        <f t="shared" ref="U237" si="311">T237</f>
        <v>46283</v>
      </c>
      <c r="V237" s="74"/>
      <c r="X237" s="184" t="str">
        <f t="shared" ca="1" si="283"/>
        <v>Completed</v>
      </c>
      <c r="Y237" s="184" t="str">
        <f t="shared" ca="1" si="284"/>
        <v>Overdue</v>
      </c>
      <c r="Z237" s="184" t="str">
        <f t="shared" ca="1" si="285"/>
        <v/>
      </c>
      <c r="AA237" s="185" t="str">
        <f t="shared" ca="1" si="286"/>
        <v/>
      </c>
    </row>
    <row r="238" spans="1:27" s="64" customFormat="1" ht="10.5" customHeight="1" x14ac:dyDescent="0.25">
      <c r="A238" s="70" t="s">
        <v>61</v>
      </c>
      <c r="B238" s="70" t="s">
        <v>58</v>
      </c>
      <c r="C238" s="70" t="s">
        <v>94</v>
      </c>
      <c r="D238" s="75" t="s">
        <v>240</v>
      </c>
      <c r="E238" s="75" t="s">
        <v>59</v>
      </c>
      <c r="F238" s="116">
        <f t="shared" ref="F238:H241" si="312">(COUNTIFS(K238,"&lt;="&amp;$D$1)*50%)+(COUNTIFS(N238,"&lt;="&amp;$D$1)*20%)+(COUNTIFS(Q238,"&lt;="&amp;$D$1)*10%)+(COUNTIFS(T238,"&lt;="&amp;$D$1)*20%)</f>
        <v>0</v>
      </c>
      <c r="G238" s="116">
        <f t="shared" si="312"/>
        <v>0</v>
      </c>
      <c r="H238" s="116">
        <f t="shared" si="312"/>
        <v>0</v>
      </c>
      <c r="I238" s="116">
        <f t="shared" ref="I238:I240" si="313">H238-F238</f>
        <v>0</v>
      </c>
      <c r="J238" s="89">
        <v>1.5</v>
      </c>
      <c r="K238" s="72"/>
      <c r="L238" s="72"/>
      <c r="M238" s="76"/>
      <c r="N238" s="72"/>
      <c r="O238" s="72"/>
      <c r="P238" s="76"/>
      <c r="Q238" s="72"/>
      <c r="R238" s="72"/>
      <c r="S238" s="76"/>
      <c r="T238" s="72"/>
      <c r="U238" s="72"/>
      <c r="V238" s="72"/>
      <c r="X238" s="184" t="str">
        <f ca="1">IF(OR(M240&lt;&gt;""),"Completed",
IF(L240="","",IF(L240&lt;TODAY(),"Overdue",
IF(AND(L240&gt;=TODAY()-WEEKDAY(TODAY(),2)+1,L240&lt;=TODAY()-WEEKDAY(TODAY(),2)+7),"Follow-This Week",
IF(AND(L240&gt;=TODAY()-WEEKDAY(TODAY(),2)+8,L240&lt;=TODAY()-WEEKDAY(TODAY(),2)+14),"Follow-Next Week","")))))</f>
        <v/>
      </c>
      <c r="Y238" s="184" t="str">
        <f ca="1">IF(OR(P240&lt;&gt;""),"Completed",IF(O240="","",
IF(O240&lt;TODAY(),"Overdue",
IF(AND(O240&gt;=TODAY()-WEEKDAY(TODAY(),2)+1,O240&lt;=TODAY()-WEEKDAY(TODAY(),2)+7),"Follow-This Week",
IF(AND(O240&gt;=TODAY()-WEEKDAY(TODAY(),2)+8,O240&lt;=TODAY()-WEEKDAY(TODAY(),2)+14),"Follow-Next Week","")))))</f>
        <v/>
      </c>
      <c r="Z238" s="184" t="str">
        <f ca="1">IF(OR(S240&lt;&gt;""),"Completed",IF(R240="","",
IF(R240&lt;TODAY(),"Overdue",
IF(AND(R240&gt;=TODAY()-WEEKDAY(TODAY(),2)+1,R240&lt;=TODAY()-WEEKDAY(TODAY(),2)+7),"Follow-This Week",
IF(AND(R240&gt;=TODAY()-WEEKDAY(TODAY(),2)+8,R240&lt;=TODAY()-WEEKDAY(TODAY(),2)+14),"Follow-Next Week","")))))</f>
        <v/>
      </c>
      <c r="AA238" s="185" t="str">
        <f ca="1">IF(OR(V240&lt;&gt;""),"Completed",IF(U240="","",
IF(U240&lt;TODAY(),"Overdue",
IF(AND(U240&gt;=TODAY()-WEEKDAY(TODAY(),2)+1,U240&lt;=TODAY()-WEEKDAY(TODAY(),2)+7),"Follow-This Week",
IF(AND(U240&gt;=TODAY()-WEEKDAY(TODAY(),2)+8,U240&lt;=TODAY()-WEEKDAY(TODAY(),2)+14),"Follow-Next Week","")))))</f>
        <v/>
      </c>
    </row>
    <row r="239" spans="1:27" s="64" customFormat="1" ht="10.5" customHeight="1" x14ac:dyDescent="0.25">
      <c r="A239" s="70" t="s">
        <v>61</v>
      </c>
      <c r="B239" s="70" t="s">
        <v>58</v>
      </c>
      <c r="C239" s="80" t="s">
        <v>94</v>
      </c>
      <c r="D239" s="75" t="s">
        <v>241</v>
      </c>
      <c r="E239" s="75" t="s">
        <v>59</v>
      </c>
      <c r="F239" s="116">
        <f t="shared" si="312"/>
        <v>0</v>
      </c>
      <c r="G239" s="116">
        <f t="shared" si="312"/>
        <v>0</v>
      </c>
      <c r="H239" s="116">
        <f t="shared" si="312"/>
        <v>0</v>
      </c>
      <c r="I239" s="116">
        <f t="shared" si="313"/>
        <v>0</v>
      </c>
      <c r="J239" s="89">
        <v>1.5</v>
      </c>
      <c r="K239" s="72"/>
      <c r="L239" s="72"/>
      <c r="M239" s="76"/>
      <c r="N239" s="72"/>
      <c r="O239" s="72"/>
      <c r="P239" s="76"/>
      <c r="Q239" s="72"/>
      <c r="R239" s="72"/>
      <c r="S239" s="76"/>
      <c r="T239" s="72"/>
      <c r="U239" s="72"/>
      <c r="V239" s="72"/>
      <c r="X239" s="184" t="str">
        <f ca="1">IF(OR(M241&lt;&gt;""),"Completed",
IF(L241="","",IF(L241&lt;TODAY(),"Overdue",
IF(AND(L241&gt;=TODAY()-WEEKDAY(TODAY(),2)+1,L241&lt;=TODAY()-WEEKDAY(TODAY(),2)+7),"Follow-This Week",
IF(AND(L241&gt;=TODAY()-WEEKDAY(TODAY(),2)+8,L241&lt;=TODAY()-WEEKDAY(TODAY(),2)+14),"Follow-Next Week","")))))</f>
        <v/>
      </c>
      <c r="Y239" s="184" t="str">
        <f ca="1">IF(OR(P241&lt;&gt;""),"Completed",IF(O241="","",
IF(O241&lt;TODAY(),"Overdue",
IF(AND(O241&gt;=TODAY()-WEEKDAY(TODAY(),2)+1,O241&lt;=TODAY()-WEEKDAY(TODAY(),2)+7),"Follow-This Week",
IF(AND(O241&gt;=TODAY()-WEEKDAY(TODAY(),2)+8,O241&lt;=TODAY()-WEEKDAY(TODAY(),2)+14),"Follow-Next Week","")))))</f>
        <v/>
      </c>
      <c r="Z239" s="184" t="str">
        <f ca="1">IF(OR(S241&lt;&gt;""),"Completed",IF(R241="","",
IF(R241&lt;TODAY(),"Overdue",
IF(AND(R241&gt;=TODAY()-WEEKDAY(TODAY(),2)+1,R241&lt;=TODAY()-WEEKDAY(TODAY(),2)+7),"Follow-This Week",
IF(AND(R241&gt;=TODAY()-WEEKDAY(TODAY(),2)+8,R241&lt;=TODAY()-WEEKDAY(TODAY(),2)+14),"Follow-Next Week","")))))</f>
        <v/>
      </c>
      <c r="AA239" s="185" t="str">
        <f ca="1">IF(OR(V241&lt;&gt;""),"Completed",IF(U241="","",
IF(U241&lt;TODAY(),"Overdue",
IF(AND(U241&gt;=TODAY()-WEEKDAY(TODAY(),2)+1,U241&lt;=TODAY()-WEEKDAY(TODAY(),2)+7),"Follow-This Week",
IF(AND(U241&gt;=TODAY()-WEEKDAY(TODAY(),2)+8,U241&lt;=TODAY()-WEEKDAY(TODAY(),2)+14),"Follow-Next Week","")))))</f>
        <v/>
      </c>
    </row>
    <row r="240" spans="1:27" s="64" customFormat="1" ht="10.5" customHeight="1" x14ac:dyDescent="0.25">
      <c r="A240" s="70" t="s">
        <v>61</v>
      </c>
      <c r="B240" s="70" t="s">
        <v>58</v>
      </c>
      <c r="C240" s="70" t="s">
        <v>94</v>
      </c>
      <c r="D240" s="75" t="s">
        <v>242</v>
      </c>
      <c r="E240" s="75" t="s">
        <v>59</v>
      </c>
      <c r="F240" s="116">
        <f t="shared" si="312"/>
        <v>0</v>
      </c>
      <c r="G240" s="116">
        <f t="shared" si="312"/>
        <v>0</v>
      </c>
      <c r="H240" s="116">
        <f t="shared" si="312"/>
        <v>0</v>
      </c>
      <c r="I240" s="116">
        <f t="shared" si="313"/>
        <v>0</v>
      </c>
      <c r="J240" s="89">
        <v>1.5</v>
      </c>
      <c r="K240" s="72"/>
      <c r="L240" s="72"/>
      <c r="M240" s="76"/>
      <c r="N240" s="72"/>
      <c r="O240" s="72"/>
      <c r="P240" s="76"/>
      <c r="Q240" s="72"/>
      <c r="R240" s="72"/>
      <c r="S240" s="76"/>
      <c r="T240" s="72"/>
      <c r="U240" s="72"/>
      <c r="V240" s="72"/>
      <c r="X240" s="184" t="str">
        <f ca="1">IF(OR(M242&lt;&gt;""),"Completed",
IF(L242="","",IF(L242&lt;TODAY(),"Overdue",
IF(AND(L242&gt;=TODAY()-WEEKDAY(TODAY(),2)+1,L242&lt;=TODAY()-WEEKDAY(TODAY(),2)+7),"Follow-This Week",
IF(AND(L242&gt;=TODAY()-WEEKDAY(TODAY(),2)+8,L242&lt;=TODAY()-WEEKDAY(TODAY(),2)+14),"Follow-Next Week","")))))</f>
        <v/>
      </c>
      <c r="Y240" s="184" t="str">
        <f ca="1">IF(OR(P242&lt;&gt;""),"Completed",IF(O242="","",
IF(O242&lt;TODAY(),"Overdue",
IF(AND(O242&gt;=TODAY()-WEEKDAY(TODAY(),2)+1,O242&lt;=TODAY()-WEEKDAY(TODAY(),2)+7),"Follow-This Week",
IF(AND(O242&gt;=TODAY()-WEEKDAY(TODAY(),2)+8,O242&lt;=TODAY()-WEEKDAY(TODAY(),2)+14),"Follow-Next Week","")))))</f>
        <v/>
      </c>
      <c r="Z240" s="184" t="str">
        <f ca="1">IF(OR(S242&lt;&gt;""),"Completed",IF(R242="","",
IF(R242&lt;TODAY(),"Overdue",
IF(AND(R242&gt;=TODAY()-WEEKDAY(TODAY(),2)+1,R242&lt;=TODAY()-WEEKDAY(TODAY(),2)+7),"Follow-This Week",
IF(AND(R242&gt;=TODAY()-WEEKDAY(TODAY(),2)+8,R242&lt;=TODAY()-WEEKDAY(TODAY(),2)+14),"Follow-Next Week","")))))</f>
        <v/>
      </c>
      <c r="AA240" s="185" t="str">
        <f ca="1">IF(OR(V242&lt;&gt;""),"Completed",IF(U242="","",
IF(U242&lt;TODAY(),"Overdue",
IF(AND(U242&gt;=TODAY()-WEEKDAY(TODAY(),2)+1,U242&lt;=TODAY()-WEEKDAY(TODAY(),2)+7),"Follow-This Week",
IF(AND(U242&gt;=TODAY()-WEEKDAY(TODAY(),2)+8,U242&lt;=TODAY()-WEEKDAY(TODAY(),2)+14),"Follow-Next Week","")))))</f>
        <v/>
      </c>
    </row>
    <row r="241" spans="1:27" s="64" customFormat="1" ht="10.5" customHeight="1" thickBot="1" x14ac:dyDescent="0.3">
      <c r="A241" s="70" t="s">
        <v>61</v>
      </c>
      <c r="B241" s="70" t="s">
        <v>58</v>
      </c>
      <c r="C241" s="80" t="s">
        <v>94</v>
      </c>
      <c r="D241" s="75" t="s">
        <v>243</v>
      </c>
      <c r="E241" s="75" t="s">
        <v>59</v>
      </c>
      <c r="F241" s="116">
        <f t="shared" si="312"/>
        <v>0</v>
      </c>
      <c r="G241" s="116">
        <f t="shared" si="312"/>
        <v>0</v>
      </c>
      <c r="H241" s="116">
        <f t="shared" si="312"/>
        <v>0</v>
      </c>
      <c r="I241" s="116">
        <f t="shared" ref="I241" si="314">H241-F241</f>
        <v>0</v>
      </c>
      <c r="J241" s="90">
        <v>1.5</v>
      </c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X241" s="186" t="str">
        <f ca="1">IF(OR(M243&lt;&gt;""),"Completed",
IF(L243="","",IF(L243&lt;TODAY(),"Overdue",
IF(AND(L243&gt;=TODAY()-WEEKDAY(TODAY(),2)+1,L243&lt;=TODAY()-WEEKDAY(TODAY(),2)+7),"Follow-This Week",
IF(AND(L243&gt;=TODAY()-WEEKDAY(TODAY(),2)+8,L243&lt;=TODAY()-WEEKDAY(TODAY(),2)+14),"Follow-Next Week","")))))</f>
        <v/>
      </c>
      <c r="Y241" s="186" t="str">
        <f ca="1">IF(OR(P243&lt;&gt;""),"Completed",IF(O243="","",
IF(O243&lt;TODAY(),"Overdue",
IF(AND(O243&gt;=TODAY()-WEEKDAY(TODAY(),2)+1,O243&lt;=TODAY()-WEEKDAY(TODAY(),2)+7),"Follow-This Week",
IF(AND(O243&gt;=TODAY()-WEEKDAY(TODAY(),2)+8,O243&lt;=TODAY()-WEEKDAY(TODAY(),2)+14),"Follow-Next Week","")))))</f>
        <v/>
      </c>
      <c r="Z241" s="186" t="str">
        <f ca="1">IF(OR(S243&lt;&gt;""),"Completed",IF(R243="","",
IF(R243&lt;TODAY(),"Overdue",
IF(AND(R243&gt;=TODAY()-WEEKDAY(TODAY(),2)+1,R243&lt;=TODAY()-WEEKDAY(TODAY(),2)+7),"Follow-This Week",
IF(AND(R243&gt;=TODAY()-WEEKDAY(TODAY(),2)+8,R243&lt;=TODAY()-WEEKDAY(TODAY(),2)+14),"Follow-Next Week","")))))</f>
        <v/>
      </c>
      <c r="AA241" s="187" t="str">
        <f ca="1">IF(OR(V243&lt;&gt;""),"Completed",IF(U243="","",
IF(U243&lt;TODAY(),"Overdue",
IF(AND(U243&gt;=TODAY()-WEEKDAY(TODAY(),2)+1,U243&lt;=TODAY()-WEEKDAY(TODAY(),2)+7),"Follow-This Week",
IF(AND(U243&gt;=TODAY()-WEEKDAY(TODAY(),2)+8,U243&lt;=TODAY()-WEEKDAY(TODAY(),2)+14),"Follow-Next Week","")))))</f>
        <v/>
      </c>
    </row>
    <row r="242" spans="1:27" s="64" customFormat="1" ht="10.5" customHeight="1" x14ac:dyDescent="0.35">
      <c r="C242" s="108"/>
      <c r="D242" s="108"/>
      <c r="E242" s="77" t="s">
        <v>37</v>
      </c>
      <c r="F242" s="116"/>
      <c r="G242" s="116"/>
      <c r="H242" s="116"/>
      <c r="I242" s="116"/>
      <c r="J242" s="126">
        <f>SUM(J4:J241)</f>
        <v>100.00000000000001</v>
      </c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X242" s="177"/>
      <c r="Y242"/>
      <c r="Z242"/>
      <c r="AA242"/>
    </row>
  </sheetData>
  <autoFilter ref="A3:V242" xr:uid="{5A1295D6-99E8-46B3-B573-A79B1DC59D48}"/>
  <mergeCells count="5">
    <mergeCell ref="X2:AA2"/>
    <mergeCell ref="K2:M2"/>
    <mergeCell ref="N2:P2"/>
    <mergeCell ref="Q2:S2"/>
    <mergeCell ref="T2:V2"/>
  </mergeCells>
  <phoneticPr fontId="27" type="noConversion"/>
  <conditionalFormatting sqref="K13">
    <cfRule type="cellIs" dxfId="237" priority="454" operator="equal">
      <formula>45443</formula>
    </cfRule>
    <cfRule type="expression" dxfId="236" priority="455">
      <formula>"if $C$1&lt;"</formula>
    </cfRule>
    <cfRule type="expression" dxfId="235" priority="456">
      <formula>"if $G$4&gt;$C$1 and $H$4 is ""null"""</formula>
    </cfRule>
  </conditionalFormatting>
  <conditionalFormatting sqref="K108:K110">
    <cfRule type="expression" dxfId="234" priority="784">
      <formula>"if $G$4&gt;$C$1 and $H$4 is ""null"""</formula>
    </cfRule>
    <cfRule type="cellIs" dxfId="233" priority="783" operator="equal">
      <formula>45443</formula>
    </cfRule>
  </conditionalFormatting>
  <conditionalFormatting sqref="K4:L7 O4:O7 K8:K10 L9:L10 O9:O10 R4:R7 R9:R10 U4:U7 U9:U10">
    <cfRule type="expression" dxfId="232" priority="98">
      <formula>"if $C$1&lt;"</formula>
    </cfRule>
  </conditionalFormatting>
  <conditionalFormatting sqref="K9:L12">
    <cfRule type="expression" dxfId="231" priority="96">
      <formula>"if $G$4&gt;$C$1 and $H$4 is ""null"""</formula>
    </cfRule>
    <cfRule type="cellIs" dxfId="230" priority="95" operator="equal">
      <formula>45443</formula>
    </cfRule>
  </conditionalFormatting>
  <conditionalFormatting sqref="K53:L172 K235:L242 O11:O12 R11:R12 U11:U12 U14:U16 K14:L41 O14:O41 R14:R41 T15:T16 T17:U40 U41 T41:T69 O46 R46 O48 R48 O50 R50 O52:O177 R52:R177 L173:L177 L229:L234 O229:O237 R229:R237 N238:O241 Q238:R241 U46 U48 U50 U52:U177 U229:U241 K11:L12 K42:K52 K173:K181">
    <cfRule type="expression" dxfId="229" priority="894">
      <formula>"if $C$1&lt;"</formula>
    </cfRule>
  </conditionalFormatting>
  <conditionalFormatting sqref="K236:L237">
    <cfRule type="cellIs" dxfId="228" priority="486" operator="equal">
      <formula>45443</formula>
    </cfRule>
    <cfRule type="expression" dxfId="227" priority="488">
      <formula>"if $G$4&gt;$C$1 and $H$4 is ""null"""</formula>
    </cfRule>
  </conditionalFormatting>
  <conditionalFormatting sqref="L5:L7">
    <cfRule type="expression" dxfId="226" priority="99">
      <formula>"if $G$4&gt;$C$1 and $H$4 is ""null"""</formula>
    </cfRule>
  </conditionalFormatting>
  <conditionalFormatting sqref="L13">
    <cfRule type="expression" dxfId="225" priority="452">
      <formula>"if $C$1&lt;"</formula>
    </cfRule>
  </conditionalFormatting>
  <conditionalFormatting sqref="L13:L41 P241 O52:O177 O229:O241 O11:O41 R52:R177 R229:R242 R11:R16 U11:U16 T15:T16 S16 R17:U17 T18:U40 R18:R41 U41 T41:T69 O46 R46 O48 R48 O50:P50 R50 L53:L177 L229:L1048576 O242:P1048576">
    <cfRule type="cellIs" dxfId="224" priority="469" operator="equal">
      <formula>45443</formula>
    </cfRule>
  </conditionalFormatting>
  <conditionalFormatting sqref="L179:L180 L181:M181 K182:L183 K184:K192">
    <cfRule type="expression" dxfId="223" priority="207">
      <formula>"if $C$1&lt;"</formula>
    </cfRule>
    <cfRule type="expression" dxfId="222" priority="208">
      <formula>"if $G$4&gt;$C$1 and $H$4 is ""null"""</formula>
    </cfRule>
    <cfRule type="cellIs" dxfId="221" priority="206" operator="equal">
      <formula>45443</formula>
    </cfRule>
  </conditionalFormatting>
  <conditionalFormatting sqref="L187">
    <cfRule type="cellIs" dxfId="220" priority="744" operator="equal">
      <formula>45443</formula>
    </cfRule>
    <cfRule type="expression" dxfId="219" priority="745">
      <formula>"if $C$1&lt;"</formula>
    </cfRule>
    <cfRule type="expression" dxfId="218" priority="746">
      <formula>"if $G$4&gt;$C$1 and $H$4 is ""null"""</formula>
    </cfRule>
  </conditionalFormatting>
  <conditionalFormatting sqref="L189:L192 K193:L194 L195 K195:K234">
    <cfRule type="expression" dxfId="217" priority="802">
      <formula>"if $C$1&lt;"</formula>
    </cfRule>
  </conditionalFormatting>
  <conditionalFormatting sqref="L189:L195">
    <cfRule type="cellIs" dxfId="216" priority="801" operator="equal">
      <formula>45443</formula>
    </cfRule>
    <cfRule type="expression" dxfId="215" priority="803">
      <formula>"if $G$4&gt;$C$1 and $H$4 is ""null"""</formula>
    </cfRule>
  </conditionalFormatting>
  <conditionalFormatting sqref="L202:L203 L206:L207 L210:L211 L214:L215 L218:L219">
    <cfRule type="expression" dxfId="214" priority="739">
      <formula>"if $G$4&gt;$C$1 and $H$4 is ""null"""</formula>
    </cfRule>
    <cfRule type="cellIs" dxfId="213" priority="737" operator="equal">
      <formula>45443</formula>
    </cfRule>
  </conditionalFormatting>
  <conditionalFormatting sqref="L202:L203 L206:L207 L214:L215 L218:L219">
    <cfRule type="expression" dxfId="212" priority="815">
      <formula>"if $C$1&lt;"</formula>
    </cfRule>
  </conditionalFormatting>
  <conditionalFormatting sqref="L210:L211">
    <cfRule type="expression" dxfId="211" priority="738">
      <formula>"if $C$1&lt;"</formula>
    </cfRule>
  </conditionalFormatting>
  <conditionalFormatting sqref="L229:L242 O46 R46 O48 R48 O50 R50 O52:O69 R52:R69 L53:L69 O229:O241 R229:R241">
    <cfRule type="expression" dxfId="210" priority="816">
      <formula>"if $G$4&gt;$C$1 and $H$4 is ""null"""</formula>
    </cfRule>
  </conditionalFormatting>
  <conditionalFormatting sqref="M7:M9">
    <cfRule type="cellIs" dxfId="209" priority="74" operator="equal">
      <formula>45443</formula>
    </cfRule>
  </conditionalFormatting>
  <conditionalFormatting sqref="M16:M17">
    <cfRule type="expression" dxfId="208" priority="135">
      <formula>"if $C$1&lt;"</formula>
    </cfRule>
    <cfRule type="cellIs" dxfId="207" priority="134" operator="equal">
      <formula>45443</formula>
    </cfRule>
    <cfRule type="expression" dxfId="206" priority="136">
      <formula>"if $G$4&gt;$C$1 and $H$4 is ""null"""</formula>
    </cfRule>
  </conditionalFormatting>
  <conditionalFormatting sqref="M21">
    <cfRule type="cellIs" dxfId="205" priority="119" operator="equal">
      <formula>45443</formula>
    </cfRule>
  </conditionalFormatting>
  <conditionalFormatting sqref="M23:M24">
    <cfRule type="cellIs" dxfId="204" priority="645" operator="equal">
      <formula>45443</formula>
    </cfRule>
  </conditionalFormatting>
  <conditionalFormatting sqref="M41:M44">
    <cfRule type="cellIs" dxfId="203" priority="131" operator="equal">
      <formula>45443</formula>
    </cfRule>
    <cfRule type="expression" dxfId="202" priority="132">
      <formula>"if $C$1&lt;"</formula>
    </cfRule>
    <cfRule type="expression" dxfId="201" priority="133">
      <formula>"if $G$4&gt;$C$1 and $H$4 is ""null"""</formula>
    </cfRule>
  </conditionalFormatting>
  <conditionalFormatting sqref="M46">
    <cfRule type="expression" dxfId="200" priority="105">
      <formula>"if $G$4&gt;$C$1 and $H$4 is ""null"""</formula>
    </cfRule>
    <cfRule type="expression" dxfId="199" priority="104">
      <formula>"if $C$1&lt;"</formula>
    </cfRule>
    <cfRule type="cellIs" dxfId="198" priority="103" operator="equal">
      <formula>45443</formula>
    </cfRule>
  </conditionalFormatting>
  <conditionalFormatting sqref="M53:M69">
    <cfRule type="cellIs" dxfId="197" priority="721" operator="equal">
      <formula>45443</formula>
    </cfRule>
  </conditionalFormatting>
  <conditionalFormatting sqref="M146:M147">
    <cfRule type="expression" dxfId="196" priority="130">
      <formula>"if $G$4&gt;$C$1 and $H$4 is ""null"""</formula>
    </cfRule>
    <cfRule type="cellIs" dxfId="195" priority="128" operator="equal">
      <formula>45443</formula>
    </cfRule>
    <cfRule type="expression" dxfId="194" priority="129">
      <formula>"if $C$1&lt;"</formula>
    </cfRule>
  </conditionalFormatting>
  <conditionalFormatting sqref="M169:M170">
    <cfRule type="cellIs" dxfId="193" priority="639" operator="equal">
      <formula>45443</formula>
    </cfRule>
    <cfRule type="expression" dxfId="192" priority="641">
      <formula>"if $G$4&gt;$C$1 and $H$4 is ""null"""</formula>
    </cfRule>
    <cfRule type="expression" dxfId="191" priority="640">
      <formula>"if $C$1&lt;"</formula>
    </cfRule>
  </conditionalFormatting>
  <conditionalFormatting sqref="M182:M187">
    <cfRule type="cellIs" dxfId="190" priority="125" operator="equal">
      <formula>45443</formula>
    </cfRule>
    <cfRule type="expression" dxfId="189" priority="126">
      <formula>"if $C$1&lt;"</formula>
    </cfRule>
    <cfRule type="expression" dxfId="188" priority="127">
      <formula>"if $G$4&gt;$C$1 and $H$4 is ""null"""</formula>
    </cfRule>
  </conditionalFormatting>
  <conditionalFormatting sqref="M193:M202 M204">
    <cfRule type="expression" dxfId="187" priority="123">
      <formula>"if $C$1&lt;"</formula>
    </cfRule>
    <cfRule type="expression" dxfId="186" priority="124">
      <formula>"if $G$4&gt;$C$1 and $H$4 is ""null"""</formula>
    </cfRule>
    <cfRule type="cellIs" dxfId="185" priority="122" operator="equal">
      <formula>45443</formula>
    </cfRule>
  </conditionalFormatting>
  <conditionalFormatting sqref="N7:N13">
    <cfRule type="expression" dxfId="184" priority="90">
      <formula>"if $C$1&lt;"</formula>
    </cfRule>
  </conditionalFormatting>
  <conditionalFormatting sqref="N9:N13">
    <cfRule type="expression" dxfId="183" priority="91">
      <formula>"if $G$4&gt;$C$1 and $H$4 is ""null"""</formula>
    </cfRule>
    <cfRule type="cellIs" dxfId="182" priority="89" operator="equal">
      <formula>45443</formula>
    </cfRule>
  </conditionalFormatting>
  <conditionalFormatting sqref="N31:N34 O1:P3">
    <cfRule type="cellIs" dxfId="181" priority="893" operator="equal">
      <formula>45443</formula>
    </cfRule>
  </conditionalFormatting>
  <conditionalFormatting sqref="N31:N34">
    <cfRule type="expression" dxfId="180" priority="842">
      <formula>"if $G$4&gt;$C$1 and $H$4 is ""null"""</formula>
    </cfRule>
    <cfRule type="expression" dxfId="179" priority="841">
      <formula>"if $C$1&lt;"</formula>
    </cfRule>
  </conditionalFormatting>
  <conditionalFormatting sqref="N70:N85">
    <cfRule type="expression" dxfId="178" priority="234">
      <formula>"if $C$1&lt;"</formula>
    </cfRule>
  </conditionalFormatting>
  <conditionalFormatting sqref="O4:O7 L1:L7 P7:P9">
    <cfRule type="cellIs" dxfId="177" priority="97" operator="equal">
      <formula>45443</formula>
    </cfRule>
  </conditionalFormatting>
  <conditionalFormatting sqref="O4:O7">
    <cfRule type="expression" dxfId="176" priority="88">
      <formula>"if $G$4&gt;$C$1 and $H$4 is ""null"""</formula>
    </cfRule>
  </conditionalFormatting>
  <conditionalFormatting sqref="O9:O10">
    <cfRule type="cellIs" dxfId="175" priority="86" operator="equal">
      <formula>45443</formula>
    </cfRule>
    <cfRule type="expression" dxfId="174" priority="87">
      <formula>"if $G$4&gt;$C$1 and $H$4 is ""null"""</formula>
    </cfRule>
  </conditionalFormatting>
  <conditionalFormatting sqref="O13">
    <cfRule type="expression" dxfId="173" priority="193">
      <formula>"if $C$1&lt;"</formula>
    </cfRule>
  </conditionalFormatting>
  <conditionalFormatting sqref="O86:O177">
    <cfRule type="expression" dxfId="172" priority="205">
      <formula>"if $G$4&gt;$C$1 and $H$4 is ""null"""</formula>
    </cfRule>
  </conditionalFormatting>
  <conditionalFormatting sqref="O179:O183">
    <cfRule type="cellIs" dxfId="171" priority="190" operator="equal">
      <formula>45443</formula>
    </cfRule>
    <cfRule type="expression" dxfId="170" priority="191">
      <formula>"if $C$1&lt;"</formula>
    </cfRule>
    <cfRule type="expression" dxfId="169" priority="192">
      <formula>"if $G$4&gt;$C$1 and $H$4 is ""null"""</formula>
    </cfRule>
  </conditionalFormatting>
  <conditionalFormatting sqref="O187 O189:O195">
    <cfRule type="cellIs" dxfId="168" priority="199" operator="equal">
      <formula>45443</formula>
    </cfRule>
    <cfRule type="expression" dxfId="167" priority="200">
      <formula>"if $C$1&lt;"</formula>
    </cfRule>
    <cfRule type="expression" dxfId="166" priority="201">
      <formula>"if $G$4&gt;$C$1 and $H$4 is ""null"""</formula>
    </cfRule>
  </conditionalFormatting>
  <conditionalFormatting sqref="O202:O203 O206:O207 O210:O211 O214:O215 O218:O219">
    <cfRule type="expression" dxfId="165" priority="197">
      <formula>"if $G$4&gt;$C$1 and $H$4 is ""null"""</formula>
    </cfRule>
    <cfRule type="cellIs" dxfId="164" priority="196" operator="equal">
      <formula>45443</formula>
    </cfRule>
    <cfRule type="expression" dxfId="163" priority="202">
      <formula>"if $C$1&lt;"</formula>
    </cfRule>
  </conditionalFormatting>
  <conditionalFormatting sqref="O236:O237">
    <cfRule type="cellIs" dxfId="162" priority="194" operator="equal">
      <formula>45443</formula>
    </cfRule>
    <cfRule type="expression" dxfId="161" priority="195">
      <formula>"if $G$4&gt;$C$1 and $H$4 is ""null"""</formula>
    </cfRule>
  </conditionalFormatting>
  <conditionalFormatting sqref="P14">
    <cfRule type="cellIs" dxfId="160" priority="54" operator="equal">
      <formula>45443</formula>
    </cfRule>
    <cfRule type="expression" dxfId="159" priority="52">
      <formula>"if $C$1&lt;"</formula>
    </cfRule>
    <cfRule type="expression" dxfId="158" priority="53">
      <formula>"if $G$4&gt;$C$1 and $H$4 is ""null"""</formula>
    </cfRule>
  </conditionalFormatting>
  <conditionalFormatting sqref="P16:P18">
    <cfRule type="expression" dxfId="157" priority="50">
      <formula>"if $G$4&gt;$C$1 and $H$4 is ""null"""</formula>
    </cfRule>
    <cfRule type="expression" dxfId="156" priority="49">
      <formula>"if $C$1&lt;"</formula>
    </cfRule>
  </conditionalFormatting>
  <conditionalFormatting sqref="P16:P19">
    <cfRule type="cellIs" dxfId="155" priority="51" operator="equal">
      <formula>45443</formula>
    </cfRule>
  </conditionalFormatting>
  <conditionalFormatting sqref="P21:P24 P27:P30 P33:P34 P37:P40 P47:P69">
    <cfRule type="cellIs" dxfId="154" priority="100" operator="equal">
      <formula>45443</formula>
    </cfRule>
  </conditionalFormatting>
  <conditionalFormatting sqref="P43:P44">
    <cfRule type="expression" dxfId="153" priority="46">
      <formula>"if $C$1&lt;"</formula>
    </cfRule>
    <cfRule type="expression" dxfId="152" priority="47">
      <formula>"if $G$4&gt;$C$1 and $H$4 is ""null"""</formula>
    </cfRule>
    <cfRule type="cellIs" dxfId="151" priority="48" operator="equal">
      <formula>45443</formula>
    </cfRule>
  </conditionalFormatting>
  <conditionalFormatting sqref="P73">
    <cfRule type="cellIs" dxfId="150" priority="106" operator="equal">
      <formula>45443</formula>
    </cfRule>
  </conditionalFormatting>
  <conditionalFormatting sqref="P75 P78 P90:P92">
    <cfRule type="cellIs" dxfId="149" priority="461" operator="equal">
      <formula>45443</formula>
    </cfRule>
  </conditionalFormatting>
  <conditionalFormatting sqref="P80:P82">
    <cfRule type="cellIs" dxfId="148" priority="4" operator="equal">
      <formula>45443</formula>
    </cfRule>
  </conditionalFormatting>
  <conditionalFormatting sqref="P82">
    <cfRule type="expression" dxfId="147" priority="3">
      <formula>"if $G$4&gt;$C$1 and $H$4 is ""null"""</formula>
    </cfRule>
    <cfRule type="expression" dxfId="146" priority="2">
      <formula>"if $C$1&lt;"</formula>
    </cfRule>
  </conditionalFormatting>
  <conditionalFormatting sqref="P85:P86">
    <cfRule type="expression" dxfId="145" priority="11">
      <formula>"if $C$1&lt;"</formula>
    </cfRule>
    <cfRule type="expression" dxfId="144" priority="12">
      <formula>"if $G$4&gt;$C$1 and $H$4 is ""null"""</formula>
    </cfRule>
    <cfRule type="cellIs" dxfId="143" priority="13" operator="equal">
      <formula>45443</formula>
    </cfRule>
  </conditionalFormatting>
  <conditionalFormatting sqref="P124:P139 P148:P158 P160 P162:P168">
    <cfRule type="expression" dxfId="142" priority="616">
      <formula>"if $C$1&lt;"</formula>
    </cfRule>
    <cfRule type="expression" dxfId="141" priority="617">
      <formula>"if $G$4&gt;$C$1 and $H$4 is ""null"""</formula>
    </cfRule>
    <cfRule type="cellIs" dxfId="140" priority="644" operator="equal">
      <formula>45443</formula>
    </cfRule>
  </conditionalFormatting>
  <conditionalFormatting sqref="P159">
    <cfRule type="cellIs" dxfId="139" priority="121" operator="equal">
      <formula>45443</formula>
    </cfRule>
  </conditionalFormatting>
  <conditionalFormatting sqref="P161">
    <cfRule type="cellIs" dxfId="138" priority="120" operator="equal">
      <formula>45443</formula>
    </cfRule>
  </conditionalFormatting>
  <conditionalFormatting sqref="P169:P188 S178:S185">
    <cfRule type="cellIs" dxfId="137" priority="459" operator="equal">
      <formula>45443</formula>
    </cfRule>
  </conditionalFormatting>
  <conditionalFormatting sqref="P171:P178 S178">
    <cfRule type="expression" dxfId="136" priority="457">
      <formula>"if $C$1&lt;"</formula>
    </cfRule>
    <cfRule type="expression" dxfId="135" priority="458">
      <formula>"if $G$4&gt;$C$1 and $H$4 is ""null"""</formula>
    </cfRule>
  </conditionalFormatting>
  <conditionalFormatting sqref="P199:P206 P208:P211 P222:P237 S229:S237">
    <cfRule type="cellIs" dxfId="134" priority="556" operator="equal">
      <formula>45443</formula>
    </cfRule>
  </conditionalFormatting>
  <conditionalFormatting sqref="P199:P206 P208:P211 P222:P237 S230:S237">
    <cfRule type="expression" dxfId="133" priority="482">
      <formula>"if $G$4&gt;$C$1 and $H$4 is ""null"""</formula>
    </cfRule>
    <cfRule type="expression" dxfId="132" priority="481">
      <formula>"if $C$1&lt;"</formula>
    </cfRule>
  </conditionalFormatting>
  <conditionalFormatting sqref="P241">
    <cfRule type="expression" dxfId="131" priority="222">
      <formula>"if $G$4&gt;$C$1 and $H$4 is ""null"""</formula>
    </cfRule>
    <cfRule type="expression" dxfId="130" priority="223">
      <formula>"if $C$1&lt;"</formula>
    </cfRule>
  </conditionalFormatting>
  <conditionalFormatting sqref="Q7:Q13">
    <cfRule type="expression" dxfId="129" priority="76">
      <formula>"if $C$1&lt;"</formula>
    </cfRule>
  </conditionalFormatting>
  <conditionalFormatting sqref="Q9:Q13">
    <cfRule type="cellIs" dxfId="128" priority="75" operator="equal">
      <formula>45443</formula>
    </cfRule>
    <cfRule type="expression" dxfId="127" priority="77">
      <formula>"if $G$4&gt;$C$1 and $H$4 is ""null"""</formula>
    </cfRule>
  </conditionalFormatting>
  <conditionalFormatting sqref="Q31:Q34">
    <cfRule type="expression" dxfId="126" priority="152">
      <formula>"if $C$1&lt;"</formula>
    </cfRule>
    <cfRule type="cellIs" dxfId="125" priority="154" operator="equal">
      <formula>45443</formula>
    </cfRule>
    <cfRule type="expression" dxfId="124" priority="153">
      <formula>"if $G$4&gt;$C$1 and $H$4 is ""null"""</formula>
    </cfRule>
  </conditionalFormatting>
  <conditionalFormatting sqref="Q70:Q85">
    <cfRule type="expression" dxfId="123" priority="147">
      <formula>"if $C$1&lt;"</formula>
    </cfRule>
  </conditionalFormatting>
  <conditionalFormatting sqref="R4:R7">
    <cfRule type="cellIs" dxfId="122" priority="84" operator="equal">
      <formula>45443</formula>
    </cfRule>
    <cfRule type="expression" dxfId="121" priority="85">
      <formula>"if $G$4&gt;$C$1 and $H$4 is ""null"""</formula>
    </cfRule>
  </conditionalFormatting>
  <conditionalFormatting sqref="R9:R10">
    <cfRule type="expression" dxfId="120" priority="83">
      <formula>"if $G$4&gt;$C$1 and $H$4 is ""null"""</formula>
    </cfRule>
    <cfRule type="cellIs" dxfId="119" priority="82" operator="equal">
      <formula>45443</formula>
    </cfRule>
  </conditionalFormatting>
  <conditionalFormatting sqref="R13">
    <cfRule type="expression" dxfId="118" priority="176">
      <formula>"if $C$1&lt;"</formula>
    </cfRule>
  </conditionalFormatting>
  <conditionalFormatting sqref="R86:R177">
    <cfRule type="expression" dxfId="117" priority="189">
      <formula>"if $G$4&gt;$C$1 and $H$4 is ""null"""</formula>
    </cfRule>
  </conditionalFormatting>
  <conditionalFormatting sqref="R179:R183">
    <cfRule type="cellIs" dxfId="116" priority="173" operator="equal">
      <formula>45443</formula>
    </cfRule>
    <cfRule type="expression" dxfId="115" priority="174">
      <formula>"if $C$1&lt;"</formula>
    </cfRule>
    <cfRule type="expression" dxfId="114" priority="175">
      <formula>"if $G$4&gt;$C$1 and $H$4 is ""null"""</formula>
    </cfRule>
  </conditionalFormatting>
  <conditionalFormatting sqref="R187 R189:R195">
    <cfRule type="cellIs" dxfId="113" priority="182" operator="equal">
      <formula>45443</formula>
    </cfRule>
    <cfRule type="expression" dxfId="112" priority="183">
      <formula>"if $C$1&lt;"</formula>
    </cfRule>
    <cfRule type="expression" dxfId="111" priority="184">
      <formula>"if $G$4&gt;$C$1 and $H$4 is ""null"""</formula>
    </cfRule>
  </conditionalFormatting>
  <conditionalFormatting sqref="R202:R203 R206:R207 R210:R211 R214:R215 R218:R219">
    <cfRule type="cellIs" dxfId="110" priority="179" operator="equal">
      <formula>45443</formula>
    </cfRule>
    <cfRule type="expression" dxfId="109" priority="180">
      <formula>"if $G$4&gt;$C$1 and $H$4 is ""null"""</formula>
    </cfRule>
    <cfRule type="expression" dxfId="108" priority="185">
      <formula>"if $C$1&lt;"</formula>
    </cfRule>
  </conditionalFormatting>
  <conditionalFormatting sqref="R236:R237">
    <cfRule type="cellIs" dxfId="107" priority="177" operator="equal">
      <formula>45443</formula>
    </cfRule>
    <cfRule type="expression" dxfId="106" priority="178">
      <formula>"if $G$4&gt;$C$1 and $H$4 is ""null"""</formula>
    </cfRule>
  </conditionalFormatting>
  <conditionalFormatting sqref="S14">
    <cfRule type="cellIs" dxfId="105" priority="568" operator="equal">
      <formula>45443</formula>
    </cfRule>
  </conditionalFormatting>
  <conditionalFormatting sqref="S18">
    <cfRule type="cellIs" dxfId="104" priority="36" operator="equal">
      <formula>45443</formula>
    </cfRule>
    <cfRule type="expression" dxfId="103" priority="34">
      <formula>"if $C$1&lt;"</formula>
    </cfRule>
    <cfRule type="expression" dxfId="102" priority="35">
      <formula>"if $G$4&gt;$C$1 and $H$4 is ""null"""</formula>
    </cfRule>
  </conditionalFormatting>
  <conditionalFormatting sqref="S27:S28">
    <cfRule type="cellIs" dxfId="101" priority="544" operator="equal">
      <formula>45443</formula>
    </cfRule>
  </conditionalFormatting>
  <conditionalFormatting sqref="S35">
    <cfRule type="cellIs" dxfId="100" priority="564" operator="equal">
      <formula>45443</formula>
    </cfRule>
  </conditionalFormatting>
  <conditionalFormatting sqref="S37:S38">
    <cfRule type="cellIs" dxfId="99" priority="30" operator="equal">
      <formula>45443</formula>
    </cfRule>
  </conditionalFormatting>
  <conditionalFormatting sqref="S69">
    <cfRule type="cellIs" dxfId="98" priority="462" operator="equal">
      <formula>45443</formula>
    </cfRule>
  </conditionalFormatting>
  <conditionalFormatting sqref="S73">
    <cfRule type="cellIs" dxfId="97" priority="28" operator="equal">
      <formula>45443</formula>
    </cfRule>
    <cfRule type="expression" dxfId="96" priority="26">
      <formula>"if $C$1&lt;"</formula>
    </cfRule>
    <cfRule type="expression" dxfId="95" priority="27">
      <formula>"if $G$4&gt;$C$1 and $H$4 is ""null"""</formula>
    </cfRule>
  </conditionalFormatting>
  <conditionalFormatting sqref="S75">
    <cfRule type="expression" dxfId="94" priority="24">
      <formula>"if $G$4&gt;$C$1 and $H$4 is ""null"""</formula>
    </cfRule>
    <cfRule type="expression" dxfId="93" priority="23">
      <formula>"if $C$1&lt;"</formula>
    </cfRule>
    <cfRule type="cellIs" dxfId="92" priority="25" operator="equal">
      <formula>45443</formula>
    </cfRule>
  </conditionalFormatting>
  <conditionalFormatting sqref="S78">
    <cfRule type="expression" dxfId="91" priority="20">
      <formula>"if $C$1&lt;"</formula>
    </cfRule>
    <cfRule type="expression" dxfId="90" priority="21">
      <formula>"if $G$4&gt;$C$1 and $H$4 is ""null"""</formula>
    </cfRule>
    <cfRule type="cellIs" dxfId="89" priority="22" operator="equal">
      <formula>45443</formula>
    </cfRule>
  </conditionalFormatting>
  <conditionalFormatting sqref="S80:S82">
    <cfRule type="expression" dxfId="88" priority="14">
      <formula>"if $C$1&lt;"</formula>
    </cfRule>
    <cfRule type="expression" dxfId="87" priority="15">
      <formula>"if $G$4&gt;$C$1 and $H$4 is ""null"""</formula>
    </cfRule>
    <cfRule type="cellIs" dxfId="86" priority="16" operator="equal">
      <formula>45443</formula>
    </cfRule>
  </conditionalFormatting>
  <conditionalFormatting sqref="S86 S90:S94 S96:S110">
    <cfRule type="cellIs" dxfId="85" priority="438" operator="equal">
      <formula>45443</formula>
    </cfRule>
  </conditionalFormatting>
  <conditionalFormatting sqref="S112:S117">
    <cfRule type="expression" dxfId="84" priority="757">
      <formula>"if $C$1&lt;"</formula>
    </cfRule>
    <cfRule type="expression" dxfId="83" priority="758">
      <formula>"if $G$4&gt;$C$1 and $H$4 is ""null"""</formula>
    </cfRule>
  </conditionalFormatting>
  <conditionalFormatting sqref="S112:S139 S141:S156">
    <cfRule type="cellIs" dxfId="82" priority="756" operator="equal">
      <formula>45443</formula>
    </cfRule>
  </conditionalFormatting>
  <conditionalFormatting sqref="S141:S158 S162:S164 S118:S139 S166 S168">
    <cfRule type="expression" dxfId="81" priority="583">
      <formula>"if $C$1&lt;"</formula>
    </cfRule>
    <cfRule type="expression" dxfId="80" priority="584">
      <formula>"if $G$4&gt;$C$1 and $H$4 is ""null"""</formula>
    </cfRule>
  </conditionalFormatting>
  <conditionalFormatting sqref="S157:S162">
    <cfRule type="cellIs" dxfId="79" priority="7" operator="equal">
      <formula>45443</formula>
    </cfRule>
  </conditionalFormatting>
  <conditionalFormatting sqref="S159:S161">
    <cfRule type="expression" dxfId="78" priority="6">
      <formula>"if $G$4&gt;$C$1 and $H$4 is ""null"""</formula>
    </cfRule>
    <cfRule type="expression" dxfId="77" priority="5">
      <formula>"if $C$1&lt;"</formula>
    </cfRule>
  </conditionalFormatting>
  <conditionalFormatting sqref="S163:S164 S166 S168">
    <cfRule type="expression" dxfId="76" priority="811">
      <formula>"if $G$4&gt;$C$1 and $H$4 is ""null"""</formula>
    </cfRule>
    <cfRule type="expression" dxfId="75" priority="810">
      <formula>"if $C$1&lt;"</formula>
    </cfRule>
    <cfRule type="cellIs" dxfId="74" priority="686" operator="equal">
      <formula>45443</formula>
    </cfRule>
  </conditionalFormatting>
  <conditionalFormatting sqref="S165 S167 S169:S175">
    <cfRule type="cellIs" dxfId="73" priority="571" operator="equal">
      <formula>45443</formula>
    </cfRule>
  </conditionalFormatting>
  <conditionalFormatting sqref="S171:S175">
    <cfRule type="expression" dxfId="72" priority="581">
      <formula>"if $G$4&gt;$C$1 and $H$4 is ""null"""</formula>
    </cfRule>
    <cfRule type="expression" dxfId="71" priority="580">
      <formula>"if $C$1&lt;"</formula>
    </cfRule>
  </conditionalFormatting>
  <conditionalFormatting sqref="S199:S206 S208:S213 S215:S217">
    <cfRule type="expression" dxfId="70" priority="562">
      <formula>"if $G$4&gt;$C$1 and $H$4 is ""null"""</formula>
    </cfRule>
    <cfRule type="cellIs" dxfId="69" priority="563" operator="equal">
      <formula>45443</formula>
    </cfRule>
    <cfRule type="expression" dxfId="68" priority="561">
      <formula>"if $C$1&lt;"</formula>
    </cfRule>
  </conditionalFormatting>
  <conditionalFormatting sqref="S223">
    <cfRule type="expression" dxfId="67" priority="587">
      <formula>"if $G$4&gt;$C$1 and $H$4 is ""null"""</formula>
    </cfRule>
    <cfRule type="expression" dxfId="66" priority="586">
      <formula>"if $C$1&lt;"</formula>
    </cfRule>
    <cfRule type="cellIs" dxfId="65" priority="585" operator="equal">
      <formula>45443</formula>
    </cfRule>
  </conditionalFormatting>
  <conditionalFormatting sqref="S229">
    <cfRule type="expression" dxfId="64" priority="627">
      <formula>"if $G$4&gt;$C$1 and $H$4 is ""null"""</formula>
    </cfRule>
    <cfRule type="expression" dxfId="63" priority="626">
      <formula>"if $C$1&lt;"</formula>
    </cfRule>
  </conditionalFormatting>
  <conditionalFormatting sqref="S241">
    <cfRule type="expression" dxfId="62" priority="219">
      <formula>"if $G$4&gt;$C$1 and $H$4 is ""null"""</formula>
    </cfRule>
    <cfRule type="expression" dxfId="61" priority="220">
      <formula>"if $C$1&lt;"</formula>
    </cfRule>
    <cfRule type="cellIs" dxfId="60" priority="218" operator="equal">
      <formula>45443</formula>
    </cfRule>
  </conditionalFormatting>
  <conditionalFormatting sqref="T4:T5">
    <cfRule type="expression" dxfId="59" priority="874">
      <formula>"if $G$4&gt;$C$1 and $H$4 is ""null"""</formula>
    </cfRule>
    <cfRule type="expression" dxfId="58" priority="873">
      <formula>"if $C$1&lt;"</formula>
    </cfRule>
    <cfRule type="cellIs" dxfId="57" priority="872" operator="equal">
      <formula>45443</formula>
    </cfRule>
  </conditionalFormatting>
  <conditionalFormatting sqref="T7:T13">
    <cfRule type="expression" dxfId="56" priority="93">
      <formula>"if $C$1&lt;"</formula>
    </cfRule>
  </conditionalFormatting>
  <conditionalFormatting sqref="T9:T13">
    <cfRule type="cellIs" dxfId="55" priority="92" operator="equal">
      <formula>45443</formula>
    </cfRule>
    <cfRule type="expression" dxfId="54" priority="94">
      <formula>"if $G$4&gt;$C$1 and $H$4 is ""null"""</formula>
    </cfRule>
  </conditionalFormatting>
  <conditionalFormatting sqref="T70:T85">
    <cfRule type="expression" dxfId="53" priority="256">
      <formula>"if $C$1&lt;"</formula>
    </cfRule>
  </conditionalFormatting>
  <conditionalFormatting sqref="T233 V233">
    <cfRule type="cellIs" dxfId="52" priority="613" operator="equal">
      <formula>45443</formula>
    </cfRule>
    <cfRule type="expression" dxfId="51" priority="614">
      <formula>"if $C$1&lt;"</formula>
    </cfRule>
    <cfRule type="expression" dxfId="50" priority="615">
      <formula>"if $G$4&gt;$C$1 and $H$4 is ""null"""</formula>
    </cfRule>
  </conditionalFormatting>
  <conditionalFormatting sqref="T238:T241 M241">
    <cfRule type="cellIs" dxfId="49" priority="230" operator="equal">
      <formula>45443</formula>
    </cfRule>
    <cfRule type="expression" dxfId="48" priority="232">
      <formula>"if $C$1&lt;"</formula>
    </cfRule>
    <cfRule type="expression" dxfId="47" priority="231">
      <formula>"if $G$4&gt;$C$1 and $H$4 is ""null"""</formula>
    </cfRule>
  </conditionalFormatting>
  <conditionalFormatting sqref="U4:U7">
    <cfRule type="expression" dxfId="46" priority="81">
      <formula>"if $G$4&gt;$C$1 and $H$4 is ""null"""</formula>
    </cfRule>
    <cfRule type="cellIs" dxfId="45" priority="80" operator="equal">
      <formula>45443</formula>
    </cfRule>
  </conditionalFormatting>
  <conditionalFormatting sqref="U9:U10">
    <cfRule type="cellIs" dxfId="44" priority="78" operator="equal">
      <formula>45443</formula>
    </cfRule>
    <cfRule type="expression" dxfId="43" priority="79">
      <formula>"if $G$4&gt;$C$1 and $H$4 is ""null"""</formula>
    </cfRule>
  </conditionalFormatting>
  <conditionalFormatting sqref="U11:U16 O11:O41 R11:R41 L13:L41 T15:T16 T17:U40 U41 T41:T69 L86:L177 K4:L4">
    <cfRule type="expression" dxfId="42" priority="895">
      <formula>"if $G$4&gt;$C$1 and $H$4 is ""null"""</formula>
    </cfRule>
  </conditionalFormatting>
  <conditionalFormatting sqref="U13">
    <cfRule type="expression" dxfId="41" priority="158">
      <formula>"if $C$1&lt;"</formula>
    </cfRule>
  </conditionalFormatting>
  <conditionalFormatting sqref="U46 U48 U50 U52:U69">
    <cfRule type="expression" dxfId="40" priority="168">
      <formula>"if $G$4&gt;$C$1 and $H$4 is ""null"""</formula>
    </cfRule>
  </conditionalFormatting>
  <conditionalFormatting sqref="U46 U48 U50 U52:U177 U229:U241">
    <cfRule type="cellIs" dxfId="39" priority="159" operator="equal">
      <formula>45443</formula>
    </cfRule>
  </conditionalFormatting>
  <conditionalFormatting sqref="U86:U177">
    <cfRule type="expression" dxfId="38" priority="172">
      <formula>"if $G$4&gt;$C$1 and $H$4 is ""null"""</formula>
    </cfRule>
  </conditionalFormatting>
  <conditionalFormatting sqref="U179:U183">
    <cfRule type="expression" dxfId="37" priority="156">
      <formula>"if $C$1&lt;"</formula>
    </cfRule>
    <cfRule type="expression" dxfId="36" priority="157">
      <formula>"if $G$4&gt;$C$1 and $H$4 is ""null"""</formula>
    </cfRule>
    <cfRule type="cellIs" dxfId="35" priority="155" operator="equal">
      <formula>45443</formula>
    </cfRule>
  </conditionalFormatting>
  <conditionalFormatting sqref="U187 U189:U195">
    <cfRule type="cellIs" dxfId="34" priority="164" operator="equal">
      <formula>45443</formula>
    </cfRule>
    <cfRule type="expression" dxfId="33" priority="165">
      <formula>"if $C$1&lt;"</formula>
    </cfRule>
    <cfRule type="expression" dxfId="32" priority="166">
      <formula>"if $G$4&gt;$C$1 and $H$4 is ""null"""</formula>
    </cfRule>
  </conditionalFormatting>
  <conditionalFormatting sqref="U202:U203 U206:U207 U210:U211 U214:U215 U218:U219">
    <cfRule type="expression" dxfId="31" priority="163">
      <formula>"if $G$4&gt;$C$1 and $H$4 is ""null"""</formula>
    </cfRule>
    <cfRule type="cellIs" dxfId="30" priority="162" operator="equal">
      <formula>45443</formula>
    </cfRule>
    <cfRule type="expression" dxfId="29" priority="167">
      <formula>"if $C$1&lt;"</formula>
    </cfRule>
  </conditionalFormatting>
  <conditionalFormatting sqref="U229:U241">
    <cfRule type="expression" dxfId="28" priority="161">
      <formula>"if $G$4&gt;$C$1 and $H$4 is ""null"""</formula>
    </cfRule>
  </conditionalFormatting>
  <conditionalFormatting sqref="V18">
    <cfRule type="expression" dxfId="27" priority="31">
      <formula>"if $C$1&lt;"</formula>
    </cfRule>
    <cfRule type="expression" dxfId="26" priority="32">
      <formula>"if $G$4&gt;$C$1 and $H$4 is ""null"""</formula>
    </cfRule>
    <cfRule type="cellIs" dxfId="25" priority="33" operator="equal">
      <formula>45443</formula>
    </cfRule>
  </conditionalFormatting>
  <conditionalFormatting sqref="V37:V38">
    <cfRule type="cellIs" dxfId="24" priority="29" operator="equal">
      <formula>45443</formula>
    </cfRule>
  </conditionalFormatting>
  <conditionalFormatting sqref="V70:V72">
    <cfRule type="expression" dxfId="23" priority="113">
      <formula>"if $C$1&lt;"</formula>
    </cfRule>
    <cfRule type="expression" dxfId="22" priority="114">
      <formula>"if $G$4&gt;$C$1 and $H$4 is ""null"""</formula>
    </cfRule>
    <cfRule type="cellIs" dxfId="21" priority="115" operator="equal">
      <formula>45443</formula>
    </cfRule>
  </conditionalFormatting>
  <conditionalFormatting sqref="V74">
    <cfRule type="cellIs" dxfId="20" priority="112" operator="equal">
      <formula>45443</formula>
    </cfRule>
    <cfRule type="expression" dxfId="19" priority="110">
      <formula>"if $C$1&lt;"</formula>
    </cfRule>
    <cfRule type="expression" dxfId="18" priority="111">
      <formula>"if $G$4&gt;$C$1 and $H$4 is ""null"""</formula>
    </cfRule>
  </conditionalFormatting>
  <conditionalFormatting sqref="V76:V77">
    <cfRule type="expression" dxfId="17" priority="108">
      <formula>"if $G$4&gt;$C$1 and $H$4 is ""null"""</formula>
    </cfRule>
    <cfRule type="cellIs" dxfId="16" priority="109" operator="equal">
      <formula>45443</formula>
    </cfRule>
    <cfRule type="expression" dxfId="15" priority="107">
      <formula>"if $C$1&lt;"</formula>
    </cfRule>
  </conditionalFormatting>
  <conditionalFormatting sqref="V171:V172 V174:V175 V179">
    <cfRule type="expression" dxfId="14" priority="809">
      <formula>"if $G$4&gt;$C$1 and $H$4 is ""null"""</formula>
    </cfRule>
    <cfRule type="cellIs" dxfId="13" priority="806" operator="equal">
      <formula>45443</formula>
    </cfRule>
    <cfRule type="expression" dxfId="12" priority="808">
      <formula>"if $C$1&lt;"</formula>
    </cfRule>
  </conditionalFormatting>
  <conditionalFormatting sqref="V182:V183">
    <cfRule type="cellIs" dxfId="11" priority="209" operator="equal">
      <formula>45443</formula>
    </cfRule>
    <cfRule type="expression" dxfId="10" priority="210">
      <formula>"if $C$1&lt;"</formula>
    </cfRule>
    <cfRule type="expression" dxfId="9" priority="211">
      <formula>"if $G$4&gt;$C$1 and $H$4 is ""null"""</formula>
    </cfRule>
  </conditionalFormatting>
  <conditionalFormatting sqref="V236:V237">
    <cfRule type="cellIs" dxfId="8" priority="483" operator="equal">
      <formula>45443</formula>
    </cfRule>
    <cfRule type="expression" dxfId="7" priority="484">
      <formula>"if $C$1&lt;"</formula>
    </cfRule>
    <cfRule type="expression" dxfId="6" priority="485">
      <formula>"if $G$4&gt;$C$1 and $H$4 is ""null"""</formula>
    </cfRule>
  </conditionalFormatting>
  <conditionalFormatting sqref="X1:X16 Y3:AA16 X17:AA44 Y45:AA241 X45:X1048576">
    <cfRule type="containsText" dxfId="5" priority="65" operator="containsText" text="completed">
      <formula>NOT(ISERROR(SEARCH("completed",X1)))</formula>
    </cfRule>
    <cfRule type="containsText" dxfId="4" priority="64" operator="containsText" text="Follow-This week">
      <formula>NOT(ISERROR(SEARCH("Follow-This week",X1)))</formula>
    </cfRule>
    <cfRule type="containsText" dxfId="3" priority="63" operator="containsText" text="Follow-Next Week">
      <formula>NOT(ISERROR(SEARCH("Follow-Next Week",X1)))</formula>
    </cfRule>
    <cfRule type="containsText" dxfId="2" priority="62" operator="containsText" text="Overdue">
      <formula>NOT(ISERROR(SEARCH("Overdue",X1)))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DC9B-B879-4AE0-871D-8B79E573EE78}">
  <sheetPr>
    <pageSetUpPr fitToPage="1"/>
  </sheetPr>
  <dimension ref="A2:CS23"/>
  <sheetViews>
    <sheetView topLeftCell="C6" zoomScale="50" zoomScaleNormal="50" zoomScaleSheetLayoutView="40" workbookViewId="0">
      <selection activeCell="CF17" sqref="CF17:C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96" width="4.54296875" style="22" customWidth="1"/>
    <col min="97" max="97" width="3.54296875" style="22" customWidth="1"/>
    <col min="98" max="16384" width="9.36328125" style="22"/>
  </cols>
  <sheetData>
    <row r="2" spans="1:97" ht="15" thickBot="1" x14ac:dyDescent="0.4"/>
    <row r="3" spans="1:9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5"/>
    </row>
    <row r="4" spans="1:97" ht="45" x14ac:dyDescent="0.35">
      <c r="B4" s="26"/>
      <c r="C4" s="208" t="s">
        <v>36</v>
      </c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208"/>
      <c r="BX4" s="208"/>
      <c r="BY4" s="208"/>
      <c r="BZ4" s="208"/>
      <c r="CA4" s="208"/>
      <c r="CB4" s="208"/>
      <c r="CC4" s="208"/>
      <c r="CD4" s="208"/>
      <c r="CE4" s="208"/>
      <c r="CF4" s="208"/>
      <c r="CG4" s="208"/>
      <c r="CH4" s="208"/>
      <c r="CI4" s="208"/>
      <c r="CJ4" s="208"/>
      <c r="CK4" s="208"/>
      <c r="CL4" s="208"/>
      <c r="CM4" s="208"/>
      <c r="CN4" s="208"/>
      <c r="CO4" s="208"/>
      <c r="CP4" s="208"/>
      <c r="CQ4" s="208"/>
      <c r="CR4" s="208"/>
      <c r="CS4" s="27"/>
    </row>
    <row r="5" spans="1:97" ht="45" x14ac:dyDescent="0.35">
      <c r="B5" s="26"/>
      <c r="C5" s="209" t="s">
        <v>56</v>
      </c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7"/>
    </row>
    <row r="6" spans="1:97" s="29" customFormat="1" ht="250.25" customHeight="1" x14ac:dyDescent="0.25">
      <c r="B6" s="30"/>
      <c r="CS6" s="28"/>
    </row>
    <row r="7" spans="1:97" s="29" customFormat="1" ht="250.25" customHeight="1" x14ac:dyDescent="0.25">
      <c r="B7" s="30"/>
      <c r="CS7" s="28"/>
    </row>
    <row r="8" spans="1:97" s="29" customFormat="1" ht="160.5" customHeight="1" x14ac:dyDescent="0.25">
      <c r="B8" s="30"/>
      <c r="CS8" s="28"/>
    </row>
    <row r="9" spans="1:97" s="31" customFormat="1" ht="29.25" customHeight="1" thickBot="1" x14ac:dyDescent="0.3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32"/>
    </row>
    <row r="10" spans="1:97" s="29" customFormat="1" ht="31.5" hidden="1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28"/>
    </row>
    <row r="11" spans="1:97" s="34" customFormat="1" ht="120" customHeight="1" collapsed="1" thickTop="1" thickBot="1" x14ac:dyDescent="0.4">
      <c r="A11" s="59" t="s">
        <v>52</v>
      </c>
      <c r="B11" s="58"/>
      <c r="C11" s="51" t="s">
        <v>19</v>
      </c>
      <c r="D11" s="52">
        <v>45352</v>
      </c>
      <c r="E11" s="52">
        <v>45359</v>
      </c>
      <c r="F11" s="52">
        <v>45366</v>
      </c>
      <c r="G11" s="52">
        <v>45373</v>
      </c>
      <c r="H11" s="52">
        <v>45380</v>
      </c>
      <c r="I11" s="52">
        <v>45387</v>
      </c>
      <c r="J11" s="52">
        <v>45394</v>
      </c>
      <c r="K11" s="52">
        <v>45401</v>
      </c>
      <c r="L11" s="52">
        <v>45408</v>
      </c>
      <c r="M11" s="52">
        <v>45415</v>
      </c>
      <c r="N11" s="52">
        <v>45422</v>
      </c>
      <c r="O11" s="52">
        <v>45429</v>
      </c>
      <c r="P11" s="52">
        <v>45436</v>
      </c>
      <c r="Q11" s="52">
        <v>45443</v>
      </c>
      <c r="R11" s="52">
        <v>45450</v>
      </c>
      <c r="S11" s="52">
        <v>45457</v>
      </c>
      <c r="T11" s="52">
        <v>45464</v>
      </c>
      <c r="U11" s="52">
        <v>45471</v>
      </c>
      <c r="V11" s="52">
        <v>45478</v>
      </c>
      <c r="W11" s="52">
        <v>45485</v>
      </c>
      <c r="X11" s="52">
        <v>45492</v>
      </c>
      <c r="Y11" s="52">
        <v>45499</v>
      </c>
      <c r="Z11" s="52">
        <v>45506</v>
      </c>
      <c r="AA11" s="52">
        <v>45513</v>
      </c>
      <c r="AB11" s="52">
        <v>45520</v>
      </c>
      <c r="AC11" s="52">
        <v>45527</v>
      </c>
      <c r="AD11" s="52">
        <v>45534</v>
      </c>
      <c r="AE11" s="52">
        <v>45541</v>
      </c>
      <c r="AF11" s="52">
        <v>45548</v>
      </c>
      <c r="AG11" s="52">
        <v>45555</v>
      </c>
      <c r="AH11" s="52">
        <v>45562</v>
      </c>
      <c r="AI11" s="52">
        <v>45569</v>
      </c>
      <c r="AJ11" s="52">
        <v>45576</v>
      </c>
      <c r="AK11" s="52">
        <v>45583</v>
      </c>
      <c r="AL11" s="52">
        <v>45590</v>
      </c>
      <c r="AM11" s="52">
        <v>45597</v>
      </c>
      <c r="AN11" s="52">
        <v>45604</v>
      </c>
      <c r="AO11" s="52">
        <v>45611</v>
      </c>
      <c r="AP11" s="52">
        <v>45618</v>
      </c>
      <c r="AQ11" s="52">
        <v>45625</v>
      </c>
      <c r="AR11" s="52">
        <v>45632</v>
      </c>
      <c r="AS11" s="52">
        <v>45639</v>
      </c>
      <c r="AT11" s="52">
        <v>45646</v>
      </c>
      <c r="AU11" s="52">
        <v>45653</v>
      </c>
      <c r="AV11" s="52">
        <v>45660</v>
      </c>
      <c r="AW11" s="52">
        <v>45667</v>
      </c>
      <c r="AX11" s="52">
        <v>45674</v>
      </c>
      <c r="AY11" s="52">
        <v>45681</v>
      </c>
      <c r="AZ11" s="52">
        <v>45688</v>
      </c>
      <c r="BA11" s="52">
        <v>45695</v>
      </c>
      <c r="BB11" s="52">
        <v>45702</v>
      </c>
      <c r="BC11" s="52">
        <v>45709</v>
      </c>
      <c r="BD11" s="52">
        <v>45716</v>
      </c>
      <c r="BE11" s="52">
        <v>45723</v>
      </c>
      <c r="BF11" s="52">
        <v>45730</v>
      </c>
      <c r="BG11" s="52">
        <v>45737</v>
      </c>
      <c r="BH11" s="52">
        <v>45744</v>
      </c>
      <c r="BI11" s="52">
        <v>45751</v>
      </c>
      <c r="BJ11" s="52">
        <v>45758</v>
      </c>
      <c r="BK11" s="52">
        <v>45765</v>
      </c>
      <c r="BL11" s="52">
        <v>45772</v>
      </c>
      <c r="BM11" s="52">
        <v>45779</v>
      </c>
      <c r="BN11" s="52">
        <v>45786</v>
      </c>
      <c r="BO11" s="52">
        <v>45793</v>
      </c>
      <c r="BP11" s="52">
        <v>45800</v>
      </c>
      <c r="BQ11" s="52">
        <v>45807</v>
      </c>
      <c r="BR11" s="52">
        <v>45814</v>
      </c>
      <c r="BS11" s="52">
        <v>45821</v>
      </c>
      <c r="BT11" s="52">
        <v>45828</v>
      </c>
      <c r="BU11" s="52">
        <v>45835</v>
      </c>
      <c r="BV11" s="52">
        <v>45842</v>
      </c>
      <c r="BW11" s="52">
        <v>45849</v>
      </c>
      <c r="BX11" s="52">
        <v>45856</v>
      </c>
      <c r="BY11" s="52">
        <v>45863</v>
      </c>
      <c r="BZ11" s="52">
        <v>45870</v>
      </c>
      <c r="CA11" s="52">
        <v>45877</v>
      </c>
      <c r="CB11" s="52">
        <v>45884</v>
      </c>
      <c r="CC11" s="52">
        <v>45891</v>
      </c>
      <c r="CD11" s="52">
        <v>45898</v>
      </c>
      <c r="CE11" s="52">
        <v>45905</v>
      </c>
      <c r="CF11" s="52">
        <v>45912</v>
      </c>
      <c r="CG11" s="52">
        <v>45919</v>
      </c>
      <c r="CH11" s="52">
        <v>45926</v>
      </c>
      <c r="CI11" s="52">
        <v>45933</v>
      </c>
      <c r="CJ11" s="52">
        <v>45940</v>
      </c>
      <c r="CK11" s="52">
        <v>45947</v>
      </c>
      <c r="CL11" s="52">
        <v>45954</v>
      </c>
      <c r="CM11" s="52">
        <v>45961</v>
      </c>
      <c r="CN11" s="52">
        <v>45968</v>
      </c>
      <c r="CO11" s="52">
        <v>45975</v>
      </c>
      <c r="CP11" s="52">
        <v>45982</v>
      </c>
      <c r="CQ11" s="52">
        <v>45989</v>
      </c>
      <c r="CR11" s="52">
        <v>45996</v>
      </c>
      <c r="CS11" s="33"/>
    </row>
    <row r="12" spans="1:97" s="40" customFormat="1" ht="75" customHeight="1" x14ac:dyDescent="0.35">
      <c r="A12" s="35">
        <f>_xlfn.XLOOKUP(A11,Cut_Off!E:E,Cut_Off!F:F,0)</f>
        <v>0</v>
      </c>
      <c r="B12" s="36"/>
      <c r="C12" s="37" t="s">
        <v>57</v>
      </c>
      <c r="D12" s="38" t="e">
        <f>'S-Curves'!D12/EDSR!#REF!*100</f>
        <v>#REF!</v>
      </c>
      <c r="E12" s="38" t="e">
        <f>'S-Curves'!E12/EDSR!#REF!*100</f>
        <v>#REF!</v>
      </c>
      <c r="F12" s="38" t="e">
        <f>'S-Curves'!F12/EDSR!#REF!*100</f>
        <v>#REF!</v>
      </c>
      <c r="G12" s="38" t="e">
        <f>'S-Curves'!G12/EDSR!#REF!*100</f>
        <v>#REF!</v>
      </c>
      <c r="H12" s="38" t="e">
        <f>'S-Curves'!H12/EDSR!#REF!*100</f>
        <v>#REF!</v>
      </c>
      <c r="I12" s="38" t="e">
        <f>'S-Curves'!I12/EDSR!#REF!*100</f>
        <v>#REF!</v>
      </c>
      <c r="J12" s="38" t="e">
        <f>'S-Curves'!J12/EDSR!#REF!*100</f>
        <v>#REF!</v>
      </c>
      <c r="K12" s="38" t="e">
        <f>'S-Curves'!K12/EDSR!#REF!*100</f>
        <v>#REF!</v>
      </c>
      <c r="L12" s="38" t="e">
        <f>'S-Curves'!L12/EDSR!#REF!*100</f>
        <v>#REF!</v>
      </c>
      <c r="M12" s="38" t="e">
        <f>'S-Curves'!M12/EDSR!#REF!*100</f>
        <v>#REF!</v>
      </c>
      <c r="N12" s="38" t="e">
        <f>'S-Curves'!N12/EDSR!#REF!*100</f>
        <v>#REF!</v>
      </c>
      <c r="O12" s="38" t="e">
        <f>'S-Curves'!O12/EDSR!#REF!*100</f>
        <v>#REF!</v>
      </c>
      <c r="P12" s="38" t="e">
        <f>'S-Curves'!P12/EDSR!#REF!*100</f>
        <v>#REF!</v>
      </c>
      <c r="Q12" s="38" t="e">
        <f>'S-Curves'!Q12/EDSR!#REF!*100</f>
        <v>#REF!</v>
      </c>
      <c r="R12" s="38" t="e">
        <f>'S-Curves'!R12/EDSR!#REF!*100</f>
        <v>#REF!</v>
      </c>
      <c r="S12" s="38" t="e">
        <f>'S-Curves'!S12/EDSR!#REF!*100</f>
        <v>#REF!</v>
      </c>
      <c r="T12" s="38" t="e">
        <f>'S-Curves'!T12/EDSR!#REF!*100</f>
        <v>#REF!</v>
      </c>
      <c r="U12" s="38" t="e">
        <f>'S-Curves'!U12/EDSR!#REF!*100</f>
        <v>#REF!</v>
      </c>
      <c r="V12" s="38" t="e">
        <f>'S-Curves'!V12/EDSR!#REF!*100</f>
        <v>#REF!</v>
      </c>
      <c r="W12" s="38" t="e">
        <f>'S-Curves'!W12/EDSR!#REF!*100</f>
        <v>#REF!</v>
      </c>
      <c r="X12" s="38" t="e">
        <f>'S-Curves'!X12/EDSR!#REF!*100</f>
        <v>#REF!</v>
      </c>
      <c r="Y12" s="38" t="e">
        <f>'S-Curves'!Y12/EDSR!#REF!*100</f>
        <v>#REF!</v>
      </c>
      <c r="Z12" s="38" t="e">
        <f>'S-Curves'!Z12/EDSR!#REF!*100</f>
        <v>#REF!</v>
      </c>
      <c r="AA12" s="38" t="e">
        <f>'S-Curves'!AA12/EDSR!#REF!*100</f>
        <v>#REF!</v>
      </c>
      <c r="AB12" s="38" t="e">
        <f>'S-Curves'!AB12/EDSR!#REF!*100</f>
        <v>#REF!</v>
      </c>
      <c r="AC12" s="38" t="e">
        <f>'S-Curves'!AC12/EDSR!#REF!*100</f>
        <v>#REF!</v>
      </c>
      <c r="AD12" s="38" t="e">
        <f>'S-Curves'!AD12/EDSR!#REF!*100</f>
        <v>#REF!</v>
      </c>
      <c r="AE12" s="38" t="e">
        <f>'S-Curves'!AE12/EDSR!#REF!*100</f>
        <v>#REF!</v>
      </c>
      <c r="AF12" s="38" t="e">
        <f>'S-Curves'!AF12/EDSR!#REF!*100</f>
        <v>#REF!</v>
      </c>
      <c r="AG12" s="38" t="e">
        <f>'S-Curves'!AG12/EDSR!#REF!*100</f>
        <v>#REF!</v>
      </c>
      <c r="AH12" s="38" t="e">
        <f>'S-Curves'!AH12/EDSR!#REF!*100</f>
        <v>#REF!</v>
      </c>
      <c r="AI12" s="38" t="e">
        <f>'S-Curves'!AI12/EDSR!#REF!*100</f>
        <v>#REF!</v>
      </c>
      <c r="AJ12" s="38" t="e">
        <f>'S-Curves'!AJ12/EDSR!#REF!*100</f>
        <v>#REF!</v>
      </c>
      <c r="AK12" s="38" t="e">
        <f>'S-Curves'!AK12/EDSR!#REF!*100</f>
        <v>#REF!</v>
      </c>
      <c r="AL12" s="38" t="e">
        <f>'S-Curves'!AL12/EDSR!#REF!*100</f>
        <v>#REF!</v>
      </c>
      <c r="AM12" s="38" t="e">
        <f>'S-Curves'!AM12/EDSR!#REF!*100</f>
        <v>#REF!</v>
      </c>
      <c r="AN12" s="38" t="e">
        <f>'S-Curves'!AN12/EDSR!#REF!*100</f>
        <v>#REF!</v>
      </c>
      <c r="AO12" s="38" t="e">
        <f>'S-Curves'!AO12/EDSR!#REF!*100</f>
        <v>#REF!</v>
      </c>
      <c r="AP12" s="38" t="e">
        <f>'S-Curves'!AP12/EDSR!#REF!*100</f>
        <v>#REF!</v>
      </c>
      <c r="AQ12" s="38" t="e">
        <f>'S-Curves'!AQ12/EDSR!#REF!*100</f>
        <v>#REF!</v>
      </c>
      <c r="AR12" s="38" t="e">
        <f>'S-Curves'!AR12/EDSR!#REF!*100</f>
        <v>#REF!</v>
      </c>
      <c r="AS12" s="38" t="e">
        <f>'S-Curves'!AS12/EDSR!#REF!*100</f>
        <v>#REF!</v>
      </c>
      <c r="AT12" s="38" t="e">
        <f>'S-Curves'!AT12/EDSR!#REF!*100</f>
        <v>#REF!</v>
      </c>
      <c r="AU12" s="38" t="e">
        <f>'S-Curves'!AU12/EDSR!#REF!*100</f>
        <v>#REF!</v>
      </c>
      <c r="AV12" s="38" t="e">
        <f>'S-Curves'!AV12/EDSR!#REF!*100</f>
        <v>#REF!</v>
      </c>
      <c r="AW12" s="38" t="e">
        <f>'S-Curves'!AW12/EDSR!#REF!*100</f>
        <v>#REF!</v>
      </c>
      <c r="AX12" s="38" t="e">
        <f>'S-Curves'!AX12/EDSR!#REF!*100</f>
        <v>#REF!</v>
      </c>
      <c r="AY12" s="38" t="e">
        <f>'S-Curves'!AY12/EDSR!#REF!*100</f>
        <v>#REF!</v>
      </c>
      <c r="AZ12" s="38" t="e">
        <f>'S-Curves'!AZ12/EDSR!#REF!*100</f>
        <v>#REF!</v>
      </c>
      <c r="BA12" s="38" t="e">
        <f>'S-Curves'!BA12/EDSR!#REF!*100</f>
        <v>#REF!</v>
      </c>
      <c r="BB12" s="38" t="e">
        <f>'S-Curves'!BB12/EDSR!#REF!*100</f>
        <v>#REF!</v>
      </c>
      <c r="BC12" s="38" t="e">
        <f>'S-Curves'!BC12/EDSR!#REF!*100</f>
        <v>#REF!</v>
      </c>
      <c r="BD12" s="38" t="e">
        <f>'S-Curves'!BD12/EDSR!#REF!*100</f>
        <v>#REF!</v>
      </c>
      <c r="BE12" s="38" t="e">
        <f>'S-Curves'!BE12/EDSR!#REF!*100</f>
        <v>#REF!</v>
      </c>
      <c r="BF12" s="38" t="e">
        <f>'S-Curves'!BF12/EDSR!#REF!*100</f>
        <v>#REF!</v>
      </c>
      <c r="BG12" s="38" t="e">
        <f>'S-Curves'!BG12/EDSR!#REF!*100</f>
        <v>#REF!</v>
      </c>
      <c r="BH12" s="38" t="e">
        <f>'S-Curves'!BH12/EDSR!#REF!*100</f>
        <v>#REF!</v>
      </c>
      <c r="BI12" s="38" t="e">
        <f>'S-Curves'!BI12/EDSR!#REF!*100</f>
        <v>#REF!</v>
      </c>
      <c r="BJ12" s="38" t="e">
        <f>'S-Curves'!BJ12/EDSR!#REF!*100</f>
        <v>#REF!</v>
      </c>
      <c r="BK12" s="38" t="e">
        <f>'S-Curves'!BK12/EDSR!#REF!*100</f>
        <v>#REF!</v>
      </c>
      <c r="BL12" s="38" t="e">
        <f>'S-Curves'!BL12/EDSR!#REF!*100</f>
        <v>#REF!</v>
      </c>
      <c r="BM12" s="38" t="e">
        <f>'S-Curves'!BM12/EDSR!#REF!*100</f>
        <v>#REF!</v>
      </c>
      <c r="BN12" s="38" t="e">
        <f>'S-Curves'!BN12/EDSR!#REF!*100</f>
        <v>#REF!</v>
      </c>
      <c r="BO12" s="38" t="e">
        <f>'S-Curves'!BO12/EDSR!#REF!*100</f>
        <v>#REF!</v>
      </c>
      <c r="BP12" s="38" t="e">
        <f>'S-Curves'!BP12/EDSR!#REF!*100</f>
        <v>#REF!</v>
      </c>
      <c r="BQ12" s="38" t="e">
        <f>'S-Curves'!BQ12/EDSR!#REF!*100</f>
        <v>#REF!</v>
      </c>
      <c r="BR12" s="38" t="e">
        <f>'S-Curves'!BR12/EDSR!#REF!*100</f>
        <v>#REF!</v>
      </c>
      <c r="BS12" s="38" t="e">
        <f>'S-Curves'!BS12/EDSR!#REF!*100</f>
        <v>#REF!</v>
      </c>
      <c r="BT12" s="38" t="e">
        <f>'S-Curves'!BT12/EDSR!#REF!*100</f>
        <v>#REF!</v>
      </c>
      <c r="BU12" s="38" t="e">
        <f>'S-Curves'!BU12/EDSR!#REF!*100</f>
        <v>#REF!</v>
      </c>
      <c r="BV12" s="38" t="e">
        <f>'S-Curves'!BV12/EDSR!#REF!*100</f>
        <v>#REF!</v>
      </c>
      <c r="BW12" s="38" t="e">
        <f>'S-Curves'!BW12/EDSR!#REF!*100</f>
        <v>#REF!</v>
      </c>
      <c r="BX12" s="38" t="e">
        <f>'S-Curves'!BX12/EDSR!#REF!*100</f>
        <v>#REF!</v>
      </c>
      <c r="BY12" s="38" t="e">
        <f>'S-Curves'!BY12/EDSR!#REF!*100</f>
        <v>#REF!</v>
      </c>
      <c r="BZ12" s="38" t="e">
        <f>'S-Curves'!BZ12/EDSR!#REF!*100</f>
        <v>#REF!</v>
      </c>
      <c r="CA12" s="38" t="e">
        <f>'S-Curves'!CA12/EDSR!#REF!*100</f>
        <v>#REF!</v>
      </c>
      <c r="CB12" s="38" t="e">
        <f>'S-Curves'!CB12/EDSR!#REF!*100</f>
        <v>#REF!</v>
      </c>
      <c r="CC12" s="38" t="e">
        <f>'S-Curves'!CC12/EDSR!#REF!*100</f>
        <v>#REF!</v>
      </c>
      <c r="CD12" s="38" t="e">
        <f>'S-Curves'!CD12/EDSR!#REF!*100</f>
        <v>#REF!</v>
      </c>
      <c r="CE12" s="38" t="e">
        <f>'S-Curves'!CE12/EDSR!#REF!*100</f>
        <v>#REF!</v>
      </c>
      <c r="CF12" s="38" t="e">
        <f>'S-Curves'!CF12/EDSR!#REF!*100</f>
        <v>#REF!</v>
      </c>
      <c r="CG12" s="38" t="e">
        <f>'S-Curves'!CG12/EDSR!#REF!*100</f>
        <v>#REF!</v>
      </c>
      <c r="CH12" s="38" t="e">
        <f>'S-Curves'!CH12/EDSR!#REF!*100</f>
        <v>#REF!</v>
      </c>
      <c r="CI12" s="38" t="e">
        <f>'S-Curves'!CI12/EDSR!#REF!*100</f>
        <v>#REF!</v>
      </c>
      <c r="CJ12" s="38" t="e">
        <f>'S-Curves'!CJ12/EDSR!#REF!*100</f>
        <v>#REF!</v>
      </c>
      <c r="CK12" s="38" t="e">
        <f>'S-Curves'!CK12/EDSR!#REF!*100</f>
        <v>#REF!</v>
      </c>
      <c r="CL12" s="38" t="e">
        <f>'S-Curves'!CL12/EDSR!#REF!*100</f>
        <v>#REF!</v>
      </c>
      <c r="CM12" s="38" t="e">
        <f>'S-Curves'!CM12/EDSR!#REF!*100</f>
        <v>#REF!</v>
      </c>
      <c r="CN12" s="38" t="e">
        <f>'S-Curves'!CN12/EDSR!#REF!*100</f>
        <v>#REF!</v>
      </c>
      <c r="CO12" s="38" t="e">
        <f>'S-Curves'!CO12/EDSR!#REF!*100</f>
        <v>#REF!</v>
      </c>
      <c r="CP12" s="38" t="e">
        <f>'S-Curves'!CP12/EDSR!#REF!*100</f>
        <v>#REF!</v>
      </c>
      <c r="CQ12" s="38" t="e">
        <f>'S-Curves'!#REF!/EDSR!#REF!*100</f>
        <v>#REF!</v>
      </c>
      <c r="CR12" s="38" t="e">
        <f>'S-Curves'!#REF!/EDSR!#REF!*100</f>
        <v>#REF!</v>
      </c>
      <c r="CS12" s="39"/>
    </row>
    <row r="13" spans="1:97" s="40" customFormat="1" ht="75" customHeight="1" x14ac:dyDescent="0.35">
      <c r="A13" s="35">
        <f>A12+1</f>
        <v>1</v>
      </c>
      <c r="B13" s="36"/>
      <c r="C13" s="37" t="s">
        <v>48</v>
      </c>
      <c r="D13" s="38" t="e">
        <f>'S-Curves'!D13/EDSR!#REF!*100</f>
        <v>#REF!</v>
      </c>
      <c r="E13" s="38" t="e">
        <f>'S-Curves'!E13/EDSR!#REF!*100</f>
        <v>#REF!</v>
      </c>
      <c r="F13" s="38" t="e">
        <f>'S-Curves'!F13/EDSR!#REF!*100</f>
        <v>#REF!</v>
      </c>
      <c r="G13" s="38" t="e">
        <f>'S-Curves'!G13/EDSR!#REF!*100</f>
        <v>#REF!</v>
      </c>
      <c r="H13" s="38" t="e">
        <f>'S-Curves'!H13/EDSR!#REF!*100</f>
        <v>#REF!</v>
      </c>
      <c r="I13" s="38" t="e">
        <f>'S-Curves'!I13/EDSR!#REF!*100</f>
        <v>#REF!</v>
      </c>
      <c r="J13" s="38" t="e">
        <f>'S-Curves'!J13/EDSR!#REF!*100</f>
        <v>#REF!</v>
      </c>
      <c r="K13" s="38" t="e">
        <f>'S-Curves'!K13/EDSR!#REF!*100</f>
        <v>#REF!</v>
      </c>
      <c r="L13" s="38" t="e">
        <f>'S-Curves'!L13/EDSR!#REF!*100</f>
        <v>#REF!</v>
      </c>
      <c r="M13" s="38" t="e">
        <f>'S-Curves'!M13/EDSR!#REF!*100</f>
        <v>#REF!</v>
      </c>
      <c r="N13" s="38" t="e">
        <f>'S-Curves'!N13/EDSR!#REF!*100</f>
        <v>#REF!</v>
      </c>
      <c r="O13" s="38" t="e">
        <f>'S-Curves'!O13/EDSR!#REF!*100</f>
        <v>#REF!</v>
      </c>
      <c r="P13" s="38" t="e">
        <f>'S-Curves'!P13/EDSR!#REF!*100</f>
        <v>#REF!</v>
      </c>
      <c r="Q13" s="38" t="e">
        <f>'S-Curves'!Q13/EDSR!#REF!*100</f>
        <v>#REF!</v>
      </c>
      <c r="R13" s="38" t="e">
        <f>'S-Curves'!R13/EDSR!#REF!*100</f>
        <v>#REF!</v>
      </c>
      <c r="S13" s="38" t="e">
        <f>'S-Curves'!S13/EDSR!#REF!*100</f>
        <v>#REF!</v>
      </c>
      <c r="T13" s="38" t="e">
        <f>'S-Curves'!T13/EDSR!#REF!*100</f>
        <v>#REF!</v>
      </c>
      <c r="U13" s="38" t="e">
        <f>'S-Curves'!U13/EDSR!#REF!*100</f>
        <v>#REF!</v>
      </c>
      <c r="V13" s="38" t="e">
        <f>'S-Curves'!V13/EDSR!#REF!*100</f>
        <v>#REF!</v>
      </c>
      <c r="W13" s="38" t="e">
        <f>'S-Curves'!W13/EDSR!#REF!*100</f>
        <v>#REF!</v>
      </c>
      <c r="X13" s="38" t="e">
        <f>'S-Curves'!X13/EDSR!#REF!*100</f>
        <v>#REF!</v>
      </c>
      <c r="Y13" s="38" t="e">
        <f>'S-Curves'!Y13/EDSR!#REF!*100</f>
        <v>#REF!</v>
      </c>
      <c r="Z13" s="38" t="e">
        <f>'S-Curves'!Z13/EDSR!#REF!*100</f>
        <v>#REF!</v>
      </c>
      <c r="AA13" s="38" t="e">
        <f>'S-Curves'!AA13/EDSR!#REF!*100</f>
        <v>#REF!</v>
      </c>
      <c r="AB13" s="38" t="e">
        <f>'S-Curves'!AB13/EDSR!#REF!*100</f>
        <v>#REF!</v>
      </c>
      <c r="AC13" s="38" t="e">
        <f>'S-Curves'!AC13/EDSR!#REF!*100</f>
        <v>#REF!</v>
      </c>
      <c r="AD13" s="38" t="e">
        <f>'S-Curves'!AD13/EDSR!#REF!*100</f>
        <v>#REF!</v>
      </c>
      <c r="AE13" s="38" t="e">
        <f>'S-Curves'!AE13/EDSR!#REF!*100</f>
        <v>#REF!</v>
      </c>
      <c r="AF13" s="38" t="e">
        <f>'S-Curves'!AF13/EDSR!#REF!*100</f>
        <v>#REF!</v>
      </c>
      <c r="AG13" s="38" t="e">
        <f>'S-Curves'!AG13/EDSR!#REF!*100</f>
        <v>#REF!</v>
      </c>
      <c r="AH13" s="38" t="e">
        <f>'S-Curves'!AH13/EDSR!#REF!*100</f>
        <v>#REF!</v>
      </c>
      <c r="AI13" s="38" t="e">
        <f>'S-Curves'!AI13/EDSR!#REF!*100</f>
        <v>#REF!</v>
      </c>
      <c r="AJ13" s="38" t="e">
        <f>'S-Curves'!AJ13/EDSR!#REF!*100</f>
        <v>#REF!</v>
      </c>
      <c r="AK13" s="38" t="e">
        <f>'S-Curves'!AK13/EDSR!#REF!*100</f>
        <v>#REF!</v>
      </c>
      <c r="AL13" s="38" t="e">
        <f>'S-Curves'!AL13/EDSR!#REF!*100</f>
        <v>#REF!</v>
      </c>
      <c r="AM13" s="38" t="e">
        <f>'S-Curves'!AM13/EDSR!#REF!*100</f>
        <v>#REF!</v>
      </c>
      <c r="AN13" s="38" t="e">
        <f>'S-Curves'!AN13/EDSR!#REF!*100</f>
        <v>#REF!</v>
      </c>
      <c r="AO13" s="38" t="e">
        <f>'S-Curves'!AO13/EDSR!#REF!*100</f>
        <v>#REF!</v>
      </c>
      <c r="AP13" s="38" t="e">
        <f>'S-Curves'!AP13/EDSR!#REF!*100</f>
        <v>#REF!</v>
      </c>
      <c r="AQ13" s="38" t="e">
        <f>'S-Curves'!AQ13/EDSR!#REF!*100</f>
        <v>#REF!</v>
      </c>
      <c r="AR13" s="38" t="e">
        <f>'S-Curves'!AR13/EDSR!#REF!*100</f>
        <v>#REF!</v>
      </c>
      <c r="AS13" s="38" t="e">
        <f>'S-Curves'!AS13/EDSR!#REF!*100</f>
        <v>#REF!</v>
      </c>
      <c r="AT13" s="38" t="e">
        <f>'S-Curves'!AT13/EDSR!#REF!*100</f>
        <v>#REF!</v>
      </c>
      <c r="AU13" s="38" t="e">
        <f>'S-Curves'!AU13/EDSR!#REF!*100</f>
        <v>#REF!</v>
      </c>
      <c r="AV13" s="38" t="e">
        <f>'S-Curves'!AV13/EDSR!#REF!*100</f>
        <v>#REF!</v>
      </c>
      <c r="AW13" s="38" t="e">
        <f>'S-Curves'!AW13/EDSR!#REF!*100</f>
        <v>#REF!</v>
      </c>
      <c r="AX13" s="38" t="e">
        <f>'S-Curves'!AX13/EDSR!#REF!*100</f>
        <v>#REF!</v>
      </c>
      <c r="AY13" s="38" t="e">
        <f>'S-Curves'!AY13/EDSR!#REF!*100</f>
        <v>#REF!</v>
      </c>
      <c r="AZ13" s="38" t="e">
        <f>'S-Curves'!AZ13/EDSR!#REF!*100</f>
        <v>#REF!</v>
      </c>
      <c r="BA13" s="38" t="e">
        <f>'S-Curves'!BA13/EDSR!#REF!*100</f>
        <v>#REF!</v>
      </c>
      <c r="BB13" s="38" t="e">
        <f>'S-Curves'!BB13/EDSR!#REF!*100</f>
        <v>#REF!</v>
      </c>
      <c r="BC13" s="38" t="e">
        <f>'S-Curves'!BC13/EDSR!#REF!*100</f>
        <v>#REF!</v>
      </c>
      <c r="BD13" s="38" t="e">
        <f>'S-Curves'!BD13/EDSR!#REF!*100</f>
        <v>#REF!</v>
      </c>
      <c r="BE13" s="38" t="e">
        <f>'S-Curves'!BE13/EDSR!#REF!*100</f>
        <v>#REF!</v>
      </c>
      <c r="BF13" s="38" t="e">
        <f>'S-Curves'!BF13/EDSR!#REF!*100</f>
        <v>#REF!</v>
      </c>
      <c r="BG13" s="38" t="e">
        <f>'S-Curves'!BG13/EDSR!#REF!*100</f>
        <v>#REF!</v>
      </c>
      <c r="BH13" s="38" t="e">
        <f>'S-Curves'!BH13/EDSR!#REF!*100</f>
        <v>#REF!</v>
      </c>
      <c r="BI13" s="38" t="e">
        <f>'S-Curves'!BI13/EDSR!#REF!*100</f>
        <v>#REF!</v>
      </c>
      <c r="BJ13" s="38" t="e">
        <f>'S-Curves'!BJ13/EDSR!#REF!*100</f>
        <v>#REF!</v>
      </c>
      <c r="BK13" s="38" t="e">
        <f>'S-Curves'!BK13/EDSR!#REF!*100</f>
        <v>#REF!</v>
      </c>
      <c r="BL13" s="38" t="e">
        <f>'S-Curves'!BL13/EDSR!#REF!*100</f>
        <v>#REF!</v>
      </c>
      <c r="BM13" s="38" t="e">
        <f>'S-Curves'!BM13/EDSR!#REF!*100</f>
        <v>#REF!</v>
      </c>
      <c r="BN13" s="38" t="e">
        <f>'S-Curves'!BN13/EDSR!#REF!*100</f>
        <v>#REF!</v>
      </c>
      <c r="BO13" s="38" t="e">
        <f>'S-Curves'!BO13/EDSR!#REF!*100</f>
        <v>#REF!</v>
      </c>
      <c r="BP13" s="38" t="e">
        <f>'S-Curves'!BP13/EDSR!#REF!*100</f>
        <v>#REF!</v>
      </c>
      <c r="BQ13" s="38" t="e">
        <f>'S-Curves'!BQ13/EDSR!#REF!*100</f>
        <v>#REF!</v>
      </c>
      <c r="BR13" s="38" t="e">
        <f>'S-Curves'!BR13/EDSR!#REF!*100</f>
        <v>#REF!</v>
      </c>
      <c r="BS13" s="38" t="e">
        <f>'S-Curves'!BS13/EDSR!#REF!*100</f>
        <v>#REF!</v>
      </c>
      <c r="BT13" s="38" t="e">
        <f>'S-Curves'!BT13/EDSR!#REF!*100</f>
        <v>#REF!</v>
      </c>
      <c r="BU13" s="38" t="e">
        <f>'S-Curves'!BU13/EDSR!#REF!*100</f>
        <v>#REF!</v>
      </c>
      <c r="BV13" s="38" t="e">
        <f>'S-Curves'!BV13/EDSR!#REF!*100</f>
        <v>#REF!</v>
      </c>
      <c r="BW13" s="38" t="e">
        <f>'S-Curves'!BW13/EDSR!#REF!*100</f>
        <v>#REF!</v>
      </c>
      <c r="BX13" s="38" t="e">
        <f>'S-Curves'!BX13/EDSR!#REF!*100</f>
        <v>#REF!</v>
      </c>
      <c r="BY13" s="38" t="e">
        <f>'S-Curves'!BY13/EDSR!#REF!*100</f>
        <v>#REF!</v>
      </c>
      <c r="BZ13" s="38" t="e">
        <f>'S-Curves'!BZ13/EDSR!#REF!*100</f>
        <v>#REF!</v>
      </c>
      <c r="CA13" s="38" t="e">
        <f>'S-Curves'!CA13/EDSR!#REF!*100</f>
        <v>#REF!</v>
      </c>
      <c r="CB13" s="38" t="e">
        <f>'S-Curves'!CB13/EDSR!#REF!*100</f>
        <v>#REF!</v>
      </c>
      <c r="CC13" s="38" t="e">
        <f>'S-Curves'!CC13/EDSR!#REF!*100</f>
        <v>#REF!</v>
      </c>
      <c r="CD13" s="38" t="e">
        <f>'S-Curves'!CD13/EDSR!#REF!*100</f>
        <v>#REF!</v>
      </c>
      <c r="CE13" s="38" t="e">
        <f>'S-Curves'!CE13/EDSR!#REF!*100</f>
        <v>#REF!</v>
      </c>
      <c r="CF13" s="38" t="e">
        <f>'S-Curves'!CF13/EDSR!#REF!*100</f>
        <v>#REF!</v>
      </c>
      <c r="CG13" s="38" t="e">
        <f>'S-Curves'!CG13/EDSR!#REF!*100</f>
        <v>#REF!</v>
      </c>
      <c r="CH13" s="38" t="e">
        <f>'S-Curves'!CH13/EDSR!#REF!*100</f>
        <v>#REF!</v>
      </c>
      <c r="CI13" s="38" t="e">
        <f>'S-Curves'!CI13/EDSR!#REF!*100</f>
        <v>#REF!</v>
      </c>
      <c r="CJ13" s="38" t="e">
        <f>'S-Curves'!CJ13/EDSR!#REF!*100</f>
        <v>#REF!</v>
      </c>
      <c r="CK13" s="38" t="e">
        <f>'S-Curves'!CK13/EDSR!#REF!*100</f>
        <v>#REF!</v>
      </c>
      <c r="CL13" s="38" t="e">
        <f>'S-Curves'!CL13/EDSR!#REF!*100</f>
        <v>#REF!</v>
      </c>
      <c r="CM13" s="38" t="e">
        <f>'S-Curves'!CM13/EDSR!#REF!*100</f>
        <v>#REF!</v>
      </c>
      <c r="CN13" s="38" t="e">
        <f>'S-Curves'!CN13/EDSR!#REF!*100</f>
        <v>#REF!</v>
      </c>
      <c r="CO13" s="38" t="e">
        <f>'S-Curves'!CO13/EDSR!#REF!*100</f>
        <v>#REF!</v>
      </c>
      <c r="CP13" s="38" t="e">
        <f>'S-Curves'!CP13/EDSR!#REF!*100</f>
        <v>#REF!</v>
      </c>
      <c r="CQ13" s="38" t="e">
        <f>'S-Curves'!#REF!/EDSR!#REF!*100</f>
        <v>#REF!</v>
      </c>
      <c r="CR13" s="38" t="e">
        <f>'S-Curves'!#REF!/EDSR!#REF!*100</f>
        <v>#REF!</v>
      </c>
      <c r="CS13" s="39"/>
    </row>
    <row r="14" spans="1:97" s="40" customFormat="1" ht="75" customHeight="1" x14ac:dyDescent="0.35">
      <c r="A14" s="35">
        <f>A12+2</f>
        <v>2</v>
      </c>
      <c r="B14" s="36"/>
      <c r="C14" s="37" t="s">
        <v>32</v>
      </c>
      <c r="D14" s="38" t="e">
        <f>'S-Curves'!D14/EDSR!#REF!*100</f>
        <v>#REF!</v>
      </c>
      <c r="E14" s="38" t="e">
        <f>'S-Curves'!E14/EDSR!#REF!*100</f>
        <v>#REF!</v>
      </c>
      <c r="F14" s="38" t="e">
        <f>'S-Curves'!F14/EDSR!#REF!*100</f>
        <v>#REF!</v>
      </c>
      <c r="G14" s="38" t="e">
        <f>'S-Curves'!G14/EDSR!#REF!*100</f>
        <v>#REF!</v>
      </c>
      <c r="H14" s="38" t="e">
        <f>'S-Curves'!H14/EDSR!#REF!*100</f>
        <v>#REF!</v>
      </c>
      <c r="I14" s="38" t="e">
        <f>'S-Curves'!I14/EDSR!#REF!*100</f>
        <v>#REF!</v>
      </c>
      <c r="J14" s="38" t="e">
        <f>'S-Curves'!J14/EDSR!#REF!*100</f>
        <v>#REF!</v>
      </c>
      <c r="K14" s="38" t="e">
        <f>'S-Curves'!K14/EDSR!#REF!*100</f>
        <v>#REF!</v>
      </c>
      <c r="L14" s="38" t="e">
        <f>'S-Curves'!L14/EDSR!#REF!*100</f>
        <v>#REF!</v>
      </c>
      <c r="M14" s="38" t="e">
        <f>'S-Curves'!M14/EDSR!#REF!*100</f>
        <v>#REF!</v>
      </c>
      <c r="N14" s="38" t="e">
        <f>'S-Curves'!N14/EDSR!#REF!*100</f>
        <v>#REF!</v>
      </c>
      <c r="O14" s="38" t="e">
        <f>'S-Curves'!O14/EDSR!#REF!*100</f>
        <v>#REF!</v>
      </c>
      <c r="P14" s="38" t="e">
        <f>'S-Curves'!P14/EDSR!#REF!*100</f>
        <v>#REF!</v>
      </c>
      <c r="Q14" s="38" t="e">
        <f>'S-Curves'!Q14/EDSR!#REF!*100</f>
        <v>#REF!</v>
      </c>
      <c r="R14" s="38" t="e">
        <f>'S-Curves'!R14/EDSR!#REF!*100</f>
        <v>#REF!</v>
      </c>
      <c r="S14" s="38" t="e">
        <f>'S-Curves'!S14/EDSR!#REF!*100</f>
        <v>#REF!</v>
      </c>
      <c r="T14" s="38" t="e">
        <f>'S-Curves'!T14/EDSR!#REF!*100</f>
        <v>#REF!</v>
      </c>
      <c r="U14" s="38" t="e">
        <f>'S-Curves'!U14/EDSR!#REF!*100</f>
        <v>#REF!</v>
      </c>
      <c r="V14" s="38" t="e">
        <f>'S-Curves'!V14/EDSR!#REF!*100</f>
        <v>#REF!</v>
      </c>
      <c r="W14" s="38" t="e">
        <f>'S-Curves'!W14/EDSR!#REF!*100</f>
        <v>#REF!</v>
      </c>
      <c r="X14" s="38" t="e">
        <f>'S-Curves'!X14/EDSR!#REF!*100</f>
        <v>#REF!</v>
      </c>
      <c r="Y14" s="38" t="e">
        <f>'S-Curves'!Y14/EDSR!#REF!*100</f>
        <v>#REF!</v>
      </c>
      <c r="Z14" s="38" t="e">
        <f>'S-Curves'!Z14/EDSR!#REF!*100</f>
        <v>#REF!</v>
      </c>
      <c r="AA14" s="38" t="e">
        <f>'S-Curves'!AA14/EDSR!#REF!*100</f>
        <v>#REF!</v>
      </c>
      <c r="AB14" s="38" t="e">
        <f>'S-Curves'!AB14/EDSR!#REF!*100</f>
        <v>#REF!</v>
      </c>
      <c r="AC14" s="38" t="e">
        <f>'S-Curves'!AC14/EDSR!#REF!*100</f>
        <v>#REF!</v>
      </c>
      <c r="AD14" s="38" t="e">
        <f>'S-Curves'!AD14/EDSR!#REF!*100</f>
        <v>#REF!</v>
      </c>
      <c r="AE14" s="38" t="e">
        <f>'S-Curves'!AE14/EDSR!#REF!*100</f>
        <v>#REF!</v>
      </c>
      <c r="AF14" s="38" t="e">
        <f>'S-Curves'!AF14/EDSR!#REF!*100</f>
        <v>#REF!</v>
      </c>
      <c r="AG14" s="38" t="e">
        <f>'S-Curves'!AG14/EDSR!#REF!*100</f>
        <v>#REF!</v>
      </c>
      <c r="AH14" s="38" t="e">
        <f>'S-Curves'!AH14/EDSR!#REF!*100</f>
        <v>#REF!</v>
      </c>
      <c r="AI14" s="38" t="e">
        <f>'S-Curves'!AI14/EDSR!#REF!*100</f>
        <v>#REF!</v>
      </c>
      <c r="AJ14" s="38" t="e">
        <f>'S-Curves'!AJ14/EDSR!#REF!*100</f>
        <v>#REF!</v>
      </c>
      <c r="AK14" s="38" t="e">
        <f>'S-Curves'!AK14/EDSR!#REF!*100</f>
        <v>#REF!</v>
      </c>
      <c r="AL14" s="38" t="e">
        <f>'S-Curves'!AL14/EDSR!#REF!*100</f>
        <v>#REF!</v>
      </c>
      <c r="AM14" s="38" t="e">
        <f>'S-Curves'!AM14/EDSR!#REF!*100</f>
        <v>#REF!</v>
      </c>
      <c r="AN14" s="38" t="e">
        <f>'S-Curves'!AN14/EDSR!#REF!*100</f>
        <v>#REF!</v>
      </c>
      <c r="AO14" s="38" t="e">
        <f>'S-Curves'!AO14/EDSR!#REF!*100</f>
        <v>#REF!</v>
      </c>
      <c r="AP14" s="38" t="e">
        <f>'S-Curves'!AP14/EDSR!#REF!*100</f>
        <v>#REF!</v>
      </c>
      <c r="AQ14" s="38" t="e">
        <f>'S-Curves'!AQ14/EDSR!#REF!*100</f>
        <v>#REF!</v>
      </c>
      <c r="AR14" s="38" t="e">
        <f>'S-Curves'!AR14/EDSR!#REF!*100</f>
        <v>#REF!</v>
      </c>
      <c r="AS14" s="38" t="e">
        <f>'S-Curves'!AS14/EDSR!#REF!*100</f>
        <v>#REF!</v>
      </c>
      <c r="AT14" s="38" t="e">
        <f>'S-Curves'!AT14/EDSR!#REF!*100</f>
        <v>#REF!</v>
      </c>
      <c r="AU14" s="38" t="e">
        <f>'S-Curves'!AU14/EDSR!#REF!*100</f>
        <v>#REF!</v>
      </c>
      <c r="AV14" s="38" t="e">
        <f>'S-Curves'!AV14/EDSR!#REF!*100</f>
        <v>#REF!</v>
      </c>
      <c r="AW14" s="38" t="e">
        <f>'S-Curves'!AW14/EDSR!#REF!*100</f>
        <v>#REF!</v>
      </c>
      <c r="AX14" s="38" t="e">
        <f>'S-Curves'!AX14/EDSR!#REF!*100</f>
        <v>#REF!</v>
      </c>
      <c r="AY14" s="38" t="e">
        <f>'S-Curves'!AY14/EDSR!#REF!*100</f>
        <v>#REF!</v>
      </c>
      <c r="AZ14" s="38" t="e">
        <f>'S-Curves'!AZ14/EDSR!#REF!*100</f>
        <v>#REF!</v>
      </c>
      <c r="BA14" s="38" t="e">
        <f>'S-Curves'!BA14/EDSR!#REF!*100</f>
        <v>#REF!</v>
      </c>
      <c r="BB14" s="38" t="e">
        <f>'S-Curves'!BB14/EDSR!#REF!*100</f>
        <v>#REF!</v>
      </c>
      <c r="BC14" s="38" t="e">
        <f>'S-Curves'!BC14/EDSR!#REF!*100</f>
        <v>#REF!</v>
      </c>
      <c r="BD14" s="38" t="e">
        <f>'S-Curves'!BD14/EDSR!#REF!*100</f>
        <v>#REF!</v>
      </c>
      <c r="BE14" s="38" t="e">
        <f>'S-Curves'!BE14/EDSR!#REF!*100</f>
        <v>#REF!</v>
      </c>
      <c r="BF14" s="38" t="e">
        <f>'S-Curves'!BF14/EDSR!#REF!*100</f>
        <v>#REF!</v>
      </c>
      <c r="BG14" s="38" t="e">
        <f>'S-Curves'!BG14/EDSR!#REF!*100</f>
        <v>#REF!</v>
      </c>
      <c r="BH14" s="38" t="e">
        <f>'S-Curves'!BH14/EDSR!#REF!*100</f>
        <v>#REF!</v>
      </c>
      <c r="BI14" s="38" t="e">
        <f>'S-Curves'!BI14/EDSR!#REF!*100</f>
        <v>#REF!</v>
      </c>
      <c r="BJ14" s="38" t="e">
        <f>'S-Curves'!BJ14/EDSR!#REF!*100</f>
        <v>#REF!</v>
      </c>
      <c r="BK14" s="38" t="e">
        <f>'S-Curves'!BK14/EDSR!#REF!*100</f>
        <v>#REF!</v>
      </c>
      <c r="BL14" s="38" t="e">
        <f>'S-Curves'!BL14/EDSR!#REF!*100</f>
        <v>#REF!</v>
      </c>
      <c r="BM14" s="38" t="e">
        <f>'S-Curves'!BM14/EDSR!#REF!*100</f>
        <v>#REF!</v>
      </c>
      <c r="BN14" s="38" t="e">
        <f>'S-Curves'!BN14/EDSR!#REF!*100</f>
        <v>#REF!</v>
      </c>
      <c r="BO14" s="38" t="e">
        <f>'S-Curves'!BO14/EDSR!#REF!*100</f>
        <v>#REF!</v>
      </c>
      <c r="BP14" s="38" t="e">
        <f>'S-Curves'!BP14/EDSR!#REF!*100</f>
        <v>#REF!</v>
      </c>
      <c r="BQ14" s="38" t="e">
        <f>'S-Curves'!BQ14/EDSR!#REF!*100</f>
        <v>#REF!</v>
      </c>
      <c r="BR14" s="38" t="e">
        <f>'S-Curves'!BR14/EDSR!#REF!*100</f>
        <v>#REF!</v>
      </c>
      <c r="BS14" s="38" t="e">
        <f>'S-Curves'!BS14/EDSR!#REF!*100</f>
        <v>#REF!</v>
      </c>
      <c r="BT14" s="38" t="e">
        <f>'S-Curves'!BT14/EDSR!#REF!*100</f>
        <v>#REF!</v>
      </c>
      <c r="BU14" s="38" t="e">
        <f>'S-Curves'!BU14/EDSR!#REF!*100</f>
        <v>#REF!</v>
      </c>
      <c r="BV14" s="38" t="e">
        <f>'S-Curves'!BV14/EDSR!#REF!*100</f>
        <v>#REF!</v>
      </c>
      <c r="BW14" s="38" t="e">
        <f>'S-Curves'!BW14/EDSR!#REF!*100</f>
        <v>#REF!</v>
      </c>
      <c r="BX14" s="38" t="e">
        <f>'S-Curves'!BX14/EDSR!#REF!*100</f>
        <v>#REF!</v>
      </c>
      <c r="BY14" s="38" t="e">
        <f>'S-Curves'!BY14/EDSR!#REF!*100</f>
        <v>#REF!</v>
      </c>
      <c r="BZ14" s="38" t="e">
        <f>'S-Curves'!BZ14/EDSR!#REF!*100</f>
        <v>#REF!</v>
      </c>
      <c r="CA14" s="38" t="e">
        <f>'S-Curves'!CA14/EDSR!#REF!*100</f>
        <v>#REF!</v>
      </c>
      <c r="CB14" s="38" t="e">
        <f>'S-Curves'!CB14/EDSR!#REF!*100</f>
        <v>#REF!</v>
      </c>
      <c r="CC14" s="38" t="e">
        <f>'S-Curves'!CC14/EDSR!#REF!*100</f>
        <v>#REF!</v>
      </c>
      <c r="CD14" s="38" t="e">
        <f>'S-Curves'!CD14/EDSR!#REF!*100</f>
        <v>#REF!</v>
      </c>
      <c r="CE14" s="38" t="e">
        <f>'S-Curves'!CE14/EDSR!#REF!*100</f>
        <v>#REF!</v>
      </c>
      <c r="CF14" s="38" t="e">
        <f>'S-Curves'!CF14/EDSR!#REF!*100</f>
        <v>#REF!</v>
      </c>
      <c r="CG14" s="38" t="e">
        <f>'S-Curves'!CG14/EDSR!#REF!*100</f>
        <v>#REF!</v>
      </c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9"/>
    </row>
    <row r="15" spans="1:97" s="40" customFormat="1" ht="75" customHeight="1" x14ac:dyDescent="0.35">
      <c r="A15" s="41"/>
      <c r="B15" s="36"/>
      <c r="C15" s="42" t="s">
        <v>33</v>
      </c>
      <c r="D15" s="43" t="e">
        <f>D12</f>
        <v>#REF!</v>
      </c>
      <c r="E15" s="44" t="e">
        <f t="shared" ref="E15:BP17" si="0">E12-D12</f>
        <v>#REF!</v>
      </c>
      <c r="F15" s="44" t="e">
        <f t="shared" si="0"/>
        <v>#REF!</v>
      </c>
      <c r="G15" s="44" t="e">
        <f t="shared" si="0"/>
        <v>#REF!</v>
      </c>
      <c r="H15" s="44" t="e">
        <f t="shared" si="0"/>
        <v>#REF!</v>
      </c>
      <c r="I15" s="44" t="e">
        <f t="shared" si="0"/>
        <v>#REF!</v>
      </c>
      <c r="J15" s="44" t="e">
        <f t="shared" si="0"/>
        <v>#REF!</v>
      </c>
      <c r="K15" s="44" t="e">
        <f t="shared" si="0"/>
        <v>#REF!</v>
      </c>
      <c r="L15" s="44" t="e">
        <f t="shared" si="0"/>
        <v>#REF!</v>
      </c>
      <c r="M15" s="44" t="e">
        <f t="shared" si="0"/>
        <v>#REF!</v>
      </c>
      <c r="N15" s="44" t="e">
        <f t="shared" si="0"/>
        <v>#REF!</v>
      </c>
      <c r="O15" s="44" t="e">
        <f t="shared" si="0"/>
        <v>#REF!</v>
      </c>
      <c r="P15" s="44" t="e">
        <f t="shared" si="0"/>
        <v>#REF!</v>
      </c>
      <c r="Q15" s="44" t="e">
        <f t="shared" si="0"/>
        <v>#REF!</v>
      </c>
      <c r="R15" s="44" t="e">
        <f t="shared" si="0"/>
        <v>#REF!</v>
      </c>
      <c r="S15" s="44" t="e">
        <f t="shared" si="0"/>
        <v>#REF!</v>
      </c>
      <c r="T15" s="44" t="e">
        <f t="shared" si="0"/>
        <v>#REF!</v>
      </c>
      <c r="U15" s="44" t="e">
        <f t="shared" si="0"/>
        <v>#REF!</v>
      </c>
      <c r="V15" s="44" t="e">
        <f t="shared" si="0"/>
        <v>#REF!</v>
      </c>
      <c r="W15" s="44" t="e">
        <f t="shared" si="0"/>
        <v>#REF!</v>
      </c>
      <c r="X15" s="44" t="e">
        <f t="shared" si="0"/>
        <v>#REF!</v>
      </c>
      <c r="Y15" s="44" t="e">
        <f t="shared" si="0"/>
        <v>#REF!</v>
      </c>
      <c r="Z15" s="44" t="e">
        <f t="shared" si="0"/>
        <v>#REF!</v>
      </c>
      <c r="AA15" s="44" t="e">
        <f t="shared" si="0"/>
        <v>#REF!</v>
      </c>
      <c r="AB15" s="44" t="e">
        <f t="shared" si="0"/>
        <v>#REF!</v>
      </c>
      <c r="AC15" s="44" t="e">
        <f t="shared" si="0"/>
        <v>#REF!</v>
      </c>
      <c r="AD15" s="44" t="e">
        <f t="shared" si="0"/>
        <v>#REF!</v>
      </c>
      <c r="AE15" s="44" t="e">
        <f t="shared" si="0"/>
        <v>#REF!</v>
      </c>
      <c r="AF15" s="44" t="e">
        <f t="shared" si="0"/>
        <v>#REF!</v>
      </c>
      <c r="AG15" s="44" t="e">
        <f t="shared" si="0"/>
        <v>#REF!</v>
      </c>
      <c r="AH15" s="44" t="e">
        <f t="shared" si="0"/>
        <v>#REF!</v>
      </c>
      <c r="AI15" s="44" t="e">
        <f t="shared" si="0"/>
        <v>#REF!</v>
      </c>
      <c r="AJ15" s="44" t="e">
        <f t="shared" si="0"/>
        <v>#REF!</v>
      </c>
      <c r="AK15" s="44" t="e">
        <f t="shared" si="0"/>
        <v>#REF!</v>
      </c>
      <c r="AL15" s="44" t="e">
        <f t="shared" si="0"/>
        <v>#REF!</v>
      </c>
      <c r="AM15" s="44" t="e">
        <f t="shared" si="0"/>
        <v>#REF!</v>
      </c>
      <c r="AN15" s="44" t="e">
        <f t="shared" si="0"/>
        <v>#REF!</v>
      </c>
      <c r="AO15" s="44" t="e">
        <f t="shared" si="0"/>
        <v>#REF!</v>
      </c>
      <c r="AP15" s="44" t="e">
        <f t="shared" si="0"/>
        <v>#REF!</v>
      </c>
      <c r="AQ15" s="44" t="e">
        <f t="shared" si="0"/>
        <v>#REF!</v>
      </c>
      <c r="AR15" s="44" t="e">
        <f t="shared" si="0"/>
        <v>#REF!</v>
      </c>
      <c r="AS15" s="44" t="e">
        <f t="shared" si="0"/>
        <v>#REF!</v>
      </c>
      <c r="AT15" s="44" t="e">
        <f t="shared" si="0"/>
        <v>#REF!</v>
      </c>
      <c r="AU15" s="44" t="e">
        <f t="shared" si="0"/>
        <v>#REF!</v>
      </c>
      <c r="AV15" s="44" t="e">
        <f t="shared" si="0"/>
        <v>#REF!</v>
      </c>
      <c r="AW15" s="44" t="e">
        <f t="shared" si="0"/>
        <v>#REF!</v>
      </c>
      <c r="AX15" s="44" t="e">
        <f t="shared" si="0"/>
        <v>#REF!</v>
      </c>
      <c r="AY15" s="44" t="e">
        <f t="shared" si="0"/>
        <v>#REF!</v>
      </c>
      <c r="AZ15" s="44" t="e">
        <f t="shared" si="0"/>
        <v>#REF!</v>
      </c>
      <c r="BA15" s="44" t="e">
        <f t="shared" si="0"/>
        <v>#REF!</v>
      </c>
      <c r="BB15" s="44" t="e">
        <f t="shared" si="0"/>
        <v>#REF!</v>
      </c>
      <c r="BC15" s="44" t="e">
        <f t="shared" si="0"/>
        <v>#REF!</v>
      </c>
      <c r="BD15" s="44" t="e">
        <f t="shared" si="0"/>
        <v>#REF!</v>
      </c>
      <c r="BE15" s="44" t="e">
        <f t="shared" si="0"/>
        <v>#REF!</v>
      </c>
      <c r="BF15" s="44" t="e">
        <f t="shared" si="0"/>
        <v>#REF!</v>
      </c>
      <c r="BG15" s="44" t="e">
        <f t="shared" si="0"/>
        <v>#REF!</v>
      </c>
      <c r="BH15" s="44" t="e">
        <f t="shared" si="0"/>
        <v>#REF!</v>
      </c>
      <c r="BI15" s="44" t="e">
        <f t="shared" si="0"/>
        <v>#REF!</v>
      </c>
      <c r="BJ15" s="44" t="e">
        <f t="shared" si="0"/>
        <v>#REF!</v>
      </c>
      <c r="BK15" s="44" t="e">
        <f t="shared" si="0"/>
        <v>#REF!</v>
      </c>
      <c r="BL15" s="44" t="e">
        <f t="shared" si="0"/>
        <v>#REF!</v>
      </c>
      <c r="BM15" s="44" t="e">
        <f t="shared" si="0"/>
        <v>#REF!</v>
      </c>
      <c r="BN15" s="44" t="e">
        <f t="shared" si="0"/>
        <v>#REF!</v>
      </c>
      <c r="BO15" s="44" t="e">
        <f t="shared" si="0"/>
        <v>#REF!</v>
      </c>
      <c r="BP15" s="44" t="e">
        <f t="shared" si="0"/>
        <v>#REF!</v>
      </c>
      <c r="BQ15" s="44" t="e">
        <f t="shared" ref="AK15:CR17" si="1">BQ12-BP12</f>
        <v>#REF!</v>
      </c>
      <c r="BR15" s="44" t="e">
        <f t="shared" si="1"/>
        <v>#REF!</v>
      </c>
      <c r="BS15" s="44" t="e">
        <f t="shared" si="1"/>
        <v>#REF!</v>
      </c>
      <c r="BT15" s="44" t="e">
        <f t="shared" si="1"/>
        <v>#REF!</v>
      </c>
      <c r="BU15" s="44" t="e">
        <f t="shared" si="1"/>
        <v>#REF!</v>
      </c>
      <c r="BV15" s="44" t="e">
        <f t="shared" si="1"/>
        <v>#REF!</v>
      </c>
      <c r="BW15" s="44" t="e">
        <f t="shared" si="1"/>
        <v>#REF!</v>
      </c>
      <c r="BX15" s="44" t="e">
        <f t="shared" si="1"/>
        <v>#REF!</v>
      </c>
      <c r="BY15" s="44" t="e">
        <f t="shared" si="1"/>
        <v>#REF!</v>
      </c>
      <c r="BZ15" s="44" t="e">
        <f t="shared" si="1"/>
        <v>#REF!</v>
      </c>
      <c r="CA15" s="44" t="e">
        <f t="shared" si="1"/>
        <v>#REF!</v>
      </c>
      <c r="CB15" s="44" t="e">
        <f t="shared" si="1"/>
        <v>#REF!</v>
      </c>
      <c r="CC15" s="44" t="e">
        <f t="shared" si="1"/>
        <v>#REF!</v>
      </c>
      <c r="CD15" s="44" t="e">
        <f t="shared" si="1"/>
        <v>#REF!</v>
      </c>
      <c r="CE15" s="44" t="e">
        <f t="shared" si="1"/>
        <v>#REF!</v>
      </c>
      <c r="CF15" s="44" t="e">
        <f t="shared" si="1"/>
        <v>#REF!</v>
      </c>
      <c r="CG15" s="44" t="e">
        <f t="shared" si="1"/>
        <v>#REF!</v>
      </c>
      <c r="CH15" s="44" t="e">
        <f t="shared" si="1"/>
        <v>#REF!</v>
      </c>
      <c r="CI15" s="44" t="e">
        <f t="shared" si="1"/>
        <v>#REF!</v>
      </c>
      <c r="CJ15" s="44" t="e">
        <f t="shared" si="1"/>
        <v>#REF!</v>
      </c>
      <c r="CK15" s="44" t="e">
        <f t="shared" si="1"/>
        <v>#REF!</v>
      </c>
      <c r="CL15" s="44" t="e">
        <f t="shared" si="1"/>
        <v>#REF!</v>
      </c>
      <c r="CM15" s="44" t="e">
        <f t="shared" si="1"/>
        <v>#REF!</v>
      </c>
      <c r="CN15" s="44" t="e">
        <f t="shared" si="1"/>
        <v>#REF!</v>
      </c>
      <c r="CO15" s="44" t="e">
        <f t="shared" si="1"/>
        <v>#REF!</v>
      </c>
      <c r="CP15" s="44" t="e">
        <f t="shared" si="1"/>
        <v>#REF!</v>
      </c>
      <c r="CQ15" s="44" t="e">
        <f t="shared" si="1"/>
        <v>#REF!</v>
      </c>
      <c r="CR15" s="44" t="e">
        <f t="shared" si="1"/>
        <v>#REF!</v>
      </c>
      <c r="CS15" s="39"/>
    </row>
    <row r="16" spans="1:97" s="40" customFormat="1" ht="75" customHeight="1" x14ac:dyDescent="0.35">
      <c r="A16" s="41"/>
      <c r="B16" s="36"/>
      <c r="C16" s="42" t="s">
        <v>49</v>
      </c>
      <c r="D16" s="43" t="e">
        <f>D13</f>
        <v>#REF!</v>
      </c>
      <c r="E16" s="44" t="e">
        <f>E13-D13</f>
        <v>#REF!</v>
      </c>
      <c r="F16" s="44" t="e">
        <f t="shared" si="0"/>
        <v>#REF!</v>
      </c>
      <c r="G16" s="44" t="e">
        <f t="shared" si="0"/>
        <v>#REF!</v>
      </c>
      <c r="H16" s="44" t="e">
        <f t="shared" si="0"/>
        <v>#REF!</v>
      </c>
      <c r="I16" s="44" t="e">
        <f t="shared" si="0"/>
        <v>#REF!</v>
      </c>
      <c r="J16" s="44" t="e">
        <f t="shared" si="0"/>
        <v>#REF!</v>
      </c>
      <c r="K16" s="44" t="e">
        <f t="shared" si="0"/>
        <v>#REF!</v>
      </c>
      <c r="L16" s="44" t="e">
        <f t="shared" si="0"/>
        <v>#REF!</v>
      </c>
      <c r="M16" s="44" t="e">
        <f t="shared" si="0"/>
        <v>#REF!</v>
      </c>
      <c r="N16" s="44" t="e">
        <f t="shared" si="0"/>
        <v>#REF!</v>
      </c>
      <c r="O16" s="44" t="e">
        <f t="shared" si="0"/>
        <v>#REF!</v>
      </c>
      <c r="P16" s="44" t="e">
        <f t="shared" si="0"/>
        <v>#REF!</v>
      </c>
      <c r="Q16" s="44" t="e">
        <f t="shared" si="0"/>
        <v>#REF!</v>
      </c>
      <c r="R16" s="44" t="e">
        <f t="shared" si="0"/>
        <v>#REF!</v>
      </c>
      <c r="S16" s="44" t="e">
        <f t="shared" si="0"/>
        <v>#REF!</v>
      </c>
      <c r="T16" s="44" t="e">
        <f t="shared" si="0"/>
        <v>#REF!</v>
      </c>
      <c r="U16" s="44" t="e">
        <f t="shared" si="0"/>
        <v>#REF!</v>
      </c>
      <c r="V16" s="44" t="e">
        <f t="shared" si="0"/>
        <v>#REF!</v>
      </c>
      <c r="W16" s="44" t="e">
        <f t="shared" si="0"/>
        <v>#REF!</v>
      </c>
      <c r="X16" s="44" t="e">
        <f t="shared" si="0"/>
        <v>#REF!</v>
      </c>
      <c r="Y16" s="44" t="e">
        <f t="shared" si="0"/>
        <v>#REF!</v>
      </c>
      <c r="Z16" s="44" t="e">
        <f t="shared" si="0"/>
        <v>#REF!</v>
      </c>
      <c r="AA16" s="44" t="e">
        <f t="shared" si="0"/>
        <v>#REF!</v>
      </c>
      <c r="AB16" s="44" t="e">
        <f t="shared" si="0"/>
        <v>#REF!</v>
      </c>
      <c r="AC16" s="44" t="e">
        <f t="shared" si="0"/>
        <v>#REF!</v>
      </c>
      <c r="AD16" s="44" t="e">
        <f t="shared" si="0"/>
        <v>#REF!</v>
      </c>
      <c r="AE16" s="44" t="e">
        <f t="shared" si="0"/>
        <v>#REF!</v>
      </c>
      <c r="AF16" s="44" t="e">
        <f t="shared" si="0"/>
        <v>#REF!</v>
      </c>
      <c r="AG16" s="44" t="e">
        <f t="shared" si="0"/>
        <v>#REF!</v>
      </c>
      <c r="AH16" s="44" t="e">
        <f t="shared" si="0"/>
        <v>#REF!</v>
      </c>
      <c r="AI16" s="44" t="e">
        <f t="shared" si="0"/>
        <v>#REF!</v>
      </c>
      <c r="AJ16" s="44" t="e">
        <f t="shared" si="0"/>
        <v>#REF!</v>
      </c>
      <c r="AK16" s="44" t="e">
        <f t="shared" si="1"/>
        <v>#REF!</v>
      </c>
      <c r="AL16" s="44" t="e">
        <f t="shared" si="1"/>
        <v>#REF!</v>
      </c>
      <c r="AM16" s="44" t="e">
        <f t="shared" si="1"/>
        <v>#REF!</v>
      </c>
      <c r="AN16" s="44" t="e">
        <f t="shared" si="1"/>
        <v>#REF!</v>
      </c>
      <c r="AO16" s="44" t="e">
        <f t="shared" si="1"/>
        <v>#REF!</v>
      </c>
      <c r="AP16" s="44" t="e">
        <f t="shared" si="1"/>
        <v>#REF!</v>
      </c>
      <c r="AQ16" s="44" t="e">
        <f t="shared" si="1"/>
        <v>#REF!</v>
      </c>
      <c r="AR16" s="44" t="e">
        <f t="shared" si="1"/>
        <v>#REF!</v>
      </c>
      <c r="AS16" s="44" t="e">
        <f t="shared" si="1"/>
        <v>#REF!</v>
      </c>
      <c r="AT16" s="44" t="e">
        <f t="shared" si="1"/>
        <v>#REF!</v>
      </c>
      <c r="AU16" s="44" t="e">
        <f t="shared" si="1"/>
        <v>#REF!</v>
      </c>
      <c r="AV16" s="44" t="e">
        <f t="shared" si="1"/>
        <v>#REF!</v>
      </c>
      <c r="AW16" s="44" t="e">
        <f t="shared" si="1"/>
        <v>#REF!</v>
      </c>
      <c r="AX16" s="44" t="e">
        <f t="shared" si="1"/>
        <v>#REF!</v>
      </c>
      <c r="AY16" s="44" t="e">
        <f t="shared" si="1"/>
        <v>#REF!</v>
      </c>
      <c r="AZ16" s="44" t="e">
        <f t="shared" si="1"/>
        <v>#REF!</v>
      </c>
      <c r="BA16" s="44" t="e">
        <f t="shared" si="1"/>
        <v>#REF!</v>
      </c>
      <c r="BB16" s="44" t="e">
        <f t="shared" si="1"/>
        <v>#REF!</v>
      </c>
      <c r="BC16" s="44" t="e">
        <f t="shared" si="1"/>
        <v>#REF!</v>
      </c>
      <c r="BD16" s="44" t="e">
        <f t="shared" si="1"/>
        <v>#REF!</v>
      </c>
      <c r="BE16" s="44" t="e">
        <f t="shared" si="1"/>
        <v>#REF!</v>
      </c>
      <c r="BF16" s="44" t="e">
        <f t="shared" si="1"/>
        <v>#REF!</v>
      </c>
      <c r="BG16" s="44" t="e">
        <f t="shared" si="1"/>
        <v>#REF!</v>
      </c>
      <c r="BH16" s="44" t="e">
        <f t="shared" si="1"/>
        <v>#REF!</v>
      </c>
      <c r="BI16" s="44" t="e">
        <f t="shared" si="1"/>
        <v>#REF!</v>
      </c>
      <c r="BJ16" s="44" t="e">
        <f t="shared" si="1"/>
        <v>#REF!</v>
      </c>
      <c r="BK16" s="44" t="e">
        <f t="shared" si="1"/>
        <v>#REF!</v>
      </c>
      <c r="BL16" s="44" t="e">
        <f t="shared" si="1"/>
        <v>#REF!</v>
      </c>
      <c r="BM16" s="44" t="e">
        <f t="shared" si="1"/>
        <v>#REF!</v>
      </c>
      <c r="BN16" s="44" t="e">
        <f t="shared" si="1"/>
        <v>#REF!</v>
      </c>
      <c r="BO16" s="44" t="e">
        <f t="shared" si="1"/>
        <v>#REF!</v>
      </c>
      <c r="BP16" s="44" t="e">
        <f t="shared" si="1"/>
        <v>#REF!</v>
      </c>
      <c r="BQ16" s="44" t="e">
        <f t="shared" si="1"/>
        <v>#REF!</v>
      </c>
      <c r="BR16" s="44" t="e">
        <f t="shared" si="1"/>
        <v>#REF!</v>
      </c>
      <c r="BS16" s="44" t="e">
        <f t="shared" si="1"/>
        <v>#REF!</v>
      </c>
      <c r="BT16" s="44" t="e">
        <f t="shared" si="1"/>
        <v>#REF!</v>
      </c>
      <c r="BU16" s="44" t="e">
        <f t="shared" si="1"/>
        <v>#REF!</v>
      </c>
      <c r="BV16" s="44" t="e">
        <f t="shared" si="1"/>
        <v>#REF!</v>
      </c>
      <c r="BW16" s="44" t="e">
        <f t="shared" si="1"/>
        <v>#REF!</v>
      </c>
      <c r="BX16" s="44" t="e">
        <f t="shared" si="1"/>
        <v>#REF!</v>
      </c>
      <c r="BY16" s="44" t="e">
        <f t="shared" si="1"/>
        <v>#REF!</v>
      </c>
      <c r="BZ16" s="44" t="e">
        <f t="shared" si="1"/>
        <v>#REF!</v>
      </c>
      <c r="CA16" s="44" t="e">
        <f t="shared" si="1"/>
        <v>#REF!</v>
      </c>
      <c r="CB16" s="44" t="e">
        <f t="shared" si="1"/>
        <v>#REF!</v>
      </c>
      <c r="CC16" s="44" t="e">
        <f t="shared" si="1"/>
        <v>#REF!</v>
      </c>
      <c r="CD16" s="44" t="e">
        <f t="shared" si="1"/>
        <v>#REF!</v>
      </c>
      <c r="CE16" s="44" t="e">
        <f t="shared" si="1"/>
        <v>#REF!</v>
      </c>
      <c r="CF16" s="44" t="e">
        <f t="shared" si="1"/>
        <v>#REF!</v>
      </c>
      <c r="CG16" s="44" t="e">
        <f t="shared" si="1"/>
        <v>#REF!</v>
      </c>
      <c r="CH16" s="44" t="e">
        <f t="shared" si="1"/>
        <v>#REF!</v>
      </c>
      <c r="CI16" s="44" t="e">
        <f t="shared" si="1"/>
        <v>#REF!</v>
      </c>
      <c r="CJ16" s="44" t="e">
        <f t="shared" si="1"/>
        <v>#REF!</v>
      </c>
      <c r="CK16" s="44" t="e">
        <f t="shared" si="1"/>
        <v>#REF!</v>
      </c>
      <c r="CL16" s="44" t="e">
        <f t="shared" si="1"/>
        <v>#REF!</v>
      </c>
      <c r="CM16" s="44" t="e">
        <f t="shared" si="1"/>
        <v>#REF!</v>
      </c>
      <c r="CN16" s="44" t="e">
        <f t="shared" si="1"/>
        <v>#REF!</v>
      </c>
      <c r="CO16" s="44" t="e">
        <f t="shared" si="1"/>
        <v>#REF!</v>
      </c>
      <c r="CP16" s="44" t="e">
        <f t="shared" si="1"/>
        <v>#REF!</v>
      </c>
      <c r="CQ16" s="44" t="e">
        <f t="shared" si="1"/>
        <v>#REF!</v>
      </c>
      <c r="CR16" s="44" t="e">
        <f t="shared" si="1"/>
        <v>#REF!</v>
      </c>
      <c r="CS16" s="39"/>
    </row>
    <row r="17" spans="1:97" s="40" customFormat="1" ht="75" customHeight="1" thickBot="1" x14ac:dyDescent="0.4">
      <c r="A17" s="41"/>
      <c r="B17" s="36" t="s">
        <v>34</v>
      </c>
      <c r="C17" s="45" t="s">
        <v>35</v>
      </c>
      <c r="D17" s="43" t="e">
        <f>D14</f>
        <v>#REF!</v>
      </c>
      <c r="E17" s="44" t="e">
        <f>E14-D14</f>
        <v>#REF!</v>
      </c>
      <c r="F17" s="44" t="e">
        <f t="shared" si="0"/>
        <v>#REF!</v>
      </c>
      <c r="G17" s="44" t="e">
        <f t="shared" si="0"/>
        <v>#REF!</v>
      </c>
      <c r="H17" s="44" t="e">
        <f t="shared" si="0"/>
        <v>#REF!</v>
      </c>
      <c r="I17" s="44" t="e">
        <f t="shared" si="0"/>
        <v>#REF!</v>
      </c>
      <c r="J17" s="44" t="e">
        <f t="shared" si="0"/>
        <v>#REF!</v>
      </c>
      <c r="K17" s="44" t="e">
        <f t="shared" si="0"/>
        <v>#REF!</v>
      </c>
      <c r="L17" s="44" t="e">
        <f t="shared" si="0"/>
        <v>#REF!</v>
      </c>
      <c r="M17" s="44" t="e">
        <f t="shared" si="0"/>
        <v>#REF!</v>
      </c>
      <c r="N17" s="44" t="e">
        <f t="shared" si="0"/>
        <v>#REF!</v>
      </c>
      <c r="O17" s="44" t="e">
        <f t="shared" si="0"/>
        <v>#REF!</v>
      </c>
      <c r="P17" s="44" t="e">
        <f t="shared" si="0"/>
        <v>#REF!</v>
      </c>
      <c r="Q17" s="44" t="e">
        <f t="shared" si="0"/>
        <v>#REF!</v>
      </c>
      <c r="R17" s="44" t="e">
        <f t="shared" si="0"/>
        <v>#REF!</v>
      </c>
      <c r="S17" s="44" t="e">
        <f t="shared" si="0"/>
        <v>#REF!</v>
      </c>
      <c r="T17" s="44" t="e">
        <f t="shared" si="0"/>
        <v>#REF!</v>
      </c>
      <c r="U17" s="44" t="e">
        <f t="shared" si="0"/>
        <v>#REF!</v>
      </c>
      <c r="V17" s="44" t="e">
        <f t="shared" si="0"/>
        <v>#REF!</v>
      </c>
      <c r="W17" s="44" t="e">
        <f t="shared" si="0"/>
        <v>#REF!</v>
      </c>
      <c r="X17" s="44" t="e">
        <f t="shared" si="0"/>
        <v>#REF!</v>
      </c>
      <c r="Y17" s="44" t="e">
        <f t="shared" si="0"/>
        <v>#REF!</v>
      </c>
      <c r="Z17" s="44" t="e">
        <f t="shared" si="0"/>
        <v>#REF!</v>
      </c>
      <c r="AA17" s="44" t="e">
        <f t="shared" si="0"/>
        <v>#REF!</v>
      </c>
      <c r="AB17" s="44" t="e">
        <f t="shared" si="0"/>
        <v>#REF!</v>
      </c>
      <c r="AC17" s="44" t="e">
        <f t="shared" si="0"/>
        <v>#REF!</v>
      </c>
      <c r="AD17" s="44" t="e">
        <f t="shared" si="0"/>
        <v>#REF!</v>
      </c>
      <c r="AE17" s="44" t="e">
        <f t="shared" si="0"/>
        <v>#REF!</v>
      </c>
      <c r="AF17" s="44" t="e">
        <f t="shared" si="0"/>
        <v>#REF!</v>
      </c>
      <c r="AG17" s="44" t="e">
        <f t="shared" si="0"/>
        <v>#REF!</v>
      </c>
      <c r="AH17" s="44" t="e">
        <f t="shared" si="0"/>
        <v>#REF!</v>
      </c>
      <c r="AI17" s="44" t="e">
        <f t="shared" si="0"/>
        <v>#REF!</v>
      </c>
      <c r="AJ17" s="44" t="e">
        <f t="shared" si="0"/>
        <v>#REF!</v>
      </c>
      <c r="AK17" s="44" t="e">
        <f t="shared" si="0"/>
        <v>#REF!</v>
      </c>
      <c r="AL17" s="44" t="e">
        <f t="shared" si="0"/>
        <v>#REF!</v>
      </c>
      <c r="AM17" s="44" t="e">
        <f t="shared" si="0"/>
        <v>#REF!</v>
      </c>
      <c r="AN17" s="44" t="e">
        <f t="shared" si="0"/>
        <v>#REF!</v>
      </c>
      <c r="AO17" s="44" t="e">
        <f t="shared" si="0"/>
        <v>#REF!</v>
      </c>
      <c r="AP17" s="44" t="e">
        <f t="shared" si="0"/>
        <v>#REF!</v>
      </c>
      <c r="AQ17" s="44" t="e">
        <f t="shared" si="0"/>
        <v>#REF!</v>
      </c>
      <c r="AR17" s="44" t="e">
        <f t="shared" si="0"/>
        <v>#REF!</v>
      </c>
      <c r="AS17" s="44" t="e">
        <f t="shared" si="0"/>
        <v>#REF!</v>
      </c>
      <c r="AT17" s="44" t="e">
        <f t="shared" si="0"/>
        <v>#REF!</v>
      </c>
      <c r="AU17" s="44" t="e">
        <f t="shared" si="1"/>
        <v>#REF!</v>
      </c>
      <c r="AV17" s="44" t="e">
        <f t="shared" si="1"/>
        <v>#REF!</v>
      </c>
      <c r="AW17" s="44" t="e">
        <f t="shared" si="1"/>
        <v>#REF!</v>
      </c>
      <c r="AX17" s="44" t="e">
        <f t="shared" si="1"/>
        <v>#REF!</v>
      </c>
      <c r="AY17" s="44" t="e">
        <f t="shared" si="1"/>
        <v>#REF!</v>
      </c>
      <c r="AZ17" s="44" t="e">
        <f t="shared" si="1"/>
        <v>#REF!</v>
      </c>
      <c r="BA17" s="44" t="e">
        <f t="shared" si="1"/>
        <v>#REF!</v>
      </c>
      <c r="BB17" s="44" t="e">
        <f t="shared" si="1"/>
        <v>#REF!</v>
      </c>
      <c r="BC17" s="44" t="e">
        <f t="shared" si="1"/>
        <v>#REF!</v>
      </c>
      <c r="BD17" s="44" t="e">
        <f t="shared" si="1"/>
        <v>#REF!</v>
      </c>
      <c r="BE17" s="44" t="e">
        <f t="shared" si="1"/>
        <v>#REF!</v>
      </c>
      <c r="BF17" s="44" t="e">
        <f t="shared" si="1"/>
        <v>#REF!</v>
      </c>
      <c r="BG17" s="44" t="e">
        <f t="shared" si="1"/>
        <v>#REF!</v>
      </c>
      <c r="BH17" s="44" t="e">
        <f t="shared" si="1"/>
        <v>#REF!</v>
      </c>
      <c r="BI17" s="44" t="e">
        <f t="shared" si="1"/>
        <v>#REF!</v>
      </c>
      <c r="BJ17" s="44" t="e">
        <f t="shared" si="1"/>
        <v>#REF!</v>
      </c>
      <c r="BK17" s="44" t="e">
        <f t="shared" si="1"/>
        <v>#REF!</v>
      </c>
      <c r="BL17" s="44" t="e">
        <f t="shared" ref="BL17" si="2">BL14-BK14</f>
        <v>#REF!</v>
      </c>
      <c r="BM17" s="44" t="e">
        <f t="shared" ref="BM17:BQ17" si="3">BM14-BL14</f>
        <v>#REF!</v>
      </c>
      <c r="BN17" s="44" t="e">
        <f t="shared" si="3"/>
        <v>#REF!</v>
      </c>
      <c r="BO17" s="44" t="e">
        <f t="shared" si="3"/>
        <v>#REF!</v>
      </c>
      <c r="BP17" s="44" t="e">
        <f t="shared" si="3"/>
        <v>#REF!</v>
      </c>
      <c r="BQ17" s="44" t="e">
        <f t="shared" si="3"/>
        <v>#REF!</v>
      </c>
      <c r="BR17" s="44" t="e">
        <f>BR14-BQ14</f>
        <v>#REF!</v>
      </c>
      <c r="BS17" s="44" t="e">
        <f>BS14-BR14</f>
        <v>#REF!</v>
      </c>
      <c r="BT17" s="44" t="e">
        <f>BT14-BS14</f>
        <v>#REF!</v>
      </c>
      <c r="BU17" s="44" t="e">
        <f>BU14-BT14</f>
        <v>#REF!</v>
      </c>
      <c r="BV17" s="44" t="e">
        <f>BV14-BU14</f>
        <v>#REF!</v>
      </c>
      <c r="BW17" s="44" t="e">
        <f t="shared" ref="BW17:CG17" si="4">BW14-BV14</f>
        <v>#REF!</v>
      </c>
      <c r="BX17" s="44" t="e">
        <f t="shared" si="4"/>
        <v>#REF!</v>
      </c>
      <c r="BY17" s="44" t="e">
        <f>BY14-BX14</f>
        <v>#REF!</v>
      </c>
      <c r="BZ17" s="44" t="e">
        <f t="shared" si="4"/>
        <v>#REF!</v>
      </c>
      <c r="CA17" s="44" t="e">
        <f t="shared" si="4"/>
        <v>#REF!</v>
      </c>
      <c r="CB17" s="44" t="e">
        <f t="shared" si="4"/>
        <v>#REF!</v>
      </c>
      <c r="CC17" s="44" t="e">
        <f t="shared" si="4"/>
        <v>#REF!</v>
      </c>
      <c r="CD17" s="44" t="e">
        <f t="shared" si="4"/>
        <v>#REF!</v>
      </c>
      <c r="CE17" s="44" t="e">
        <f t="shared" si="4"/>
        <v>#REF!</v>
      </c>
      <c r="CF17" s="44" t="e">
        <f t="shared" si="4"/>
        <v>#REF!</v>
      </c>
      <c r="CG17" s="44" t="e">
        <f t="shared" si="4"/>
        <v>#REF!</v>
      </c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39"/>
    </row>
    <row r="18" spans="1:97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8"/>
    </row>
    <row r="20" spans="1:97" s="49" customFormat="1" ht="75" customHeight="1" x14ac:dyDescent="0.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</row>
    <row r="21" spans="1:97" s="49" customFormat="1" ht="72.75" customHeight="1" x14ac:dyDescent="0.5"/>
    <row r="22" spans="1:97" s="49" customFormat="1" ht="21" x14ac:dyDescent="0.5"/>
    <row r="23" spans="1:97" x14ac:dyDescent="0.35">
      <c r="C23" s="50"/>
    </row>
  </sheetData>
  <dataConsolidate/>
  <mergeCells count="2">
    <mergeCell ref="C4:CR4"/>
    <mergeCell ref="C5:CR5"/>
  </mergeCells>
  <conditionalFormatting sqref="D12:CR17">
    <cfRule type="containsErrors" dxfId="1" priority="2">
      <formula>ISERROR(D12)</formula>
    </cfRule>
  </conditionalFormatting>
  <conditionalFormatting sqref="D20:CR20">
    <cfRule type="containsErrors" dxfId="0" priority="1">
      <formula>ISERROR(D20)</formula>
    </cfRule>
  </conditionalFormatting>
  <dataValidations count="1">
    <dataValidation type="list" allowBlank="1" showInputMessage="1" showErrorMessage="1" sqref="A7" xr:uid="{C9F2816B-299C-4913-A491-5DEB6842E082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BAEE33-6533-4DCB-9961-9DBC2DDF2A47}">
          <x14:formula1>
            <xm:f>Cut_Off!$E$2:$E$6</xm:f>
          </x14:formula1>
          <xm:sqref>A11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672-BD28-4418-9D81-A2BBF0C29230}">
  <dimension ref="A1:Q19"/>
  <sheetViews>
    <sheetView topLeftCell="D2" zoomScaleNormal="100" workbookViewId="0">
      <selection activeCell="CF17" sqref="CF17:CG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5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5.81640625" customWidth="1"/>
  </cols>
  <sheetData>
    <row r="1" spans="1:17" hidden="1" outlineLevel="1" x14ac:dyDescent="0.35">
      <c r="F1" s="18">
        <f>N1-1</f>
        <v>-1</v>
      </c>
      <c r="G1" s="18">
        <f>O1-1</f>
        <v>-1</v>
      </c>
      <c r="H1" s="18">
        <f t="shared" ref="H1:I1" si="0">P1-1</f>
        <v>-1</v>
      </c>
      <c r="I1" s="18">
        <f t="shared" si="0"/>
        <v>-1</v>
      </c>
      <c r="J1" s="18"/>
      <c r="K1" s="18"/>
      <c r="L1" s="18"/>
      <c r="M1" s="18"/>
      <c r="N1" s="18">
        <f>_xlfn.XLOOKUP(D3,'Progress%'!6:6,'Progress%'!1:1,0)</f>
        <v>0</v>
      </c>
      <c r="O1" s="18">
        <f>_xlfn.XLOOKUP(D3,'Progress%'!6:6,'Progress%'!1:1,0)</f>
        <v>0</v>
      </c>
      <c r="P1" s="18">
        <f>N1</f>
        <v>0</v>
      </c>
      <c r="Q1" s="18">
        <f>P1</f>
        <v>0</v>
      </c>
    </row>
    <row r="2" spans="1:17" collapsed="1" x14ac:dyDescent="0.35">
      <c r="D2" s="15" t="s">
        <v>31</v>
      </c>
    </row>
    <row r="3" spans="1:17" x14ac:dyDescent="0.35">
      <c r="D3" s="20">
        <v>45919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3" t="s">
        <v>25</v>
      </c>
      <c r="E6" s="203" t="s">
        <v>26</v>
      </c>
      <c r="F6" s="205" t="s">
        <v>30</v>
      </c>
      <c r="G6" s="206"/>
      <c r="H6" s="206"/>
      <c r="I6" s="207"/>
      <c r="J6" s="205" t="s">
        <v>27</v>
      </c>
      <c r="K6" s="206"/>
      <c r="L6" s="206"/>
      <c r="M6" s="207"/>
      <c r="N6" s="205" t="s">
        <v>28</v>
      </c>
      <c r="O6" s="206"/>
      <c r="P6" s="206"/>
      <c r="Q6" s="207"/>
    </row>
    <row r="7" spans="1:17" ht="24.5" customHeight="1" thickBot="1" x14ac:dyDescent="0.4">
      <c r="D7" s="204"/>
      <c r="E7" s="204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 t="e">
        <f>'Progress%'!#REF!</f>
        <v>#REF!</v>
      </c>
      <c r="B8" s="19" t="e">
        <f>A8+1</f>
        <v>#REF!</v>
      </c>
      <c r="C8" s="19" t="e">
        <f>B8+1</f>
        <v>#REF!</v>
      </c>
      <c r="D8" s="78" t="s">
        <v>9</v>
      </c>
      <c r="E8" s="79">
        <f>592.7%/100</f>
        <v>5.9270000000000003E-2</v>
      </c>
      <c r="F8" s="79" t="e">
        <f>'Progress Summary'!#REF!*100/EDSR!#REF!</f>
        <v>#REF!</v>
      </c>
      <c r="G8" s="79" t="e">
        <f>'Progress Summary'!#REF!*100/EDSR!#REF!</f>
        <v>#REF!</v>
      </c>
      <c r="H8" s="79" t="e">
        <f>'Progress Summary'!#REF!*100/EDSR!#REF!</f>
        <v>#REF!</v>
      </c>
      <c r="I8" s="79" t="e">
        <f>'Progress Summary'!#REF!*100/EDSR!#REF!</f>
        <v>#REF!</v>
      </c>
      <c r="J8" s="79" t="e">
        <f>'Progress Summary'!#REF!*100/EDSR!#REF!</f>
        <v>#REF!</v>
      </c>
      <c r="K8" s="79" t="e">
        <f>'Progress Summary'!#REF!*100/EDSR!#REF!</f>
        <v>#REF!</v>
      </c>
      <c r="L8" s="79" t="e">
        <f>'Progress Summary'!#REF!*100/EDSR!#REF!</f>
        <v>#REF!</v>
      </c>
      <c r="M8" s="79" t="e">
        <f>'Progress Summary'!#REF!*100/EDSR!#REF!</f>
        <v>#REF!</v>
      </c>
      <c r="N8" s="79" t="e">
        <f>'Progress Summary'!#REF!*100/EDSR!#REF!</f>
        <v>#REF!</v>
      </c>
      <c r="O8" s="79" t="e">
        <f>'Progress Summary'!#REF!*100/EDSR!#REF!</f>
        <v>#REF!</v>
      </c>
      <c r="P8" s="79" t="e">
        <f>'Progress Summary'!#REF!*100/EDSR!#REF!</f>
        <v>#REF!</v>
      </c>
      <c r="Q8" s="79" t="e">
        <f>'Progress Summary'!#REF!*100/EDSR!#REF!</f>
        <v>#REF!</v>
      </c>
    </row>
    <row r="9" spans="1:17" ht="15" thickBot="1" x14ac:dyDescent="0.4">
      <c r="A9" s="19" t="e">
        <f>'Progress%'!#REF!</f>
        <v>#REF!</v>
      </c>
      <c r="B9" s="19" t="e">
        <f t="shared" ref="B9:C11" si="1">A9+1</f>
        <v>#REF!</v>
      </c>
      <c r="C9" s="19" t="e">
        <f t="shared" si="1"/>
        <v>#REF!</v>
      </c>
      <c r="D9" s="78" t="s">
        <v>15</v>
      </c>
      <c r="E9" s="79">
        <f>592.7%/100</f>
        <v>5.9270000000000003E-2</v>
      </c>
      <c r="F9" s="79" t="e">
        <f>'Progress Summary'!#REF!*100/EDSR!#REF!</f>
        <v>#REF!</v>
      </c>
      <c r="G9" s="79" t="e">
        <f>'Progress Summary'!#REF!*100/EDSR!#REF!</f>
        <v>#REF!</v>
      </c>
      <c r="H9" s="79" t="e">
        <f>'Progress Summary'!#REF!*100/EDSR!#REF!</f>
        <v>#REF!</v>
      </c>
      <c r="I9" s="79" t="e">
        <f>'Progress Summary'!#REF!*100/EDSR!#REF!</f>
        <v>#REF!</v>
      </c>
      <c r="J9" s="79" t="e">
        <f>'Progress Summary'!#REF!*100/EDSR!#REF!</f>
        <v>#REF!</v>
      </c>
      <c r="K9" s="79" t="e">
        <f>'Progress Summary'!#REF!*100/EDSR!#REF!</f>
        <v>#REF!</v>
      </c>
      <c r="L9" s="79" t="e">
        <f>'Progress Summary'!#REF!*100/EDSR!#REF!</f>
        <v>#REF!</v>
      </c>
      <c r="M9" s="79" t="e">
        <f>'Progress Summary'!#REF!*100/EDSR!#REF!</f>
        <v>#REF!</v>
      </c>
      <c r="N9" s="79" t="e">
        <f>'Progress Summary'!#REF!*100/EDSR!#REF!</f>
        <v>#REF!</v>
      </c>
      <c r="O9" s="79" t="e">
        <f>'Progress Summary'!#REF!*100/EDSR!#REF!</f>
        <v>#REF!</v>
      </c>
      <c r="P9" s="79" t="e">
        <f>'Progress Summary'!#REF!*100/EDSR!#REF!</f>
        <v>#REF!</v>
      </c>
      <c r="Q9" s="79" t="e">
        <f>'Progress Summary'!#REF!*100/EDSR!#REF!</f>
        <v>#REF!</v>
      </c>
    </row>
    <row r="10" spans="1:17" ht="15" thickBot="1" x14ac:dyDescent="0.4">
      <c r="A10" s="19">
        <f>'Progress%'!A7</f>
        <v>7</v>
      </c>
      <c r="B10" s="19">
        <f t="shared" si="1"/>
        <v>8</v>
      </c>
      <c r="C10" s="19">
        <f t="shared" si="1"/>
        <v>9</v>
      </c>
      <c r="D10" s="78" t="s">
        <v>8</v>
      </c>
      <c r="E10" s="79">
        <f>8221.9%/100</f>
        <v>0.82218999999999998</v>
      </c>
      <c r="F10" s="79" t="e">
        <f>'Progress Summary'!F8*100/EDSR!#REF!</f>
        <v>#REF!</v>
      </c>
      <c r="G10" s="79" t="e">
        <f>'Progress Summary'!G8*100/EDSR!#REF!</f>
        <v>#REF!</v>
      </c>
      <c r="H10" s="79" t="e">
        <f>'Progress Summary'!H8*100/EDSR!#REF!</f>
        <v>#REF!</v>
      </c>
      <c r="I10" s="79" t="e">
        <f>'Progress Summary'!I8*100/EDSR!#REF!</f>
        <v>#REF!</v>
      </c>
      <c r="J10" s="79" t="e">
        <f>'Progress Summary'!J8*100/EDSR!#REF!</f>
        <v>#REF!</v>
      </c>
      <c r="K10" s="79" t="e">
        <f>'Progress Summary'!K8*100/EDSR!#REF!</f>
        <v>#REF!</v>
      </c>
      <c r="L10" s="79" t="e">
        <f>'Progress Summary'!L8*100/EDSR!#REF!</f>
        <v>#REF!</v>
      </c>
      <c r="M10" s="79" t="e">
        <f>'Progress Summary'!M8*100/EDSR!#REF!</f>
        <v>#REF!</v>
      </c>
      <c r="N10" s="79" t="e">
        <f>'Progress Summary'!N8*100/EDSR!#REF!</f>
        <v>#REF!</v>
      </c>
      <c r="O10" s="79" t="e">
        <f>'Progress Summary'!O8*100/EDSR!#REF!</f>
        <v>#REF!</v>
      </c>
      <c r="P10" s="79" t="e">
        <f>'Progress Summary'!P8*100/EDSR!#REF!</f>
        <v>#REF!</v>
      </c>
      <c r="Q10" s="79" t="e">
        <f>'Progress Summary'!Q8*100/EDSR!#REF!</f>
        <v>#REF!</v>
      </c>
    </row>
    <row r="11" spans="1:17" ht="15" thickBot="1" x14ac:dyDescent="0.4">
      <c r="A11" s="19" t="e">
        <f>'Progress%'!#REF!</f>
        <v>#REF!</v>
      </c>
      <c r="B11" s="19" t="e">
        <f t="shared" si="1"/>
        <v>#REF!</v>
      </c>
      <c r="C11" s="19" t="e">
        <f t="shared" si="1"/>
        <v>#REF!</v>
      </c>
      <c r="D11" s="78" t="s">
        <v>14</v>
      </c>
      <c r="E11" s="79">
        <f>592.7%/100</f>
        <v>5.9270000000000003E-2</v>
      </c>
      <c r="F11" s="79" t="e">
        <f>'Progress Summary'!#REF!*100/EDSR!#REF!</f>
        <v>#REF!</v>
      </c>
      <c r="G11" s="79" t="e">
        <f>'Progress Summary'!#REF!*100/EDSR!#REF!</f>
        <v>#REF!</v>
      </c>
      <c r="H11" s="79" t="e">
        <f>'Progress Summary'!#REF!*100/EDSR!#REF!</f>
        <v>#REF!</v>
      </c>
      <c r="I11" s="79" t="e">
        <f>'Progress Summary'!#REF!*100/EDSR!#REF!</f>
        <v>#REF!</v>
      </c>
      <c r="J11" s="79" t="e">
        <f>'Progress Summary'!#REF!*100/EDSR!#REF!</f>
        <v>#REF!</v>
      </c>
      <c r="K11" s="79" t="e">
        <f>'Progress Summary'!#REF!*100/EDSR!#REF!</f>
        <v>#REF!</v>
      </c>
      <c r="L11" s="79" t="e">
        <f>'Progress Summary'!#REF!*100/EDSR!#REF!</f>
        <v>#REF!</v>
      </c>
      <c r="M11" s="79" t="e">
        <f>'Progress Summary'!#REF!*100/EDSR!#REF!</f>
        <v>#REF!</v>
      </c>
      <c r="N11" s="79" t="e">
        <f>'Progress Summary'!#REF!*100/EDSR!#REF!</f>
        <v>#REF!</v>
      </c>
      <c r="O11" s="79" t="e">
        <f>'Progress Summary'!#REF!*100/EDSR!#REF!</f>
        <v>#REF!</v>
      </c>
      <c r="P11" s="79" t="e">
        <f>'Progress Summary'!#REF!*100/EDSR!#REF!</f>
        <v>#REF!</v>
      </c>
      <c r="Q11" s="79" t="e">
        <f>'Progress Summary'!#REF!*100/EDSR!#REF!</f>
        <v>#REF!</v>
      </c>
    </row>
    <row r="12" spans="1:17" ht="37.5" customHeight="1" thickBot="1" x14ac:dyDescent="0.4">
      <c r="D12" s="103" t="s">
        <v>53</v>
      </c>
      <c r="E12" s="104">
        <f>SUM(E8:E11)</f>
        <v>1</v>
      </c>
      <c r="F12" s="104" t="e">
        <f t="shared" ref="F12:Q12" si="2">SUMPRODUCT($E8:$E11,F8:F11)/$E12</f>
        <v>#REF!</v>
      </c>
      <c r="G12" s="104" t="e">
        <f>SUMPRODUCT($E8:$E11,G8:G11)/$E12</f>
        <v>#REF!</v>
      </c>
      <c r="H12" s="104" t="e">
        <f>SUMPRODUCT($E8:$E11,H8:H11)/$E12</f>
        <v>#REF!</v>
      </c>
      <c r="I12" s="104" t="e">
        <f t="shared" si="2"/>
        <v>#REF!</v>
      </c>
      <c r="J12" s="104" t="e">
        <f t="shared" si="2"/>
        <v>#REF!</v>
      </c>
      <c r="K12" s="104" t="e">
        <f t="shared" si="2"/>
        <v>#REF!</v>
      </c>
      <c r="L12" s="104" t="e">
        <f t="shared" si="2"/>
        <v>#REF!</v>
      </c>
      <c r="M12" s="104" t="e">
        <f t="shared" si="2"/>
        <v>#REF!</v>
      </c>
      <c r="N12" s="104" t="e">
        <f>SUMPRODUCT($E8:$E11,N8:N11)/$E12</f>
        <v>#REF!</v>
      </c>
      <c r="O12" s="104" t="e">
        <f>SUMPRODUCT($E8:$E11,O8:O11)/$E12</f>
        <v>#REF!</v>
      </c>
      <c r="P12" s="104" t="e">
        <f t="shared" si="2"/>
        <v>#REF!</v>
      </c>
      <c r="Q12" s="104" t="e">
        <f t="shared" si="2"/>
        <v>#REF!</v>
      </c>
    </row>
    <row r="19" spans="4:4" x14ac:dyDescent="0.35">
      <c r="D19" s="101"/>
    </row>
  </sheetData>
  <mergeCells count="5">
    <mergeCell ref="D6:D7"/>
    <mergeCell ref="E6:E7"/>
    <mergeCell ref="F6:I6"/>
    <mergeCell ref="J6:M6"/>
    <mergeCell ref="N6:Q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08C6B2-F1A7-43FA-A68A-DD0A95D99C61}">
          <x14:formula1>
            <xm:f>Cut_Off!$B$2:$B$104</xm:f>
          </x14:formula1>
          <xm:sqref>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H12" sqref="H12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1" t="s">
        <v>39</v>
      </c>
      <c r="I8" s="61" t="s">
        <v>40</v>
      </c>
      <c r="K8" s="61" t="s">
        <v>41</v>
      </c>
      <c r="M8" s="61" t="s">
        <v>42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7" sqref="C7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2" t="s">
        <v>17</v>
      </c>
      <c r="C2" t="s">
        <v>20</v>
      </c>
    </row>
    <row r="3" spans="2:3" x14ac:dyDescent="0.35">
      <c r="B3" s="3" t="s">
        <v>9</v>
      </c>
      <c r="C3">
        <v>22.074999999999971</v>
      </c>
    </row>
    <row r="4" spans="2:3" x14ac:dyDescent="0.35">
      <c r="B4" s="3" t="s">
        <v>15</v>
      </c>
      <c r="C4">
        <v>22.074999999999971</v>
      </c>
    </row>
    <row r="5" spans="2:3" x14ac:dyDescent="0.35">
      <c r="B5" s="3" t="s">
        <v>8</v>
      </c>
      <c r="C5">
        <v>22.074999999999971</v>
      </c>
    </row>
    <row r="6" spans="2:3" x14ac:dyDescent="0.35">
      <c r="B6" s="3" t="s">
        <v>14</v>
      </c>
      <c r="C6">
        <v>22.074999999999971</v>
      </c>
    </row>
    <row r="7" spans="2:3" x14ac:dyDescent="0.35">
      <c r="B7" s="3" t="s">
        <v>18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Cut_Off</vt:lpstr>
      <vt:lpstr>Progress Summary</vt:lpstr>
      <vt:lpstr>Progress%</vt:lpstr>
      <vt:lpstr>S-Curves</vt:lpstr>
      <vt:lpstr>EDSR</vt:lpstr>
      <vt:lpstr>Overall S-Curves DDE Only</vt:lpstr>
      <vt:lpstr>Progress Summary DDE Normalise</vt:lpstr>
      <vt:lpstr>Review Cycle</vt:lpstr>
      <vt:lpstr>Sheet4</vt:lpstr>
      <vt:lpstr>'Overall S-Curves DDE Only'!Print_Area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suraphanp@cventek.com</dc:creator>
  <cp:lastModifiedBy>Suraphan Powanusorn</cp:lastModifiedBy>
  <cp:lastPrinted>2026-08-15T06:34:54Z</cp:lastPrinted>
  <dcterms:created xsi:type="dcterms:W3CDTF">2024-04-23T01:26:48Z</dcterms:created>
  <dcterms:modified xsi:type="dcterms:W3CDTF">2026-08-15T07:32:05Z</dcterms:modified>
</cp:coreProperties>
</file>