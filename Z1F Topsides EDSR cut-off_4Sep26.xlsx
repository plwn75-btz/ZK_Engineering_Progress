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4_cut-off_4Sep26\"/>
    </mc:Choice>
  </mc:AlternateContent>
  <xr:revisionPtr revIDLastSave="0" documentId="13_ncr:1_{B2FDB6C5-A400-4E91-BD5D-2FDFD3C09E9E}" xr6:coauthVersionLast="47" xr6:coauthVersionMax="47" xr10:uidLastSave="{00000000-0000-0000-0000-000000000000}"/>
  <bookViews>
    <workbookView xWindow="-110" yWindow="-110" windowWidth="25820" windowHeight="15500" firstSheet="1" activeTab="1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EDSR!$A$3:$V$251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3" i="1" l="1"/>
  <c r="X53" i="1"/>
  <c r="N53" i="1"/>
  <c r="L53" i="1"/>
  <c r="H53" i="1"/>
  <c r="Y52" i="1"/>
  <c r="X52" i="1"/>
  <c r="N52" i="1"/>
  <c r="Q52" i="1" s="1"/>
  <c r="T52" i="1" s="1"/>
  <c r="L52" i="1"/>
  <c r="H52" i="1"/>
  <c r="Y24" i="1"/>
  <c r="X24" i="1"/>
  <c r="N24" i="1"/>
  <c r="O24" i="1" s="1"/>
  <c r="L24" i="1"/>
  <c r="H24" i="1"/>
  <c r="Y18" i="1"/>
  <c r="X18" i="1"/>
  <c r="N18" i="1"/>
  <c r="O18" i="1" s="1"/>
  <c r="L18" i="1"/>
  <c r="H18" i="1"/>
  <c r="Y17" i="1"/>
  <c r="X17" i="1"/>
  <c r="N17" i="1"/>
  <c r="Q17" i="1" s="1"/>
  <c r="L17" i="1"/>
  <c r="H17" i="1"/>
  <c r="Y15" i="1"/>
  <c r="X15" i="1"/>
  <c r="N15" i="1"/>
  <c r="Q15" i="1" s="1"/>
  <c r="L15" i="1"/>
  <c r="H15" i="1"/>
  <c r="Y131" i="1"/>
  <c r="X131" i="1"/>
  <c r="N131" i="1"/>
  <c r="Q131" i="1" s="1"/>
  <c r="L131" i="1"/>
  <c r="H216" i="1"/>
  <c r="X216" i="1"/>
  <c r="N216" i="1"/>
  <c r="O216" i="1" s="1"/>
  <c r="Y216" i="1" s="1"/>
  <c r="L216" i="1"/>
  <c r="O52" i="1" l="1"/>
  <c r="U52" i="1"/>
  <c r="AA52" i="1" s="1"/>
  <c r="F52" i="1"/>
  <c r="I52" i="1" s="1"/>
  <c r="Q53" i="1"/>
  <c r="R52" i="1"/>
  <c r="Z52" i="1" s="1"/>
  <c r="O53" i="1"/>
  <c r="Q24" i="1"/>
  <c r="Q18" i="1"/>
  <c r="T18" i="1" s="1"/>
  <c r="F18" i="1"/>
  <c r="I18" i="1" s="1"/>
  <c r="U18" i="1"/>
  <c r="AA18" i="1" s="1"/>
  <c r="R18" i="1"/>
  <c r="Z18" i="1" s="1"/>
  <c r="F17" i="1"/>
  <c r="I17" i="1" s="1"/>
  <c r="T17" i="1"/>
  <c r="U17" i="1" s="1"/>
  <c r="AA17" i="1" s="1"/>
  <c r="R17" i="1"/>
  <c r="Z17" i="1" s="1"/>
  <c r="O17" i="1"/>
  <c r="G17" i="1" s="1"/>
  <c r="R15" i="1"/>
  <c r="Z15" i="1" s="1"/>
  <c r="T15" i="1"/>
  <c r="U15" i="1" s="1"/>
  <c r="AA15" i="1" s="1"/>
  <c r="O15" i="1"/>
  <c r="R131" i="1"/>
  <c r="Z131" i="1" s="1"/>
  <c r="T131" i="1"/>
  <c r="U131" i="1" s="1"/>
  <c r="AA131" i="1" s="1"/>
  <c r="O131" i="1"/>
  <c r="Q216" i="1"/>
  <c r="AA215" i="1"/>
  <c r="Z215" i="1"/>
  <c r="Y215" i="1"/>
  <c r="X215" i="1"/>
  <c r="N215" i="1"/>
  <c r="O215" i="1" s="1"/>
  <c r="L215" i="1"/>
  <c r="G18" i="1" l="1"/>
  <c r="R53" i="1"/>
  <c r="Z53" i="1" s="1"/>
  <c r="T53" i="1"/>
  <c r="G52" i="1"/>
  <c r="G15" i="1"/>
  <c r="T24" i="1"/>
  <c r="U24" i="1" s="1"/>
  <c r="AA24" i="1" s="1"/>
  <c r="R24" i="1"/>
  <c r="F15" i="1"/>
  <c r="I15" i="1" s="1"/>
  <c r="R216" i="1"/>
  <c r="T216" i="1"/>
  <c r="U216" i="1" s="1"/>
  <c r="AA216" i="1" s="1"/>
  <c r="Q215" i="1"/>
  <c r="T215" i="1" s="1"/>
  <c r="U215" i="1" s="1"/>
  <c r="U53" i="1" l="1"/>
  <c r="AA53" i="1" s="1"/>
  <c r="F53" i="1"/>
  <c r="I53" i="1" s="1"/>
  <c r="G53" i="1"/>
  <c r="F24" i="1"/>
  <c r="I24" i="1" s="1"/>
  <c r="Z24" i="1"/>
  <c r="G24" i="1"/>
  <c r="G216" i="1"/>
  <c r="Z216" i="1"/>
  <c r="F216" i="1"/>
  <c r="I216" i="1" s="1"/>
  <c r="R215" i="1"/>
  <c r="H12" i="1"/>
  <c r="L12" i="1"/>
  <c r="N12" i="1"/>
  <c r="O12" i="1" s="1"/>
  <c r="X12" i="1"/>
  <c r="Y12" i="1"/>
  <c r="Y13" i="1"/>
  <c r="X13" i="1"/>
  <c r="N13" i="1"/>
  <c r="Q13" i="1" s="1"/>
  <c r="L13" i="1"/>
  <c r="H13" i="1"/>
  <c r="Y14" i="1"/>
  <c r="X14" i="1"/>
  <c r="N14" i="1"/>
  <c r="O14" i="1" s="1"/>
  <c r="L14" i="1"/>
  <c r="H14" i="1"/>
  <c r="Q12" i="1" l="1"/>
  <c r="R12" i="1" s="1"/>
  <c r="Z12" i="1" s="1"/>
  <c r="T12" i="1"/>
  <c r="U12" i="1" s="1"/>
  <c r="AA12" i="1" s="1"/>
  <c r="F12" i="1"/>
  <c r="I12" i="1" s="1"/>
  <c r="G12" i="1"/>
  <c r="T13" i="1"/>
  <c r="U13" i="1" s="1"/>
  <c r="AA13" i="1" s="1"/>
  <c r="R13" i="1"/>
  <c r="Z13" i="1" s="1"/>
  <c r="O13" i="1"/>
  <c r="G13" i="1" s="1"/>
  <c r="Q14" i="1"/>
  <c r="F13" i="1" l="1"/>
  <c r="I13" i="1" s="1"/>
  <c r="T14" i="1"/>
  <c r="U14" i="1" s="1"/>
  <c r="AA14" i="1" s="1"/>
  <c r="R14" i="1"/>
  <c r="F14" i="1" l="1"/>
  <c r="I14" i="1" s="1"/>
  <c r="Z14" i="1"/>
  <c r="G14" i="1"/>
  <c r="X45" i="1" l="1"/>
  <c r="N45" i="1"/>
  <c r="Q45" i="1" s="1"/>
  <c r="L45" i="1"/>
  <c r="H45" i="1"/>
  <c r="X44" i="1"/>
  <c r="N44" i="1"/>
  <c r="Q44" i="1" s="1"/>
  <c r="L44" i="1"/>
  <c r="H44" i="1"/>
  <c r="N49" i="1"/>
  <c r="Q49" i="1" s="1"/>
  <c r="X49" i="1"/>
  <c r="L49" i="1"/>
  <c r="H49" i="1"/>
  <c r="X23" i="1"/>
  <c r="Q23" i="1"/>
  <c r="L23" i="1"/>
  <c r="H23" i="1"/>
  <c r="X21" i="1"/>
  <c r="N21" i="1"/>
  <c r="Q21" i="1" s="1"/>
  <c r="L21" i="1"/>
  <c r="H21" i="1"/>
  <c r="T44" i="1" l="1"/>
  <c r="U44" i="1" s="1"/>
  <c r="AA44" i="1" s="1"/>
  <c r="R44" i="1"/>
  <c r="Z44" i="1" s="1"/>
  <c r="T45" i="1"/>
  <c r="U45" i="1" s="1"/>
  <c r="AA45" i="1" s="1"/>
  <c r="R45" i="1"/>
  <c r="Z45" i="1" s="1"/>
  <c r="O44" i="1"/>
  <c r="O45" i="1"/>
  <c r="T49" i="1"/>
  <c r="U49" i="1" s="1"/>
  <c r="AA49" i="1" s="1"/>
  <c r="R49" i="1"/>
  <c r="Z49" i="1" s="1"/>
  <c r="O49" i="1"/>
  <c r="Y49" i="1" s="1"/>
  <c r="T23" i="1"/>
  <c r="U23" i="1" s="1"/>
  <c r="AA23" i="1" s="1"/>
  <c r="R23" i="1"/>
  <c r="Z23" i="1" s="1"/>
  <c r="O23" i="1"/>
  <c r="T21" i="1"/>
  <c r="U21" i="1" s="1"/>
  <c r="AA21" i="1" s="1"/>
  <c r="R21" i="1"/>
  <c r="Z21" i="1" s="1"/>
  <c r="O21" i="1"/>
  <c r="F21" i="1" l="1"/>
  <c r="I21" i="1" s="1"/>
  <c r="F44" i="1"/>
  <c r="I44" i="1" s="1"/>
  <c r="F45" i="1"/>
  <c r="I45" i="1" s="1"/>
  <c r="F23" i="1"/>
  <c r="I23" i="1" s="1"/>
  <c r="G45" i="1"/>
  <c r="Y45" i="1"/>
  <c r="G44" i="1"/>
  <c r="Y44" i="1"/>
  <c r="F49" i="1"/>
  <c r="I49" i="1" s="1"/>
  <c r="G49" i="1"/>
  <c r="G23" i="1"/>
  <c r="Y23" i="1"/>
  <c r="Y21" i="1"/>
  <c r="G21" i="1"/>
  <c r="AA250" i="1" l="1"/>
  <c r="Z250" i="1"/>
  <c r="Y250" i="1"/>
  <c r="X250" i="1"/>
  <c r="AA249" i="1"/>
  <c r="Z249" i="1"/>
  <c r="Y249" i="1"/>
  <c r="X249" i="1"/>
  <c r="AA248" i="1"/>
  <c r="Z248" i="1"/>
  <c r="Y248" i="1"/>
  <c r="X248" i="1"/>
  <c r="AA247" i="1"/>
  <c r="Z247" i="1"/>
  <c r="Y247" i="1"/>
  <c r="X247" i="1"/>
  <c r="X246" i="1"/>
  <c r="X245" i="1"/>
  <c r="X244" i="1"/>
  <c r="X243" i="1"/>
  <c r="X242" i="1"/>
  <c r="X241" i="1"/>
  <c r="X240" i="1"/>
  <c r="Y239" i="1"/>
  <c r="X239" i="1"/>
  <c r="X238" i="1"/>
  <c r="X235" i="1"/>
  <c r="X234" i="1"/>
  <c r="Y233" i="1"/>
  <c r="X233" i="1"/>
  <c r="Y232" i="1"/>
  <c r="X232" i="1"/>
  <c r="X231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Y200" i="1"/>
  <c r="X200" i="1"/>
  <c r="Y199" i="1"/>
  <c r="X199" i="1"/>
  <c r="X197" i="1"/>
  <c r="X196" i="1"/>
  <c r="X195" i="1"/>
  <c r="X194" i="1"/>
  <c r="X193" i="1"/>
  <c r="X192" i="1"/>
  <c r="X191" i="1"/>
  <c r="X190" i="1"/>
  <c r="X188" i="1"/>
  <c r="X187" i="1"/>
  <c r="X186" i="1"/>
  <c r="X185" i="1"/>
  <c r="X184" i="1"/>
  <c r="X183" i="1"/>
  <c r="X182" i="1"/>
  <c r="X181" i="1"/>
  <c r="X180" i="1"/>
  <c r="X179" i="1"/>
  <c r="X176" i="1"/>
  <c r="X175" i="1"/>
  <c r="Y174" i="1"/>
  <c r="X174" i="1"/>
  <c r="X173" i="1"/>
  <c r="X172" i="1"/>
  <c r="X171" i="1"/>
  <c r="X170" i="1"/>
  <c r="Y169" i="1"/>
  <c r="X169" i="1"/>
  <c r="X168" i="1"/>
  <c r="Y167" i="1"/>
  <c r="X167" i="1"/>
  <c r="X166" i="1"/>
  <c r="X165" i="1"/>
  <c r="X164" i="1"/>
  <c r="X161" i="1"/>
  <c r="X160" i="1"/>
  <c r="X159" i="1"/>
  <c r="X158" i="1"/>
  <c r="X157" i="1"/>
  <c r="X155" i="1"/>
  <c r="X154" i="1"/>
  <c r="X153" i="1"/>
  <c r="X152" i="1"/>
  <c r="X151" i="1"/>
  <c r="X150" i="1"/>
  <c r="X149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Y130" i="1"/>
  <c r="X130" i="1"/>
  <c r="Y129" i="1"/>
  <c r="X129" i="1"/>
  <c r="Y128" i="1"/>
  <c r="X128" i="1"/>
  <c r="Y127" i="1"/>
  <c r="X127" i="1"/>
  <c r="Y126" i="1"/>
  <c r="X126" i="1"/>
  <c r="Y125" i="1"/>
  <c r="X125" i="1"/>
  <c r="Y124" i="1"/>
  <c r="X124" i="1"/>
  <c r="Y123" i="1"/>
  <c r="X123" i="1"/>
  <c r="Y122" i="1"/>
  <c r="X122" i="1"/>
  <c r="Y121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Y102" i="1"/>
  <c r="X102" i="1"/>
  <c r="Y101" i="1"/>
  <c r="X101" i="1"/>
  <c r="Y100" i="1"/>
  <c r="X100" i="1"/>
  <c r="AA96" i="1"/>
  <c r="Z96" i="1"/>
  <c r="Y96" i="1"/>
  <c r="X96" i="1"/>
  <c r="AA95" i="1"/>
  <c r="Z95" i="1"/>
  <c r="Y95" i="1"/>
  <c r="X95" i="1"/>
  <c r="AA94" i="1"/>
  <c r="Z94" i="1"/>
  <c r="Y94" i="1"/>
  <c r="X94" i="1"/>
  <c r="X93" i="1"/>
  <c r="X92" i="1"/>
  <c r="AA91" i="1"/>
  <c r="Z91" i="1"/>
  <c r="Y91" i="1"/>
  <c r="X91" i="1"/>
  <c r="AA90" i="1"/>
  <c r="Z90" i="1"/>
  <c r="Y90" i="1"/>
  <c r="X90" i="1"/>
  <c r="X89" i="1"/>
  <c r="Y88" i="1"/>
  <c r="X88" i="1"/>
  <c r="Y87" i="1"/>
  <c r="X87" i="1"/>
  <c r="AA86" i="1"/>
  <c r="Z86" i="1"/>
  <c r="Y86" i="1"/>
  <c r="X86" i="1"/>
  <c r="Y85" i="1"/>
  <c r="X85" i="1"/>
  <c r="AA84" i="1"/>
  <c r="Z84" i="1"/>
  <c r="Y84" i="1"/>
  <c r="X84" i="1"/>
  <c r="AA83" i="1"/>
  <c r="Z83" i="1"/>
  <c r="Y83" i="1"/>
  <c r="X83" i="1"/>
  <c r="Y82" i="1"/>
  <c r="X82" i="1"/>
  <c r="AA81" i="1"/>
  <c r="Z81" i="1"/>
  <c r="Y81" i="1"/>
  <c r="X81" i="1"/>
  <c r="Y80" i="1"/>
  <c r="X80" i="1"/>
  <c r="AA79" i="1"/>
  <c r="Z79" i="1"/>
  <c r="Y79" i="1"/>
  <c r="X79" i="1"/>
  <c r="AA78" i="1"/>
  <c r="Z78" i="1"/>
  <c r="Y78" i="1"/>
  <c r="X78" i="1"/>
  <c r="AA77" i="1"/>
  <c r="Z77" i="1"/>
  <c r="Y77" i="1"/>
  <c r="X77" i="1"/>
  <c r="AA76" i="1"/>
  <c r="Z76" i="1"/>
  <c r="Y76" i="1"/>
  <c r="X76" i="1"/>
  <c r="AA75" i="1"/>
  <c r="Z75" i="1"/>
  <c r="Y75" i="1"/>
  <c r="X75" i="1"/>
  <c r="AA74" i="1"/>
  <c r="Z74" i="1"/>
  <c r="Y74" i="1"/>
  <c r="X74" i="1"/>
  <c r="AA73" i="1"/>
  <c r="Z73" i="1"/>
  <c r="Y73" i="1"/>
  <c r="X73" i="1"/>
  <c r="AA72" i="1"/>
  <c r="Z72" i="1"/>
  <c r="Y72" i="1"/>
  <c r="X72" i="1"/>
  <c r="AA71" i="1"/>
  <c r="Z71" i="1"/>
  <c r="Y71" i="1"/>
  <c r="X71" i="1"/>
  <c r="AA70" i="1"/>
  <c r="Z70" i="1"/>
  <c r="Y70" i="1"/>
  <c r="X70" i="1"/>
  <c r="AA69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AA64" i="1"/>
  <c r="Z64" i="1"/>
  <c r="Y64" i="1"/>
  <c r="X64" i="1"/>
  <c r="AA63" i="1"/>
  <c r="Z63" i="1"/>
  <c r="Y63" i="1"/>
  <c r="X63" i="1"/>
  <c r="AA62" i="1"/>
  <c r="Z62" i="1"/>
  <c r="Y62" i="1"/>
  <c r="X62" i="1"/>
  <c r="AA61" i="1"/>
  <c r="Z61" i="1"/>
  <c r="Y61" i="1"/>
  <c r="X61" i="1"/>
  <c r="AA60" i="1"/>
  <c r="Z60" i="1"/>
  <c r="Y60" i="1"/>
  <c r="X60" i="1"/>
  <c r="Y59" i="1"/>
  <c r="X59" i="1"/>
  <c r="Z58" i="1"/>
  <c r="Y58" i="1"/>
  <c r="X58" i="1"/>
  <c r="Z57" i="1"/>
  <c r="Y57" i="1"/>
  <c r="X57" i="1"/>
  <c r="Z56" i="1"/>
  <c r="Y56" i="1"/>
  <c r="X56" i="1"/>
  <c r="Z55" i="1"/>
  <c r="Y55" i="1"/>
  <c r="X55" i="1"/>
  <c r="Z54" i="1"/>
  <c r="Y54" i="1"/>
  <c r="X54" i="1"/>
  <c r="Y51" i="1"/>
  <c r="X51" i="1"/>
  <c r="Y50" i="1"/>
  <c r="X50" i="1"/>
  <c r="X48" i="1"/>
  <c r="Y47" i="1"/>
  <c r="X47" i="1"/>
  <c r="Y46" i="1"/>
  <c r="X46" i="1"/>
  <c r="X43" i="1"/>
  <c r="X42" i="1"/>
  <c r="Y41" i="1"/>
  <c r="X41" i="1"/>
  <c r="Y40" i="1"/>
  <c r="X40" i="1"/>
  <c r="X38" i="1"/>
  <c r="AA37" i="1"/>
  <c r="Z37" i="1"/>
  <c r="Y37" i="1"/>
  <c r="X37" i="1"/>
  <c r="AA36" i="1"/>
  <c r="Z36" i="1"/>
  <c r="Y36" i="1"/>
  <c r="X36" i="1"/>
  <c r="X35" i="1"/>
  <c r="AA34" i="1"/>
  <c r="Z34" i="1"/>
  <c r="Y34" i="1"/>
  <c r="X34" i="1"/>
  <c r="AA32" i="1"/>
  <c r="Z32" i="1"/>
  <c r="Y32" i="1"/>
  <c r="X32" i="1"/>
  <c r="Y31" i="1"/>
  <c r="X31" i="1"/>
  <c r="AA30" i="1"/>
  <c r="Z30" i="1"/>
  <c r="Y30" i="1"/>
  <c r="X30" i="1"/>
  <c r="AA28" i="1"/>
  <c r="Z28" i="1"/>
  <c r="Y28" i="1"/>
  <c r="X28" i="1"/>
  <c r="Y27" i="1"/>
  <c r="X27" i="1"/>
  <c r="X26" i="1"/>
  <c r="Y25" i="1"/>
  <c r="X25" i="1"/>
  <c r="X22" i="1"/>
  <c r="X20" i="1"/>
  <c r="Y19" i="1"/>
  <c r="X19" i="1"/>
  <c r="X16" i="1"/>
  <c r="AA11" i="1"/>
  <c r="Z11" i="1"/>
  <c r="Y11" i="1"/>
  <c r="X11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X5" i="1"/>
  <c r="Y4" i="1"/>
  <c r="X4" i="1"/>
  <c r="N39" i="1" l="1"/>
  <c r="O39" i="1" s="1"/>
  <c r="Y39" i="1" s="1"/>
  <c r="L39" i="1"/>
  <c r="X39" i="1" s="1"/>
  <c r="H39" i="1"/>
  <c r="N38" i="1"/>
  <c r="L38" i="1"/>
  <c r="H38" i="1"/>
  <c r="Q38" i="1" l="1"/>
  <c r="T38" i="1" s="1"/>
  <c r="U38" i="1" s="1"/>
  <c r="AA38" i="1" s="1"/>
  <c r="O38" i="1"/>
  <c r="Q39" i="1"/>
  <c r="J251" i="1"/>
  <c r="R38" i="1" l="1"/>
  <c r="Z38" i="1" s="1"/>
  <c r="F38" i="1"/>
  <c r="I38" i="1" s="1"/>
  <c r="Y38" i="1"/>
  <c r="T39" i="1"/>
  <c r="U39" i="1" s="1"/>
  <c r="AA39" i="1" s="1"/>
  <c r="R39" i="1"/>
  <c r="L33" i="1"/>
  <c r="X33" i="1" s="1"/>
  <c r="N31" i="1"/>
  <c r="Q31" i="1" s="1"/>
  <c r="L31" i="1"/>
  <c r="H31" i="1"/>
  <c r="Q35" i="1"/>
  <c r="L35" i="1"/>
  <c r="H35" i="1"/>
  <c r="N33" i="1"/>
  <c r="Q33" i="1" s="1"/>
  <c r="H33" i="1"/>
  <c r="N29" i="1"/>
  <c r="Q29" i="1" s="1"/>
  <c r="L29" i="1"/>
  <c r="X29" i="1" s="1"/>
  <c r="H29" i="1"/>
  <c r="H246" i="1"/>
  <c r="N246" i="1"/>
  <c r="Q246" i="1" s="1"/>
  <c r="L246" i="1"/>
  <c r="N172" i="1"/>
  <c r="O172" i="1" s="1"/>
  <c r="Y172" i="1" s="1"/>
  <c r="L172" i="1"/>
  <c r="H172" i="1"/>
  <c r="H213" i="1"/>
  <c r="L213" i="1"/>
  <c r="N213" i="1"/>
  <c r="H214" i="1"/>
  <c r="L214" i="1"/>
  <c r="N214" i="1"/>
  <c r="H217" i="1"/>
  <c r="L217" i="1"/>
  <c r="X217" i="1" s="1"/>
  <c r="N217" i="1"/>
  <c r="H218" i="1"/>
  <c r="L218" i="1"/>
  <c r="X218" i="1" s="1"/>
  <c r="N218" i="1"/>
  <c r="H219" i="1"/>
  <c r="L219" i="1"/>
  <c r="X219" i="1" s="1"/>
  <c r="N219" i="1"/>
  <c r="H220" i="1"/>
  <c r="L220" i="1"/>
  <c r="X220" i="1" s="1"/>
  <c r="N220" i="1"/>
  <c r="H221" i="1"/>
  <c r="L221" i="1"/>
  <c r="X221" i="1" s="1"/>
  <c r="N221" i="1"/>
  <c r="H222" i="1"/>
  <c r="L222" i="1"/>
  <c r="X222" i="1" s="1"/>
  <c r="N222" i="1"/>
  <c r="L223" i="1"/>
  <c r="X223" i="1" s="1"/>
  <c r="N223" i="1"/>
  <c r="H224" i="1"/>
  <c r="L224" i="1"/>
  <c r="X224" i="1" s="1"/>
  <c r="N224" i="1"/>
  <c r="H225" i="1"/>
  <c r="L225" i="1"/>
  <c r="X225" i="1" s="1"/>
  <c r="N225" i="1"/>
  <c r="H226" i="1"/>
  <c r="L226" i="1"/>
  <c r="X226" i="1" s="1"/>
  <c r="N226" i="1"/>
  <c r="H227" i="1"/>
  <c r="L227" i="1"/>
  <c r="X227" i="1" s="1"/>
  <c r="N227" i="1"/>
  <c r="H228" i="1"/>
  <c r="L228" i="1"/>
  <c r="X228" i="1" s="1"/>
  <c r="N228" i="1"/>
  <c r="H229" i="1"/>
  <c r="L229" i="1"/>
  <c r="X229" i="1" s="1"/>
  <c r="N229" i="1"/>
  <c r="H230" i="1"/>
  <c r="L230" i="1"/>
  <c r="X230" i="1" s="1"/>
  <c r="N230" i="1"/>
  <c r="H196" i="1"/>
  <c r="L196" i="1"/>
  <c r="N196" i="1"/>
  <c r="H174" i="1"/>
  <c r="I174" i="1" s="1"/>
  <c r="L174" i="1"/>
  <c r="N174" i="1"/>
  <c r="O174" i="1" s="1"/>
  <c r="H175" i="1"/>
  <c r="I175" i="1" s="1"/>
  <c r="L175" i="1"/>
  <c r="N175" i="1"/>
  <c r="O175" i="1" s="1"/>
  <c r="Y175" i="1" s="1"/>
  <c r="H176" i="1"/>
  <c r="I176" i="1" s="1"/>
  <c r="L176" i="1"/>
  <c r="N176" i="1"/>
  <c r="O176" i="1" s="1"/>
  <c r="Y176" i="1" s="1"/>
  <c r="Y177" i="1"/>
  <c r="H154" i="1"/>
  <c r="L154" i="1"/>
  <c r="N154" i="1"/>
  <c r="Q154" i="1" s="1"/>
  <c r="H155" i="1"/>
  <c r="L155" i="1"/>
  <c r="N155" i="1"/>
  <c r="O155" i="1" s="1"/>
  <c r="Y155" i="1" s="1"/>
  <c r="N148" i="1"/>
  <c r="Q148" i="1" s="1"/>
  <c r="L148" i="1"/>
  <c r="X148" i="1" s="1"/>
  <c r="N99" i="1"/>
  <c r="O99" i="1" s="1"/>
  <c r="Y99" i="1" s="1"/>
  <c r="G38" i="1" l="1"/>
  <c r="O196" i="1"/>
  <c r="Y196" i="1" s="1"/>
  <c r="O214" i="1"/>
  <c r="Y214" i="1" s="1"/>
  <c r="O230" i="1"/>
  <c r="Y230" i="1" s="1"/>
  <c r="O213" i="1"/>
  <c r="Y213" i="1" s="1"/>
  <c r="F39" i="1"/>
  <c r="I39" i="1" s="1"/>
  <c r="G39" i="1"/>
  <c r="Z39" i="1"/>
  <c r="O226" i="1"/>
  <c r="Y226" i="1" s="1"/>
  <c r="O219" i="1"/>
  <c r="Y219" i="1" s="1"/>
  <c r="O227" i="1"/>
  <c r="Y227" i="1" s="1"/>
  <c r="O222" i="1"/>
  <c r="Y222" i="1" s="1"/>
  <c r="O218" i="1"/>
  <c r="Y218" i="1" s="1"/>
  <c r="Q229" i="1"/>
  <c r="T229" i="1" s="1"/>
  <c r="U229" i="1" s="1"/>
  <c r="AA229" i="1" s="1"/>
  <c r="O225" i="1"/>
  <c r="Y225" i="1" s="1"/>
  <c r="O221" i="1"/>
  <c r="Y221" i="1" s="1"/>
  <c r="Q217" i="1"/>
  <c r="R217" i="1" s="1"/>
  <c r="Z217" i="1" s="1"/>
  <c r="O228" i="1"/>
  <c r="Y228" i="1" s="1"/>
  <c r="O224" i="1"/>
  <c r="Y224" i="1" s="1"/>
  <c r="O220" i="1"/>
  <c r="Y220" i="1" s="1"/>
  <c r="Q223" i="1"/>
  <c r="T223" i="1" s="1"/>
  <c r="T31" i="1"/>
  <c r="U31" i="1" s="1"/>
  <c r="AA31" i="1" s="1"/>
  <c r="R31" i="1"/>
  <c r="Z31" i="1" s="1"/>
  <c r="O31" i="1"/>
  <c r="T35" i="1"/>
  <c r="U35" i="1" s="1"/>
  <c r="AA35" i="1" s="1"/>
  <c r="R35" i="1"/>
  <c r="Z35" i="1" s="1"/>
  <c r="O35" i="1"/>
  <c r="Y35" i="1" s="1"/>
  <c r="T33" i="1"/>
  <c r="U33" i="1" s="1"/>
  <c r="AA33" i="1" s="1"/>
  <c r="R33" i="1"/>
  <c r="Z33" i="1" s="1"/>
  <c r="O33" i="1"/>
  <c r="Y33" i="1" s="1"/>
  <c r="O29" i="1"/>
  <c r="Y29" i="1" s="1"/>
  <c r="T29" i="1"/>
  <c r="U29" i="1" s="1"/>
  <c r="AA29" i="1" s="1"/>
  <c r="R29" i="1"/>
  <c r="Z29" i="1" s="1"/>
  <c r="T246" i="1"/>
  <c r="R246" i="1"/>
  <c r="Z246" i="1" s="1"/>
  <c r="O246" i="1"/>
  <c r="Y246" i="1" s="1"/>
  <c r="Q219" i="1"/>
  <c r="T219" i="1" s="1"/>
  <c r="U219" i="1" s="1"/>
  <c r="AA219" i="1" s="1"/>
  <c r="Q222" i="1"/>
  <c r="R222" i="1" s="1"/>
  <c r="Z222" i="1" s="1"/>
  <c r="Q228" i="1"/>
  <c r="R228" i="1" s="1"/>
  <c r="Z228" i="1" s="1"/>
  <c r="Q99" i="1"/>
  <c r="T99" i="1" s="1"/>
  <c r="U99" i="1" s="1"/>
  <c r="AA99" i="1" s="1"/>
  <c r="O154" i="1"/>
  <c r="Y154" i="1" s="1"/>
  <c r="AA156" i="1"/>
  <c r="Z156" i="1"/>
  <c r="AA162" i="1"/>
  <c r="O217" i="1"/>
  <c r="Y217" i="1" s="1"/>
  <c r="O223" i="1"/>
  <c r="Y223" i="1" s="1"/>
  <c r="Q155" i="1"/>
  <c r="Z177" i="1"/>
  <c r="Q226" i="1"/>
  <c r="Q213" i="1"/>
  <c r="R213" i="1" s="1"/>
  <c r="Z213" i="1" s="1"/>
  <c r="Q230" i="1"/>
  <c r="T230" i="1" s="1"/>
  <c r="U230" i="1" s="1"/>
  <c r="AA230" i="1" s="1"/>
  <c r="Q218" i="1"/>
  <c r="T218" i="1" s="1"/>
  <c r="U218" i="1" s="1"/>
  <c r="AA218" i="1" s="1"/>
  <c r="Q214" i="1"/>
  <c r="Q172" i="1"/>
  <c r="R154" i="1"/>
  <c r="Z154" i="1" s="1"/>
  <c r="T154" i="1"/>
  <c r="U154" i="1" s="1"/>
  <c r="AA154" i="1" s="1"/>
  <c r="Q224" i="1"/>
  <c r="Q225" i="1"/>
  <c r="Q174" i="1"/>
  <c r="Q196" i="1"/>
  <c r="O229" i="1"/>
  <c r="Y229" i="1" s="1"/>
  <c r="Q220" i="1"/>
  <c r="Q227" i="1"/>
  <c r="Q221" i="1"/>
  <c r="Q175" i="1"/>
  <c r="Q176" i="1"/>
  <c r="T148" i="1"/>
  <c r="U148" i="1" s="1"/>
  <c r="AA148" i="1" s="1"/>
  <c r="R148" i="1"/>
  <c r="Z148" i="1" s="1"/>
  <c r="O148" i="1"/>
  <c r="Y148" i="1" s="1"/>
  <c r="H99" i="1"/>
  <c r="L99" i="1"/>
  <c r="X99" i="1" s="1"/>
  <c r="H100" i="1"/>
  <c r="L100" i="1"/>
  <c r="N173" i="1"/>
  <c r="Q173" i="1" s="1"/>
  <c r="L173" i="1"/>
  <c r="H173" i="1"/>
  <c r="F29" i="1" l="1"/>
  <c r="I29" i="1" s="1"/>
  <c r="F31" i="1"/>
  <c r="I31" i="1" s="1"/>
  <c r="R223" i="1"/>
  <c r="Z223" i="1" s="1"/>
  <c r="F230" i="1"/>
  <c r="I230" i="1" s="1"/>
  <c r="G31" i="1"/>
  <c r="F218" i="1"/>
  <c r="I218" i="1" s="1"/>
  <c r="R229" i="1"/>
  <c r="Z229" i="1" s="1"/>
  <c r="G33" i="1"/>
  <c r="F33" i="1"/>
  <c r="I33" i="1" s="1"/>
  <c r="T217" i="1"/>
  <c r="F219" i="1"/>
  <c r="I219" i="1" s="1"/>
  <c r="U223" i="1"/>
  <c r="AA223" i="1" s="1"/>
  <c r="F229" i="1"/>
  <c r="I229" i="1" s="1"/>
  <c r="G29" i="1"/>
  <c r="G35" i="1"/>
  <c r="F35" i="1"/>
  <c r="I35" i="1" s="1"/>
  <c r="T222" i="1"/>
  <c r="T228" i="1"/>
  <c r="U228" i="1" s="1"/>
  <c r="R219" i="1"/>
  <c r="U246" i="1"/>
  <c r="F246" i="1"/>
  <c r="I246" i="1" s="1"/>
  <c r="F99" i="1"/>
  <c r="I99" i="1" s="1"/>
  <c r="G154" i="1"/>
  <c r="R99" i="1"/>
  <c r="F154" i="1"/>
  <c r="I154" i="1" s="1"/>
  <c r="T213" i="1"/>
  <c r="R230" i="1"/>
  <c r="T155" i="1"/>
  <c r="U155" i="1" s="1"/>
  <c r="AA155" i="1" s="1"/>
  <c r="R155" i="1"/>
  <c r="Z155" i="1" s="1"/>
  <c r="R218" i="1"/>
  <c r="R214" i="1"/>
  <c r="Z214" i="1" s="1"/>
  <c r="T214" i="1"/>
  <c r="U214" i="1" s="1"/>
  <c r="AA214" i="1" s="1"/>
  <c r="T226" i="1"/>
  <c r="U226" i="1" s="1"/>
  <c r="AA226" i="1" s="1"/>
  <c r="R226" i="1"/>
  <c r="Z226" i="1" s="1"/>
  <c r="T172" i="1"/>
  <c r="U172" i="1" s="1"/>
  <c r="AA172" i="1" s="1"/>
  <c r="R172" i="1"/>
  <c r="Z172" i="1" s="1"/>
  <c r="R196" i="1"/>
  <c r="Z196" i="1" s="1"/>
  <c r="T196" i="1"/>
  <c r="U196" i="1" s="1"/>
  <c r="AA196" i="1" s="1"/>
  <c r="R220" i="1"/>
  <c r="Z220" i="1" s="1"/>
  <c r="T220" i="1"/>
  <c r="T224" i="1"/>
  <c r="R224" i="1"/>
  <c r="Z224" i="1" s="1"/>
  <c r="R225" i="1"/>
  <c r="Z225" i="1" s="1"/>
  <c r="T225" i="1"/>
  <c r="R174" i="1"/>
  <c r="Z174" i="1" s="1"/>
  <c r="T174" i="1"/>
  <c r="U174" i="1" s="1"/>
  <c r="AA174" i="1" s="1"/>
  <c r="T221" i="1"/>
  <c r="R221" i="1"/>
  <c r="Z221" i="1" s="1"/>
  <c r="T227" i="1"/>
  <c r="R227" i="1"/>
  <c r="Z227" i="1" s="1"/>
  <c r="R176" i="1"/>
  <c r="Z176" i="1" s="1"/>
  <c r="T176" i="1"/>
  <c r="U176" i="1" s="1"/>
  <c r="AA176" i="1" s="1"/>
  <c r="R175" i="1"/>
  <c r="Z175" i="1" s="1"/>
  <c r="T175" i="1"/>
  <c r="U175" i="1" s="1"/>
  <c r="AA175" i="1" s="1"/>
  <c r="R173" i="1"/>
  <c r="Z173" i="1" s="1"/>
  <c r="T173" i="1"/>
  <c r="U173" i="1" s="1"/>
  <c r="AA173" i="1" s="1"/>
  <c r="O173" i="1"/>
  <c r="Y173" i="1" s="1"/>
  <c r="G229" i="1" l="1"/>
  <c r="F196" i="1"/>
  <c r="I196" i="1" s="1"/>
  <c r="U213" i="1"/>
  <c r="G213" i="1" s="1"/>
  <c r="F213" i="1"/>
  <c r="I213" i="1" s="1"/>
  <c r="F214" i="1"/>
  <c r="I214" i="1" s="1"/>
  <c r="G230" i="1"/>
  <c r="Z230" i="1"/>
  <c r="G246" i="1"/>
  <c r="AA246" i="1"/>
  <c r="G218" i="1"/>
  <c r="Z218" i="1"/>
  <c r="AA163" i="1"/>
  <c r="AA177" i="1"/>
  <c r="G219" i="1"/>
  <c r="Z219" i="1"/>
  <c r="G228" i="1"/>
  <c r="AA228" i="1"/>
  <c r="G99" i="1"/>
  <c r="Z99" i="1"/>
  <c r="U217" i="1"/>
  <c r="F217" i="1"/>
  <c r="I217" i="1" s="1"/>
  <c r="U222" i="1"/>
  <c r="F222" i="1"/>
  <c r="I222" i="1" s="1"/>
  <c r="F228" i="1"/>
  <c r="I228" i="1" s="1"/>
  <c r="U225" i="1"/>
  <c r="AA225" i="1" s="1"/>
  <c r="F225" i="1"/>
  <c r="I225" i="1" s="1"/>
  <c r="U224" i="1"/>
  <c r="AA224" i="1" s="1"/>
  <c r="F224" i="1"/>
  <c r="I224" i="1" s="1"/>
  <c r="F226" i="1"/>
  <c r="I226" i="1" s="1"/>
  <c r="U220" i="1"/>
  <c r="F220" i="1"/>
  <c r="I220" i="1" s="1"/>
  <c r="U227" i="1"/>
  <c r="AA227" i="1" s="1"/>
  <c r="F227" i="1"/>
  <c r="I227" i="1" s="1"/>
  <c r="U221" i="1"/>
  <c r="AA221" i="1" s="1"/>
  <c r="F221" i="1"/>
  <c r="I221" i="1" s="1"/>
  <c r="G226" i="1"/>
  <c r="G155" i="1"/>
  <c r="G196" i="1"/>
  <c r="G174" i="1"/>
  <c r="G214" i="1"/>
  <c r="G175" i="1"/>
  <c r="F173" i="1"/>
  <c r="I173" i="1" s="1"/>
  <c r="G172" i="1"/>
  <c r="F155" i="1"/>
  <c r="I155" i="1" s="1"/>
  <c r="F172" i="1"/>
  <c r="I172" i="1" s="1"/>
  <c r="G224" i="1"/>
  <c r="G173" i="1"/>
  <c r="G176" i="1"/>
  <c r="AA213" i="1" l="1"/>
  <c r="G227" i="1"/>
  <c r="G221" i="1"/>
  <c r="G222" i="1"/>
  <c r="AA222" i="1"/>
  <c r="G217" i="1"/>
  <c r="AA217" i="1"/>
  <c r="G220" i="1"/>
  <c r="AA220" i="1"/>
  <c r="G225" i="1"/>
  <c r="L130" i="1"/>
  <c r="N130" i="1"/>
  <c r="Q130" i="1" s="1"/>
  <c r="H130" i="1"/>
  <c r="O130" i="1" l="1"/>
  <c r="T130" i="1"/>
  <c r="U130" i="1" s="1"/>
  <c r="AA130" i="1" s="1"/>
  <c r="R130" i="1"/>
  <c r="Z130" i="1" s="1"/>
  <c r="H11" i="1"/>
  <c r="L11" i="1"/>
  <c r="N11" i="1"/>
  <c r="Q11" i="1" l="1"/>
  <c r="O11" i="1"/>
  <c r="F9" i="3"/>
  <c r="G130" i="1" l="1"/>
  <c r="F130" i="1"/>
  <c r="I130" i="1" s="1"/>
  <c r="R11" i="1"/>
  <c r="T11" i="1"/>
  <c r="L50" i="1"/>
  <c r="L51" i="1"/>
  <c r="L54" i="1"/>
  <c r="L55" i="1"/>
  <c r="L56" i="1"/>
  <c r="L57" i="1"/>
  <c r="L58" i="1"/>
  <c r="L59" i="1"/>
  <c r="L48" i="1"/>
  <c r="N54" i="1"/>
  <c r="O54" i="1" s="1"/>
  <c r="N55" i="1"/>
  <c r="N56" i="1"/>
  <c r="O56" i="1" s="1"/>
  <c r="N57" i="1"/>
  <c r="O57" i="1" s="1"/>
  <c r="N58" i="1"/>
  <c r="O58" i="1" s="1"/>
  <c r="N59" i="1"/>
  <c r="O59" i="1" s="1"/>
  <c r="H54" i="1"/>
  <c r="H55" i="1"/>
  <c r="H56" i="1"/>
  <c r="H57" i="1"/>
  <c r="H58" i="1"/>
  <c r="H59" i="1"/>
  <c r="Q56" i="1" l="1"/>
  <c r="Q57" i="1"/>
  <c r="R57" i="1" s="1"/>
  <c r="Q59" i="1"/>
  <c r="U11" i="1"/>
  <c r="G11" i="1" s="1"/>
  <c r="F11" i="1"/>
  <c r="I11" i="1" s="1"/>
  <c r="Q54" i="1"/>
  <c r="T54" i="1" s="1"/>
  <c r="U54" i="1" s="1"/>
  <c r="AA54" i="1" s="1"/>
  <c r="T59" i="1"/>
  <c r="U59" i="1" s="1"/>
  <c r="AA59" i="1" s="1"/>
  <c r="R59" i="1"/>
  <c r="Q58" i="1"/>
  <c r="R58" i="1" s="1"/>
  <c r="Q55" i="1"/>
  <c r="O55" i="1"/>
  <c r="A12" i="7"/>
  <c r="G59" i="1" l="1"/>
  <c r="Z59" i="1"/>
  <c r="T57" i="1"/>
  <c r="R56" i="1"/>
  <c r="T56" i="1"/>
  <c r="T58" i="1"/>
  <c r="U58" i="1" s="1"/>
  <c r="R54" i="1"/>
  <c r="G54" i="1" s="1"/>
  <c r="F59" i="1"/>
  <c r="I59" i="1" s="1"/>
  <c r="R55" i="1"/>
  <c r="T55" i="1"/>
  <c r="F54" i="1"/>
  <c r="I54" i="1" s="1"/>
  <c r="N245" i="1"/>
  <c r="Q245" i="1" s="1"/>
  <c r="T245" i="1" s="1"/>
  <c r="N244" i="1"/>
  <c r="O244" i="1" s="1"/>
  <c r="Y244" i="1" s="1"/>
  <c r="N243" i="1"/>
  <c r="O243" i="1" s="1"/>
  <c r="Y243" i="1" s="1"/>
  <c r="N242" i="1"/>
  <c r="O242" i="1" s="1"/>
  <c r="Y242" i="1" s="1"/>
  <c r="N241" i="1"/>
  <c r="O241" i="1" s="1"/>
  <c r="Y241" i="1" s="1"/>
  <c r="N240" i="1"/>
  <c r="O240" i="1" s="1"/>
  <c r="Y240" i="1" s="1"/>
  <c r="N239" i="1"/>
  <c r="O239" i="1" s="1"/>
  <c r="N238" i="1"/>
  <c r="O238" i="1" s="1"/>
  <c r="Y238" i="1" s="1"/>
  <c r="N237" i="1"/>
  <c r="Q237" i="1" s="1"/>
  <c r="N236" i="1"/>
  <c r="Q236" i="1" s="1"/>
  <c r="T236" i="1" s="1"/>
  <c r="N235" i="1"/>
  <c r="O235" i="1" s="1"/>
  <c r="Y235" i="1" s="1"/>
  <c r="N234" i="1"/>
  <c r="O234" i="1" s="1"/>
  <c r="Y234" i="1" s="1"/>
  <c r="N233" i="1"/>
  <c r="O233" i="1" s="1"/>
  <c r="N232" i="1"/>
  <c r="O232" i="1" s="1"/>
  <c r="N231" i="1"/>
  <c r="O231" i="1" s="1"/>
  <c r="Y231" i="1" s="1"/>
  <c r="N212" i="1"/>
  <c r="O212" i="1" s="1"/>
  <c r="Y212" i="1" s="1"/>
  <c r="N211" i="1"/>
  <c r="O211" i="1" s="1"/>
  <c r="Y211" i="1" s="1"/>
  <c r="N210" i="1"/>
  <c r="O210" i="1" s="1"/>
  <c r="Y210" i="1" s="1"/>
  <c r="N209" i="1"/>
  <c r="O209" i="1" s="1"/>
  <c r="Y209" i="1" s="1"/>
  <c r="N208" i="1"/>
  <c r="O208" i="1" s="1"/>
  <c r="Y208" i="1" s="1"/>
  <c r="N207" i="1"/>
  <c r="Q207" i="1" s="1"/>
  <c r="T207" i="1" s="1"/>
  <c r="N206" i="1"/>
  <c r="Q206" i="1" s="1"/>
  <c r="T206" i="1" s="1"/>
  <c r="N205" i="1"/>
  <c r="O205" i="1" s="1"/>
  <c r="Y205" i="1" s="1"/>
  <c r="N204" i="1"/>
  <c r="O204" i="1" s="1"/>
  <c r="Y204" i="1" s="1"/>
  <c r="N203" i="1"/>
  <c r="Q203" i="1" s="1"/>
  <c r="T203" i="1" s="1"/>
  <c r="N202" i="1"/>
  <c r="O202" i="1" s="1"/>
  <c r="Y202" i="1" s="1"/>
  <c r="N201" i="1"/>
  <c r="O201" i="1" s="1"/>
  <c r="Y201" i="1" s="1"/>
  <c r="N200" i="1"/>
  <c r="O200" i="1" s="1"/>
  <c r="N199" i="1"/>
  <c r="O199" i="1" s="1"/>
  <c r="N198" i="1"/>
  <c r="O198" i="1" s="1"/>
  <c r="Y198" i="1" s="1"/>
  <c r="N197" i="1"/>
  <c r="O197" i="1" s="1"/>
  <c r="Y197" i="1" s="1"/>
  <c r="N195" i="1"/>
  <c r="O195" i="1" s="1"/>
  <c r="Y195" i="1" s="1"/>
  <c r="N194" i="1"/>
  <c r="Q194" i="1" s="1"/>
  <c r="T194" i="1" s="1"/>
  <c r="N193" i="1"/>
  <c r="Q193" i="1" s="1"/>
  <c r="T193" i="1" s="1"/>
  <c r="N192" i="1"/>
  <c r="Q192" i="1" s="1"/>
  <c r="T192" i="1" s="1"/>
  <c r="N191" i="1"/>
  <c r="Q191" i="1" s="1"/>
  <c r="N190" i="1"/>
  <c r="O190" i="1" s="1"/>
  <c r="Y190" i="1" s="1"/>
  <c r="N188" i="1"/>
  <c r="Q188" i="1" s="1"/>
  <c r="N187" i="1"/>
  <c r="O187" i="1" s="1"/>
  <c r="Y187" i="1" s="1"/>
  <c r="N186" i="1"/>
  <c r="O186" i="1" s="1"/>
  <c r="Y186" i="1" s="1"/>
  <c r="N185" i="1"/>
  <c r="O185" i="1" s="1"/>
  <c r="Y185" i="1" s="1"/>
  <c r="N184" i="1"/>
  <c r="O184" i="1" s="1"/>
  <c r="Y184" i="1" s="1"/>
  <c r="N183" i="1"/>
  <c r="O183" i="1" s="1"/>
  <c r="Y183" i="1" s="1"/>
  <c r="N182" i="1"/>
  <c r="O182" i="1" s="1"/>
  <c r="Y182" i="1" s="1"/>
  <c r="N181" i="1"/>
  <c r="O181" i="1" s="1"/>
  <c r="Y181" i="1" s="1"/>
  <c r="N180" i="1"/>
  <c r="Q180" i="1" s="1"/>
  <c r="T180" i="1" s="1"/>
  <c r="N179" i="1"/>
  <c r="O179" i="1" s="1"/>
  <c r="Y179" i="1" s="1"/>
  <c r="Y178" i="1"/>
  <c r="N171" i="1"/>
  <c r="O171" i="1" s="1"/>
  <c r="Y171" i="1" s="1"/>
  <c r="N170" i="1"/>
  <c r="O170" i="1" s="1"/>
  <c r="Y170" i="1" s="1"/>
  <c r="N169" i="1"/>
  <c r="O169" i="1" s="1"/>
  <c r="N168" i="1"/>
  <c r="O168" i="1" s="1"/>
  <c r="Y168" i="1" s="1"/>
  <c r="N167" i="1"/>
  <c r="O167" i="1" s="1"/>
  <c r="N166" i="1"/>
  <c r="O166" i="1" s="1"/>
  <c r="Y166" i="1" s="1"/>
  <c r="N165" i="1"/>
  <c r="O165" i="1" s="1"/>
  <c r="Y165" i="1" s="1"/>
  <c r="N164" i="1"/>
  <c r="Q164" i="1" s="1"/>
  <c r="T164" i="1" s="1"/>
  <c r="N161" i="1"/>
  <c r="O161" i="1" s="1"/>
  <c r="Y161" i="1" s="1"/>
  <c r="N160" i="1"/>
  <c r="O160" i="1" s="1"/>
  <c r="Y160" i="1" s="1"/>
  <c r="N159" i="1"/>
  <c r="O159" i="1" s="1"/>
  <c r="Y159" i="1" s="1"/>
  <c r="N158" i="1"/>
  <c r="Q158" i="1" s="1"/>
  <c r="T158" i="1" s="1"/>
  <c r="N157" i="1"/>
  <c r="Q157" i="1" s="1"/>
  <c r="T157" i="1" s="1"/>
  <c r="N153" i="1"/>
  <c r="O153" i="1" s="1"/>
  <c r="Y153" i="1" s="1"/>
  <c r="N152" i="1"/>
  <c r="O152" i="1" s="1"/>
  <c r="Y152" i="1" s="1"/>
  <c r="N151" i="1"/>
  <c r="O151" i="1" s="1"/>
  <c r="Y151" i="1" s="1"/>
  <c r="N150" i="1"/>
  <c r="O150" i="1" s="1"/>
  <c r="Y150" i="1" s="1"/>
  <c r="N149" i="1"/>
  <c r="O149" i="1" s="1"/>
  <c r="Y149" i="1" s="1"/>
  <c r="N147" i="1"/>
  <c r="O147" i="1" s="1"/>
  <c r="Y147" i="1" s="1"/>
  <c r="N146" i="1"/>
  <c r="O146" i="1" s="1"/>
  <c r="Y146" i="1" s="1"/>
  <c r="N145" i="1"/>
  <c r="O145" i="1" s="1"/>
  <c r="Y145" i="1" s="1"/>
  <c r="N144" i="1"/>
  <c r="Q144" i="1" s="1"/>
  <c r="T144" i="1" s="1"/>
  <c r="N143" i="1"/>
  <c r="Q143" i="1" s="1"/>
  <c r="T143" i="1" s="1"/>
  <c r="N142" i="1"/>
  <c r="Q142" i="1" s="1"/>
  <c r="T142" i="1" s="1"/>
  <c r="N141" i="1"/>
  <c r="Q141" i="1" s="1"/>
  <c r="N140" i="1"/>
  <c r="O140" i="1" s="1"/>
  <c r="Y140" i="1" s="1"/>
  <c r="N139" i="1"/>
  <c r="O139" i="1" s="1"/>
  <c r="Y139" i="1" s="1"/>
  <c r="N138" i="1"/>
  <c r="O138" i="1" s="1"/>
  <c r="Y138" i="1" s="1"/>
  <c r="N137" i="1"/>
  <c r="O137" i="1" s="1"/>
  <c r="Y137" i="1" s="1"/>
  <c r="N136" i="1"/>
  <c r="O136" i="1" s="1"/>
  <c r="Y136" i="1" s="1"/>
  <c r="N135" i="1"/>
  <c r="O135" i="1" s="1"/>
  <c r="Y135" i="1" s="1"/>
  <c r="N134" i="1"/>
  <c r="O134" i="1" s="1"/>
  <c r="Y134" i="1" s="1"/>
  <c r="N133" i="1"/>
  <c r="Q133" i="1" s="1"/>
  <c r="T133" i="1" s="1"/>
  <c r="N132" i="1"/>
  <c r="Q132" i="1" s="1"/>
  <c r="T132" i="1" s="1"/>
  <c r="N129" i="1"/>
  <c r="O129" i="1" s="1"/>
  <c r="N128" i="1"/>
  <c r="Q128" i="1" s="1"/>
  <c r="T128" i="1" s="1"/>
  <c r="N127" i="1"/>
  <c r="Q127" i="1" s="1"/>
  <c r="T127" i="1" s="1"/>
  <c r="N126" i="1"/>
  <c r="O126" i="1" s="1"/>
  <c r="N125" i="1"/>
  <c r="O125" i="1" s="1"/>
  <c r="N124" i="1"/>
  <c r="O124" i="1" s="1"/>
  <c r="N123" i="1"/>
  <c r="O123" i="1" s="1"/>
  <c r="N122" i="1"/>
  <c r="O122" i="1" s="1"/>
  <c r="N121" i="1"/>
  <c r="O121" i="1" s="1"/>
  <c r="N120" i="1"/>
  <c r="Q120" i="1" s="1"/>
  <c r="N119" i="1"/>
  <c r="O119" i="1" s="1"/>
  <c r="N118" i="1"/>
  <c r="Q118" i="1" s="1"/>
  <c r="N117" i="1"/>
  <c r="O117" i="1" s="1"/>
  <c r="N116" i="1"/>
  <c r="Q116" i="1" s="1"/>
  <c r="T116" i="1" s="1"/>
  <c r="N115" i="1"/>
  <c r="Q115" i="1" s="1"/>
  <c r="T115" i="1" s="1"/>
  <c r="N114" i="1"/>
  <c r="O114" i="1" s="1"/>
  <c r="N113" i="1"/>
  <c r="O113" i="1" s="1"/>
  <c r="N112" i="1"/>
  <c r="O112" i="1" s="1"/>
  <c r="N111" i="1"/>
  <c r="O111" i="1" s="1"/>
  <c r="N110" i="1"/>
  <c r="O110" i="1" s="1"/>
  <c r="N109" i="1"/>
  <c r="O109" i="1" s="1"/>
  <c r="N108" i="1"/>
  <c r="Q108" i="1" s="1"/>
  <c r="N107" i="1"/>
  <c r="O107" i="1" s="1"/>
  <c r="N106" i="1"/>
  <c r="O106" i="1" s="1"/>
  <c r="N105" i="1"/>
  <c r="Q105" i="1" s="1"/>
  <c r="N104" i="1"/>
  <c r="Q104" i="1" s="1"/>
  <c r="N103" i="1"/>
  <c r="O103" i="1" s="1"/>
  <c r="N102" i="1"/>
  <c r="O102" i="1" s="1"/>
  <c r="N101" i="1"/>
  <c r="O101" i="1" s="1"/>
  <c r="N100" i="1"/>
  <c r="N98" i="1"/>
  <c r="O98" i="1" s="1"/>
  <c r="Y98" i="1" s="1"/>
  <c r="N97" i="1"/>
  <c r="O97" i="1" s="1"/>
  <c r="Y97" i="1" s="1"/>
  <c r="N96" i="1"/>
  <c r="O96" i="1" s="1"/>
  <c r="N95" i="1"/>
  <c r="Q95" i="1" s="1"/>
  <c r="N94" i="1"/>
  <c r="O94" i="1" s="1"/>
  <c r="N93" i="1"/>
  <c r="Q93" i="1" s="1"/>
  <c r="T93" i="1" s="1"/>
  <c r="N92" i="1"/>
  <c r="Q92" i="1" s="1"/>
  <c r="T92" i="1" s="1"/>
  <c r="N91" i="1"/>
  <c r="Q91" i="1" s="1"/>
  <c r="T91" i="1" s="1"/>
  <c r="N90" i="1"/>
  <c r="Q90" i="1" s="1"/>
  <c r="T90" i="1" s="1"/>
  <c r="N89" i="1"/>
  <c r="O89" i="1" s="1"/>
  <c r="Y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Q81" i="1" s="1"/>
  <c r="T81" i="1" s="1"/>
  <c r="N80" i="1"/>
  <c r="Q80" i="1" s="1"/>
  <c r="T80" i="1" s="1"/>
  <c r="N79" i="1"/>
  <c r="Q79" i="1" s="1"/>
  <c r="T79" i="1" s="1"/>
  <c r="N78" i="1"/>
  <c r="O78" i="1" s="1"/>
  <c r="N77" i="1"/>
  <c r="O77" i="1" s="1"/>
  <c r="N51" i="1"/>
  <c r="Q51" i="1" s="1"/>
  <c r="N50" i="1"/>
  <c r="Q50" i="1" s="1"/>
  <c r="T50" i="1" s="1"/>
  <c r="N48" i="1"/>
  <c r="Q48" i="1" s="1"/>
  <c r="T48" i="1" s="1"/>
  <c r="N47" i="1"/>
  <c r="O47" i="1" s="1"/>
  <c r="N46" i="1"/>
  <c r="Q46" i="1" s="1"/>
  <c r="T46" i="1" s="1"/>
  <c r="N43" i="1"/>
  <c r="Q43" i="1" s="1"/>
  <c r="T43" i="1" s="1"/>
  <c r="N42" i="1"/>
  <c r="O42" i="1" s="1"/>
  <c r="Y42" i="1" s="1"/>
  <c r="N41" i="1"/>
  <c r="O41" i="1" s="1"/>
  <c r="N40" i="1"/>
  <c r="O40" i="1" s="1"/>
  <c r="N37" i="1"/>
  <c r="O37" i="1" s="1"/>
  <c r="N36" i="1"/>
  <c r="O36" i="1" s="1"/>
  <c r="N34" i="1"/>
  <c r="O34" i="1" s="1"/>
  <c r="N32" i="1"/>
  <c r="O32" i="1" s="1"/>
  <c r="N30" i="1"/>
  <c r="Q30" i="1" s="1"/>
  <c r="N28" i="1"/>
  <c r="O28" i="1" s="1"/>
  <c r="N27" i="1"/>
  <c r="Q27" i="1" s="1"/>
  <c r="T27" i="1" s="1"/>
  <c r="N26" i="1"/>
  <c r="O26" i="1" s="1"/>
  <c r="Y26" i="1" s="1"/>
  <c r="N25" i="1"/>
  <c r="Q25" i="1" s="1"/>
  <c r="N22" i="1"/>
  <c r="O22" i="1" s="1"/>
  <c r="Y22" i="1" s="1"/>
  <c r="N20" i="1"/>
  <c r="Q20" i="1" s="1"/>
  <c r="T20" i="1" s="1"/>
  <c r="N19" i="1"/>
  <c r="O19" i="1" s="1"/>
  <c r="N16" i="1"/>
  <c r="O16" i="1" s="1"/>
  <c r="Y16" i="1" s="1"/>
  <c r="N6" i="1"/>
  <c r="O6" i="1" s="1"/>
  <c r="N5" i="1"/>
  <c r="O5" i="1" s="1"/>
  <c r="Y5" i="1" s="1"/>
  <c r="N4" i="1"/>
  <c r="O4" i="1" s="1"/>
  <c r="L245" i="1"/>
  <c r="L244" i="1"/>
  <c r="L243" i="1"/>
  <c r="L242" i="1"/>
  <c r="L241" i="1"/>
  <c r="L240" i="1"/>
  <c r="L239" i="1"/>
  <c r="L238" i="1"/>
  <c r="L237" i="1"/>
  <c r="X237" i="1" s="1"/>
  <c r="L236" i="1"/>
  <c r="X236" i="1" s="1"/>
  <c r="L235" i="1"/>
  <c r="L234" i="1"/>
  <c r="L233" i="1"/>
  <c r="L232" i="1"/>
  <c r="L231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X198" i="1" s="1"/>
  <c r="L197" i="1"/>
  <c r="L195" i="1"/>
  <c r="L194" i="1"/>
  <c r="L193" i="1"/>
  <c r="L192" i="1"/>
  <c r="L191" i="1"/>
  <c r="L190" i="1"/>
  <c r="L188" i="1"/>
  <c r="L187" i="1"/>
  <c r="L186" i="1"/>
  <c r="L185" i="1"/>
  <c r="L184" i="1"/>
  <c r="L183" i="1"/>
  <c r="L182" i="1"/>
  <c r="L181" i="1"/>
  <c r="L180" i="1"/>
  <c r="L179" i="1"/>
  <c r="L171" i="1"/>
  <c r="L170" i="1"/>
  <c r="L169" i="1"/>
  <c r="L168" i="1"/>
  <c r="L167" i="1"/>
  <c r="L166" i="1"/>
  <c r="L165" i="1"/>
  <c r="L164" i="1"/>
  <c r="L161" i="1"/>
  <c r="L160" i="1"/>
  <c r="L159" i="1"/>
  <c r="L158" i="1"/>
  <c r="L157" i="1"/>
  <c r="L153" i="1"/>
  <c r="L152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98" i="1"/>
  <c r="X98" i="1" s="1"/>
  <c r="L97" i="1"/>
  <c r="X97" i="1" s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47" i="1"/>
  <c r="L46" i="1"/>
  <c r="L43" i="1"/>
  <c r="L42" i="1"/>
  <c r="L41" i="1"/>
  <c r="L40" i="1"/>
  <c r="L37" i="1"/>
  <c r="L36" i="1"/>
  <c r="L34" i="1"/>
  <c r="L32" i="1"/>
  <c r="L30" i="1"/>
  <c r="L28" i="1"/>
  <c r="L27" i="1"/>
  <c r="L26" i="1"/>
  <c r="L25" i="1"/>
  <c r="L22" i="1"/>
  <c r="L20" i="1"/>
  <c r="L19" i="1"/>
  <c r="L16" i="1"/>
  <c r="L6" i="1"/>
  <c r="L5" i="1"/>
  <c r="L4" i="1"/>
  <c r="G58" i="1" l="1"/>
  <c r="AA58" i="1"/>
  <c r="U57" i="1"/>
  <c r="F57" i="1"/>
  <c r="I57" i="1" s="1"/>
  <c r="U56" i="1"/>
  <c r="F56" i="1"/>
  <c r="I56" i="1" s="1"/>
  <c r="O100" i="1"/>
  <c r="F58" i="1"/>
  <c r="I58" i="1" s="1"/>
  <c r="O79" i="1"/>
  <c r="O191" i="1"/>
  <c r="Y191" i="1" s="1"/>
  <c r="O142" i="1"/>
  <c r="Y142" i="1" s="1"/>
  <c r="O245" i="1"/>
  <c r="Y245" i="1" s="1"/>
  <c r="U55" i="1"/>
  <c r="F55" i="1"/>
  <c r="I55" i="1" s="1"/>
  <c r="O188" i="1"/>
  <c r="Y188" i="1" s="1"/>
  <c r="O118" i="1"/>
  <c r="O120" i="1"/>
  <c r="O132" i="1"/>
  <c r="Y132" i="1" s="1"/>
  <c r="O237" i="1"/>
  <c r="Y237" i="1" s="1"/>
  <c r="Q121" i="1"/>
  <c r="R121" i="1" s="1"/>
  <c r="Z121" i="1" s="1"/>
  <c r="O48" i="1"/>
  <c r="Y48" i="1" s="1"/>
  <c r="Q103" i="1"/>
  <c r="R103" i="1" s="1"/>
  <c r="Z103" i="1" s="1"/>
  <c r="Q129" i="1"/>
  <c r="R129" i="1" s="1"/>
  <c r="Z129" i="1" s="1"/>
  <c r="O90" i="1"/>
  <c r="O91" i="1"/>
  <c r="Q149" i="1"/>
  <c r="R149" i="1" s="1"/>
  <c r="Z149" i="1" s="1"/>
  <c r="O93" i="1"/>
  <c r="Y93" i="1" s="1"/>
  <c r="Q160" i="1"/>
  <c r="R160" i="1" s="1"/>
  <c r="Z160" i="1" s="1"/>
  <c r="O51" i="1"/>
  <c r="O116" i="1"/>
  <c r="Q166" i="1"/>
  <c r="R166" i="1" s="1"/>
  <c r="Z166" i="1" s="1"/>
  <c r="O141" i="1"/>
  <c r="Y141" i="1" s="1"/>
  <c r="Q36" i="1"/>
  <c r="R36" i="1" s="1"/>
  <c r="O104" i="1"/>
  <c r="Q37" i="1"/>
  <c r="R37" i="1" s="1"/>
  <c r="Q167" i="1"/>
  <c r="R167" i="1" s="1"/>
  <c r="Z167" i="1" s="1"/>
  <c r="O115" i="1"/>
  <c r="Q41" i="1"/>
  <c r="R41" i="1" s="1"/>
  <c r="Z41" i="1" s="1"/>
  <c r="Q97" i="1"/>
  <c r="R97" i="1" s="1"/>
  <c r="Z97" i="1" s="1"/>
  <c r="Q190" i="1"/>
  <c r="R190" i="1" s="1"/>
  <c r="Z190" i="1" s="1"/>
  <c r="O30" i="1"/>
  <c r="Q100" i="1"/>
  <c r="R100" i="1" s="1"/>
  <c r="Z100" i="1" s="1"/>
  <c r="O43" i="1"/>
  <c r="Y43" i="1" s="1"/>
  <c r="Q101" i="1"/>
  <c r="T101" i="1" s="1"/>
  <c r="U101" i="1" s="1"/>
  <c r="AA101" i="1" s="1"/>
  <c r="Q208" i="1"/>
  <c r="T208" i="1" s="1"/>
  <c r="U208" i="1" s="1"/>
  <c r="AA208" i="1" s="1"/>
  <c r="Q102" i="1"/>
  <c r="T102" i="1" s="1"/>
  <c r="U102" i="1" s="1"/>
  <c r="AA102" i="1" s="1"/>
  <c r="Q210" i="1"/>
  <c r="R210" i="1" s="1"/>
  <c r="Z210" i="1" s="1"/>
  <c r="R104" i="1"/>
  <c r="Z104" i="1" s="1"/>
  <c r="T104" i="1"/>
  <c r="U104" i="1" s="1"/>
  <c r="AA104" i="1" s="1"/>
  <c r="T118" i="1"/>
  <c r="U118" i="1" s="1"/>
  <c r="AA118" i="1" s="1"/>
  <c r="R118" i="1"/>
  <c r="Z118" i="1" s="1"/>
  <c r="R25" i="1"/>
  <c r="Z25" i="1" s="1"/>
  <c r="T25" i="1"/>
  <c r="U25" i="1" s="1"/>
  <c r="AA25" i="1" s="1"/>
  <c r="T108" i="1"/>
  <c r="U108" i="1" s="1"/>
  <c r="AA108" i="1" s="1"/>
  <c r="T30" i="1"/>
  <c r="U30" i="1" s="1"/>
  <c r="T141" i="1"/>
  <c r="U141" i="1" s="1"/>
  <c r="AA141" i="1" s="1"/>
  <c r="R141" i="1"/>
  <c r="Z141" i="1" s="1"/>
  <c r="T95" i="1"/>
  <c r="U95" i="1" s="1"/>
  <c r="R95" i="1"/>
  <c r="T120" i="1"/>
  <c r="U120" i="1" s="1"/>
  <c r="AA120" i="1" s="1"/>
  <c r="R120" i="1"/>
  <c r="Z120" i="1" s="1"/>
  <c r="T51" i="1"/>
  <c r="U51" i="1" s="1"/>
  <c r="AA51" i="1" s="1"/>
  <c r="R105" i="1"/>
  <c r="Z105" i="1" s="1"/>
  <c r="T105" i="1"/>
  <c r="U105" i="1" s="1"/>
  <c r="AA105" i="1" s="1"/>
  <c r="T237" i="1"/>
  <c r="U237" i="1" s="1"/>
  <c r="AA237" i="1" s="1"/>
  <c r="O25" i="1"/>
  <c r="Q119" i="1"/>
  <c r="R188" i="1"/>
  <c r="Z188" i="1" s="1"/>
  <c r="T188" i="1"/>
  <c r="U188" i="1" s="1"/>
  <c r="AA188" i="1" s="1"/>
  <c r="O27" i="1"/>
  <c r="O92" i="1"/>
  <c r="Y92" i="1" s="1"/>
  <c r="O236" i="1"/>
  <c r="Y236" i="1" s="1"/>
  <c r="Q98" i="1"/>
  <c r="Q159" i="1"/>
  <c r="R191" i="1"/>
  <c r="Z191" i="1" s="1"/>
  <c r="T191" i="1"/>
  <c r="U191" i="1" s="1"/>
  <c r="AA191" i="1" s="1"/>
  <c r="Q161" i="1"/>
  <c r="Q4" i="1"/>
  <c r="Q42" i="1"/>
  <c r="Q135" i="1"/>
  <c r="Q134" i="1"/>
  <c r="R134" i="1" s="1"/>
  <c r="Z134" i="1" s="1"/>
  <c r="Q5" i="1"/>
  <c r="Q47" i="1"/>
  <c r="Q136" i="1"/>
  <c r="Q168" i="1"/>
  <c r="Q238" i="1"/>
  <c r="O80" i="1"/>
  <c r="O105" i="1"/>
  <c r="O143" i="1"/>
  <c r="Y143" i="1" s="1"/>
  <c r="Q6" i="1"/>
  <c r="Q137" i="1"/>
  <c r="Q169" i="1"/>
  <c r="Q239" i="1"/>
  <c r="O81" i="1"/>
  <c r="O108" i="1"/>
  <c r="O144" i="1"/>
  <c r="Y144" i="1" s="1"/>
  <c r="Q82" i="1"/>
  <c r="Q138" i="1"/>
  <c r="Q170" i="1"/>
  <c r="Q240" i="1"/>
  <c r="O164" i="1"/>
  <c r="Y164" i="1" s="1"/>
  <c r="Q83" i="1"/>
  <c r="Q109" i="1"/>
  <c r="Q139" i="1"/>
  <c r="R139" i="1" s="1"/>
  <c r="Z139" i="1" s="1"/>
  <c r="Q185" i="1"/>
  <c r="O180" i="1"/>
  <c r="Y180" i="1" s="1"/>
  <c r="Q94" i="1"/>
  <c r="R94" i="1" s="1"/>
  <c r="Q117" i="1"/>
  <c r="Q140" i="1"/>
  <c r="Q186" i="1"/>
  <c r="O95" i="1"/>
  <c r="O20" i="1"/>
  <c r="Y20" i="1" s="1"/>
  <c r="Q22" i="1"/>
  <c r="Q187" i="1"/>
  <c r="R245" i="1"/>
  <c r="Z245" i="1" s="1"/>
  <c r="U245" i="1"/>
  <c r="AA245" i="1" s="1"/>
  <c r="Q244" i="1"/>
  <c r="T244" i="1" s="1"/>
  <c r="U236" i="1"/>
  <c r="AA236" i="1" s="1"/>
  <c r="R236" i="1"/>
  <c r="Z236" i="1" s="1"/>
  <c r="R237" i="1"/>
  <c r="Z237" i="1" s="1"/>
  <c r="Q232" i="1"/>
  <c r="T232" i="1" s="1"/>
  <c r="Q231" i="1"/>
  <c r="T231" i="1" s="1"/>
  <c r="Q233" i="1"/>
  <c r="T233" i="1" s="1"/>
  <c r="Q241" i="1"/>
  <c r="T241" i="1" s="1"/>
  <c r="Q234" i="1"/>
  <c r="T234" i="1" s="1"/>
  <c r="Q243" i="1"/>
  <c r="T243" i="1" s="1"/>
  <c r="Q235" i="1"/>
  <c r="T235" i="1" s="1"/>
  <c r="Q242" i="1"/>
  <c r="T242" i="1" s="1"/>
  <c r="R203" i="1"/>
  <c r="Z203" i="1" s="1"/>
  <c r="U203" i="1"/>
  <c r="AA203" i="1" s="1"/>
  <c r="R206" i="1"/>
  <c r="Z206" i="1" s="1"/>
  <c r="U206" i="1"/>
  <c r="AA206" i="1" s="1"/>
  <c r="U207" i="1"/>
  <c r="AA207" i="1" s="1"/>
  <c r="R207" i="1"/>
  <c r="Z207" i="1" s="1"/>
  <c r="Q205" i="1"/>
  <c r="T205" i="1" s="1"/>
  <c r="Q204" i="1"/>
  <c r="T204" i="1" s="1"/>
  <c r="Q209" i="1"/>
  <c r="T209" i="1" s="1"/>
  <c r="Q211" i="1"/>
  <c r="T211" i="1" s="1"/>
  <c r="O203" i="1"/>
  <c r="Y203" i="1" s="1"/>
  <c r="O207" i="1"/>
  <c r="Y207" i="1" s="1"/>
  <c r="Q212" i="1"/>
  <c r="T212" i="1" s="1"/>
  <c r="O206" i="1"/>
  <c r="Y206" i="1" s="1"/>
  <c r="Q202" i="1"/>
  <c r="T202" i="1" s="1"/>
  <c r="Q201" i="1"/>
  <c r="T201" i="1" s="1"/>
  <c r="U193" i="1"/>
  <c r="AA193" i="1" s="1"/>
  <c r="R193" i="1"/>
  <c r="Z193" i="1" s="1"/>
  <c r="U192" i="1"/>
  <c r="AA192" i="1" s="1"/>
  <c r="R192" i="1"/>
  <c r="Z192" i="1" s="1"/>
  <c r="U194" i="1"/>
  <c r="AA194" i="1" s="1"/>
  <c r="R194" i="1"/>
  <c r="Z194" i="1" s="1"/>
  <c r="O192" i="1"/>
  <c r="Y192" i="1" s="1"/>
  <c r="O193" i="1"/>
  <c r="Y193" i="1" s="1"/>
  <c r="O194" i="1"/>
  <c r="Y194" i="1" s="1"/>
  <c r="Q195" i="1"/>
  <c r="T195" i="1" s="1"/>
  <c r="Q197" i="1"/>
  <c r="T197" i="1" s="1"/>
  <c r="Q198" i="1"/>
  <c r="T198" i="1" s="1"/>
  <c r="Q199" i="1"/>
  <c r="T199" i="1" s="1"/>
  <c r="Q200" i="1"/>
  <c r="T200" i="1" s="1"/>
  <c r="Q181" i="1"/>
  <c r="T181" i="1" s="1"/>
  <c r="Q182" i="1"/>
  <c r="T182" i="1" s="1"/>
  <c r="Q183" i="1"/>
  <c r="T183" i="1" s="1"/>
  <c r="Q184" i="1"/>
  <c r="T184" i="1" s="1"/>
  <c r="U180" i="1"/>
  <c r="AA180" i="1" s="1"/>
  <c r="R180" i="1"/>
  <c r="Z180" i="1" s="1"/>
  <c r="Q171" i="1"/>
  <c r="T171" i="1" s="1"/>
  <c r="Q179" i="1"/>
  <c r="T179" i="1" s="1"/>
  <c r="Q165" i="1"/>
  <c r="T165" i="1" s="1"/>
  <c r="U164" i="1"/>
  <c r="AA164" i="1" s="1"/>
  <c r="R164" i="1"/>
  <c r="Z164" i="1" s="1"/>
  <c r="R157" i="1"/>
  <c r="Z157" i="1" s="1"/>
  <c r="U157" i="1"/>
  <c r="AA157" i="1" s="1"/>
  <c r="U158" i="1"/>
  <c r="AA158" i="1" s="1"/>
  <c r="R158" i="1"/>
  <c r="Z158" i="1" s="1"/>
  <c r="O157" i="1"/>
  <c r="Y157" i="1" s="1"/>
  <c r="O158" i="1"/>
  <c r="Y158" i="1" s="1"/>
  <c r="Q153" i="1"/>
  <c r="T153" i="1" s="1"/>
  <c r="Q151" i="1"/>
  <c r="T151" i="1" s="1"/>
  <c r="Q152" i="1"/>
  <c r="T152" i="1" s="1"/>
  <c r="Q150" i="1"/>
  <c r="T150" i="1" s="1"/>
  <c r="Q145" i="1"/>
  <c r="T145" i="1" s="1"/>
  <c r="Q146" i="1"/>
  <c r="T146" i="1" s="1"/>
  <c r="Q147" i="1"/>
  <c r="T147" i="1" s="1"/>
  <c r="R143" i="1"/>
  <c r="Z143" i="1" s="1"/>
  <c r="U143" i="1"/>
  <c r="AA143" i="1" s="1"/>
  <c r="U144" i="1"/>
  <c r="AA144" i="1" s="1"/>
  <c r="R144" i="1"/>
  <c r="Z144" i="1" s="1"/>
  <c r="R142" i="1"/>
  <c r="Z142" i="1" s="1"/>
  <c r="U142" i="1"/>
  <c r="AA142" i="1" s="1"/>
  <c r="U133" i="1"/>
  <c r="AA133" i="1" s="1"/>
  <c r="R133" i="1"/>
  <c r="Z133" i="1" s="1"/>
  <c r="O133" i="1"/>
  <c r="Y133" i="1" s="1"/>
  <c r="U132" i="1"/>
  <c r="AA132" i="1" s="1"/>
  <c r="R132" i="1"/>
  <c r="Z132" i="1" s="1"/>
  <c r="R115" i="1"/>
  <c r="Z115" i="1" s="1"/>
  <c r="U115" i="1"/>
  <c r="AA115" i="1" s="1"/>
  <c r="R116" i="1"/>
  <c r="Z116" i="1" s="1"/>
  <c r="U116" i="1"/>
  <c r="AA116" i="1" s="1"/>
  <c r="R127" i="1"/>
  <c r="Z127" i="1" s="1"/>
  <c r="U127" i="1"/>
  <c r="AA127" i="1" s="1"/>
  <c r="R128" i="1"/>
  <c r="Z128" i="1" s="1"/>
  <c r="U128" i="1"/>
  <c r="AA128" i="1" s="1"/>
  <c r="Q110" i="1"/>
  <c r="T110" i="1" s="1"/>
  <c r="Q122" i="1"/>
  <c r="T122" i="1" s="1"/>
  <c r="Q123" i="1"/>
  <c r="T123" i="1" s="1"/>
  <c r="Q112" i="1"/>
  <c r="T112" i="1" s="1"/>
  <c r="Q124" i="1"/>
  <c r="T124" i="1" s="1"/>
  <c r="Q113" i="1"/>
  <c r="T113" i="1" s="1"/>
  <c r="Q125" i="1"/>
  <c r="T125" i="1" s="1"/>
  <c r="Q114" i="1"/>
  <c r="T114" i="1" s="1"/>
  <c r="Q126" i="1"/>
  <c r="T126" i="1" s="1"/>
  <c r="Q111" i="1"/>
  <c r="T111" i="1" s="1"/>
  <c r="O127" i="1"/>
  <c r="O128" i="1"/>
  <c r="R108" i="1"/>
  <c r="Z108" i="1" s="1"/>
  <c r="Q106" i="1"/>
  <c r="T106" i="1" s="1"/>
  <c r="Q107" i="1"/>
  <c r="T107" i="1" s="1"/>
  <c r="U90" i="1"/>
  <c r="R90" i="1"/>
  <c r="R91" i="1"/>
  <c r="U91" i="1"/>
  <c r="U79" i="1"/>
  <c r="R79" i="1"/>
  <c r="R92" i="1"/>
  <c r="Z92" i="1" s="1"/>
  <c r="U92" i="1"/>
  <c r="AA92" i="1" s="1"/>
  <c r="U93" i="1"/>
  <c r="AA93" i="1" s="1"/>
  <c r="R93" i="1"/>
  <c r="Z93" i="1" s="1"/>
  <c r="U80" i="1"/>
  <c r="AA80" i="1" s="1"/>
  <c r="R80" i="1"/>
  <c r="Z80" i="1" s="1"/>
  <c r="U81" i="1"/>
  <c r="R81" i="1"/>
  <c r="Q85" i="1"/>
  <c r="T85" i="1" s="1"/>
  <c r="Q96" i="1"/>
  <c r="T96" i="1" s="1"/>
  <c r="Q86" i="1"/>
  <c r="T86" i="1" s="1"/>
  <c r="Q87" i="1"/>
  <c r="T87" i="1" s="1"/>
  <c r="Q88" i="1"/>
  <c r="T88" i="1" s="1"/>
  <c r="Q89" i="1"/>
  <c r="T89" i="1" s="1"/>
  <c r="Q84" i="1"/>
  <c r="T84" i="1" s="1"/>
  <c r="Q78" i="1"/>
  <c r="T78" i="1" s="1"/>
  <c r="Q77" i="1"/>
  <c r="T77" i="1" s="1"/>
  <c r="R51" i="1"/>
  <c r="Z51" i="1" s="1"/>
  <c r="U50" i="1"/>
  <c r="AA50" i="1" s="1"/>
  <c r="R50" i="1"/>
  <c r="Z50" i="1" s="1"/>
  <c r="O50" i="1"/>
  <c r="U43" i="1"/>
  <c r="AA43" i="1" s="1"/>
  <c r="R43" i="1"/>
  <c r="Z43" i="1" s="1"/>
  <c r="O46" i="1"/>
  <c r="Q40" i="1"/>
  <c r="T40" i="1" s="1"/>
  <c r="Q28" i="1"/>
  <c r="T28" i="1" s="1"/>
  <c r="Q32" i="1"/>
  <c r="T32" i="1" s="1"/>
  <c r="Q34" i="1"/>
  <c r="T34" i="1" s="1"/>
  <c r="U46" i="1"/>
  <c r="AA46" i="1" s="1"/>
  <c r="R46" i="1"/>
  <c r="Z46" i="1" s="1"/>
  <c r="R30" i="1"/>
  <c r="R48" i="1"/>
  <c r="Z48" i="1" s="1"/>
  <c r="U48" i="1"/>
  <c r="AA48" i="1" s="1"/>
  <c r="U27" i="1"/>
  <c r="AA27" i="1" s="1"/>
  <c r="R27" i="1"/>
  <c r="Z27" i="1" s="1"/>
  <c r="Q26" i="1"/>
  <c r="T26" i="1" s="1"/>
  <c r="Q16" i="1"/>
  <c r="T16" i="1" s="1"/>
  <c r="R20" i="1"/>
  <c r="Z20" i="1" s="1"/>
  <c r="U20" i="1"/>
  <c r="AA20" i="1" s="1"/>
  <c r="Q19" i="1"/>
  <c r="T19" i="1" s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G56" i="1" l="1"/>
  <c r="AA56" i="1"/>
  <c r="G57" i="1"/>
  <c r="AA57" i="1"/>
  <c r="G55" i="1"/>
  <c r="AA55" i="1"/>
  <c r="T160" i="1"/>
  <c r="U160" i="1" s="1"/>
  <c r="AA160" i="1" s="1"/>
  <c r="R101" i="1"/>
  <c r="Z101" i="1" s="1"/>
  <c r="T103" i="1"/>
  <c r="U103" i="1" s="1"/>
  <c r="AA103" i="1" s="1"/>
  <c r="T167" i="1"/>
  <c r="U167" i="1" s="1"/>
  <c r="AA167" i="1" s="1"/>
  <c r="R102" i="1"/>
  <c r="Z102" i="1" s="1"/>
  <c r="R208" i="1"/>
  <c r="Z208" i="1" s="1"/>
  <c r="T37" i="1"/>
  <c r="U37" i="1" s="1"/>
  <c r="T36" i="1"/>
  <c r="U36" i="1" s="1"/>
  <c r="T129" i="1"/>
  <c r="U129" i="1" s="1"/>
  <c r="AA129" i="1" s="1"/>
  <c r="T121" i="1"/>
  <c r="U121" i="1" s="1"/>
  <c r="AA121" i="1" s="1"/>
  <c r="T41" i="1"/>
  <c r="U41" i="1" s="1"/>
  <c r="AA41" i="1" s="1"/>
  <c r="T166" i="1"/>
  <c r="U166" i="1" s="1"/>
  <c r="AA166" i="1" s="1"/>
  <c r="T149" i="1"/>
  <c r="U149" i="1" s="1"/>
  <c r="AA149" i="1" s="1"/>
  <c r="T210" i="1"/>
  <c r="U210" i="1" s="1"/>
  <c r="AA210" i="1" s="1"/>
  <c r="T100" i="1"/>
  <c r="U100" i="1" s="1"/>
  <c r="T190" i="1"/>
  <c r="U190" i="1" s="1"/>
  <c r="AA190" i="1" s="1"/>
  <c r="T97" i="1"/>
  <c r="U97" i="1" s="1"/>
  <c r="AA97" i="1" s="1"/>
  <c r="R109" i="1"/>
  <c r="Z109" i="1" s="1"/>
  <c r="T109" i="1"/>
  <c r="U109" i="1" s="1"/>
  <c r="AA109" i="1" s="1"/>
  <c r="T83" i="1"/>
  <c r="U83" i="1" s="1"/>
  <c r="R83" i="1"/>
  <c r="T161" i="1"/>
  <c r="U161" i="1" s="1"/>
  <c r="AA161" i="1" s="1"/>
  <c r="R186" i="1"/>
  <c r="Z186" i="1" s="1"/>
  <c r="T186" i="1"/>
  <c r="U186" i="1" s="1"/>
  <c r="AA186" i="1" s="1"/>
  <c r="R240" i="1"/>
  <c r="Z240" i="1" s="1"/>
  <c r="T240" i="1"/>
  <c r="U240" i="1" s="1"/>
  <c r="AA240" i="1" s="1"/>
  <c r="R239" i="1"/>
  <c r="Z239" i="1" s="1"/>
  <c r="T239" i="1"/>
  <c r="U239" i="1" s="1"/>
  <c r="AA239" i="1" s="1"/>
  <c r="T119" i="1"/>
  <c r="U119" i="1" s="1"/>
  <c r="AA119" i="1" s="1"/>
  <c r="R119" i="1"/>
  <c r="Z119" i="1" s="1"/>
  <c r="T140" i="1"/>
  <c r="U140" i="1" s="1"/>
  <c r="AA140" i="1" s="1"/>
  <c r="R140" i="1"/>
  <c r="Z140" i="1" s="1"/>
  <c r="R170" i="1"/>
  <c r="Z170" i="1" s="1"/>
  <c r="T170" i="1"/>
  <c r="U170" i="1" s="1"/>
  <c r="AA170" i="1" s="1"/>
  <c r="R169" i="1"/>
  <c r="Z169" i="1" s="1"/>
  <c r="T169" i="1"/>
  <c r="U169" i="1" s="1"/>
  <c r="AA169" i="1" s="1"/>
  <c r="R238" i="1"/>
  <c r="Z238" i="1" s="1"/>
  <c r="T238" i="1"/>
  <c r="U238" i="1" s="1"/>
  <c r="AA238" i="1" s="1"/>
  <c r="R117" i="1"/>
  <c r="Z117" i="1" s="1"/>
  <c r="T117" i="1"/>
  <c r="U117" i="1" s="1"/>
  <c r="AA117" i="1" s="1"/>
  <c r="T138" i="1"/>
  <c r="U138" i="1" s="1"/>
  <c r="AA138" i="1" s="1"/>
  <c r="R138" i="1"/>
  <c r="Z138" i="1" s="1"/>
  <c r="T137" i="1"/>
  <c r="U137" i="1" s="1"/>
  <c r="AA137" i="1" s="1"/>
  <c r="R137" i="1"/>
  <c r="Z137" i="1" s="1"/>
  <c r="R168" i="1"/>
  <c r="Z168" i="1" s="1"/>
  <c r="T168" i="1"/>
  <c r="U168" i="1" s="1"/>
  <c r="AA168" i="1" s="1"/>
  <c r="T94" i="1"/>
  <c r="U94" i="1" s="1"/>
  <c r="T82" i="1"/>
  <c r="U82" i="1" s="1"/>
  <c r="AA82" i="1" s="1"/>
  <c r="T6" i="1"/>
  <c r="U6" i="1" s="1"/>
  <c r="R6" i="1"/>
  <c r="R136" i="1"/>
  <c r="Z136" i="1" s="1"/>
  <c r="T136" i="1"/>
  <c r="U136" i="1" s="1"/>
  <c r="AA136" i="1" s="1"/>
  <c r="R135" i="1"/>
  <c r="Z135" i="1" s="1"/>
  <c r="T135" i="1"/>
  <c r="U135" i="1" s="1"/>
  <c r="AA135" i="1" s="1"/>
  <c r="T159" i="1"/>
  <c r="U159" i="1" s="1"/>
  <c r="AA159" i="1" s="1"/>
  <c r="R187" i="1"/>
  <c r="Z187" i="1" s="1"/>
  <c r="T187" i="1"/>
  <c r="U187" i="1" s="1"/>
  <c r="AA187" i="1" s="1"/>
  <c r="T47" i="1"/>
  <c r="U47" i="1" s="1"/>
  <c r="AA47" i="1" s="1"/>
  <c r="R47" i="1"/>
  <c r="Z47" i="1" s="1"/>
  <c r="R98" i="1"/>
  <c r="Z98" i="1" s="1"/>
  <c r="T98" i="1"/>
  <c r="U98" i="1" s="1"/>
  <c r="AA98" i="1" s="1"/>
  <c r="R159" i="1"/>
  <c r="Z159" i="1" s="1"/>
  <c r="R22" i="1"/>
  <c r="Z22" i="1" s="1"/>
  <c r="T22" i="1"/>
  <c r="U22" i="1" s="1"/>
  <c r="AA22" i="1" s="1"/>
  <c r="R5" i="1"/>
  <c r="Z5" i="1" s="1"/>
  <c r="T5" i="1"/>
  <c r="U5" i="1" s="1"/>
  <c r="AA5" i="1" s="1"/>
  <c r="R82" i="1"/>
  <c r="Z82" i="1" s="1"/>
  <c r="R161" i="1"/>
  <c r="Z161" i="1" s="1"/>
  <c r="R185" i="1"/>
  <c r="Z185" i="1" s="1"/>
  <c r="T185" i="1"/>
  <c r="U185" i="1" s="1"/>
  <c r="AA185" i="1" s="1"/>
  <c r="T134" i="1"/>
  <c r="U134" i="1" s="1"/>
  <c r="AA134" i="1" s="1"/>
  <c r="T42" i="1"/>
  <c r="U42" i="1" s="1"/>
  <c r="AA42" i="1" s="1"/>
  <c r="R42" i="1"/>
  <c r="Z42" i="1" s="1"/>
  <c r="T139" i="1"/>
  <c r="U139" i="1" s="1"/>
  <c r="AA139" i="1" s="1"/>
  <c r="R4" i="1"/>
  <c r="Z4" i="1" s="1"/>
  <c r="T4" i="1"/>
  <c r="U4" i="1" s="1"/>
  <c r="AA4" i="1" s="1"/>
  <c r="R244" i="1"/>
  <c r="Z244" i="1" s="1"/>
  <c r="U244" i="1"/>
  <c r="AA244" i="1" s="1"/>
  <c r="U235" i="1"/>
  <c r="AA235" i="1" s="1"/>
  <c r="R235" i="1"/>
  <c r="Z235" i="1" s="1"/>
  <c r="U234" i="1"/>
  <c r="AA234" i="1" s="1"/>
  <c r="R234" i="1"/>
  <c r="Z234" i="1" s="1"/>
  <c r="R233" i="1"/>
  <c r="Z233" i="1" s="1"/>
  <c r="U233" i="1"/>
  <c r="AA233" i="1" s="1"/>
  <c r="R231" i="1"/>
  <c r="Z231" i="1" s="1"/>
  <c r="U231" i="1"/>
  <c r="AA231" i="1" s="1"/>
  <c r="R242" i="1"/>
  <c r="Z242" i="1" s="1"/>
  <c r="U242" i="1"/>
  <c r="AA242" i="1" s="1"/>
  <c r="R243" i="1"/>
  <c r="Z243" i="1" s="1"/>
  <c r="U243" i="1"/>
  <c r="AA243" i="1" s="1"/>
  <c r="R241" i="1"/>
  <c r="Z241" i="1" s="1"/>
  <c r="U241" i="1"/>
  <c r="AA241" i="1" s="1"/>
  <c r="R232" i="1"/>
  <c r="Z232" i="1" s="1"/>
  <c r="U232" i="1"/>
  <c r="AA232" i="1" s="1"/>
  <c r="R211" i="1"/>
  <c r="Z211" i="1" s="1"/>
  <c r="U211" i="1"/>
  <c r="AA211" i="1" s="1"/>
  <c r="R209" i="1"/>
  <c r="Z209" i="1" s="1"/>
  <c r="U209" i="1"/>
  <c r="AA209" i="1" s="1"/>
  <c r="U205" i="1"/>
  <c r="AA205" i="1" s="1"/>
  <c r="R205" i="1"/>
  <c r="Z205" i="1" s="1"/>
  <c r="R204" i="1"/>
  <c r="Z204" i="1" s="1"/>
  <c r="U204" i="1"/>
  <c r="AA204" i="1" s="1"/>
  <c r="R212" i="1"/>
  <c r="Z212" i="1" s="1"/>
  <c r="U212" i="1"/>
  <c r="AA212" i="1" s="1"/>
  <c r="U202" i="1"/>
  <c r="AA202" i="1" s="1"/>
  <c r="R202" i="1"/>
  <c r="Z202" i="1" s="1"/>
  <c r="U201" i="1"/>
  <c r="AA201" i="1" s="1"/>
  <c r="R201" i="1"/>
  <c r="Z201" i="1" s="1"/>
  <c r="R195" i="1"/>
  <c r="Z195" i="1" s="1"/>
  <c r="U195" i="1"/>
  <c r="AA195" i="1" s="1"/>
  <c r="R197" i="1"/>
  <c r="Z197" i="1" s="1"/>
  <c r="U197" i="1"/>
  <c r="AA197" i="1" s="1"/>
  <c r="R198" i="1"/>
  <c r="Z198" i="1" s="1"/>
  <c r="U198" i="1"/>
  <c r="AA198" i="1" s="1"/>
  <c r="R200" i="1"/>
  <c r="Z200" i="1" s="1"/>
  <c r="U200" i="1"/>
  <c r="AA200" i="1" s="1"/>
  <c r="R199" i="1"/>
  <c r="Z199" i="1" s="1"/>
  <c r="U199" i="1"/>
  <c r="AA199" i="1" s="1"/>
  <c r="R184" i="1"/>
  <c r="Z184" i="1" s="1"/>
  <c r="U184" i="1"/>
  <c r="AA184" i="1" s="1"/>
  <c r="R183" i="1"/>
  <c r="Z183" i="1" s="1"/>
  <c r="U183" i="1"/>
  <c r="AA183" i="1" s="1"/>
  <c r="R182" i="1"/>
  <c r="Z182" i="1" s="1"/>
  <c r="U182" i="1"/>
  <c r="AA182" i="1" s="1"/>
  <c r="U181" i="1"/>
  <c r="AA181" i="1" s="1"/>
  <c r="R181" i="1"/>
  <c r="Z181" i="1" s="1"/>
  <c r="U179" i="1"/>
  <c r="AA179" i="1" s="1"/>
  <c r="R179" i="1"/>
  <c r="Z179" i="1" s="1"/>
  <c r="Z178" i="1"/>
  <c r="AA178" i="1"/>
  <c r="R171" i="1"/>
  <c r="Z171" i="1" s="1"/>
  <c r="U171" i="1"/>
  <c r="AA171" i="1" s="1"/>
  <c r="R165" i="1"/>
  <c r="Z165" i="1" s="1"/>
  <c r="U165" i="1"/>
  <c r="AA165" i="1" s="1"/>
  <c r="R151" i="1"/>
  <c r="Z151" i="1" s="1"/>
  <c r="U151" i="1"/>
  <c r="AA151" i="1" s="1"/>
  <c r="R152" i="1"/>
  <c r="Z152" i="1" s="1"/>
  <c r="U152" i="1"/>
  <c r="AA152" i="1" s="1"/>
  <c r="R153" i="1"/>
  <c r="Z153" i="1" s="1"/>
  <c r="U153" i="1"/>
  <c r="AA153" i="1" s="1"/>
  <c r="R150" i="1"/>
  <c r="Z150" i="1" s="1"/>
  <c r="U150" i="1"/>
  <c r="AA150" i="1" s="1"/>
  <c r="U146" i="1"/>
  <c r="AA146" i="1" s="1"/>
  <c r="R146" i="1"/>
  <c r="Z146" i="1" s="1"/>
  <c r="R147" i="1"/>
  <c r="Z147" i="1" s="1"/>
  <c r="U147" i="1"/>
  <c r="AA147" i="1" s="1"/>
  <c r="U145" i="1"/>
  <c r="AA145" i="1" s="1"/>
  <c r="R145" i="1"/>
  <c r="Z145" i="1" s="1"/>
  <c r="R112" i="1"/>
  <c r="Z112" i="1" s="1"/>
  <c r="U112" i="1"/>
  <c r="AA112" i="1" s="1"/>
  <c r="R110" i="1"/>
  <c r="Z110" i="1" s="1"/>
  <c r="U110" i="1"/>
  <c r="AA110" i="1" s="1"/>
  <c r="R111" i="1"/>
  <c r="Z111" i="1" s="1"/>
  <c r="U111" i="1"/>
  <c r="AA111" i="1" s="1"/>
  <c r="R114" i="1"/>
  <c r="Z114" i="1" s="1"/>
  <c r="U114" i="1"/>
  <c r="AA114" i="1" s="1"/>
  <c r="R123" i="1"/>
  <c r="Z123" i="1" s="1"/>
  <c r="U123" i="1"/>
  <c r="AA123" i="1" s="1"/>
  <c r="R122" i="1"/>
  <c r="Z122" i="1" s="1"/>
  <c r="U122" i="1"/>
  <c r="AA122" i="1" s="1"/>
  <c r="R125" i="1"/>
  <c r="Z125" i="1" s="1"/>
  <c r="U125" i="1"/>
  <c r="AA125" i="1" s="1"/>
  <c r="R113" i="1"/>
  <c r="Z113" i="1" s="1"/>
  <c r="U113" i="1"/>
  <c r="AA113" i="1" s="1"/>
  <c r="R126" i="1"/>
  <c r="Z126" i="1" s="1"/>
  <c r="U126" i="1"/>
  <c r="AA126" i="1" s="1"/>
  <c r="R124" i="1"/>
  <c r="Z124" i="1" s="1"/>
  <c r="U124" i="1"/>
  <c r="AA124" i="1" s="1"/>
  <c r="R107" i="1"/>
  <c r="Z107" i="1" s="1"/>
  <c r="U107" i="1"/>
  <c r="AA107" i="1" s="1"/>
  <c r="R106" i="1"/>
  <c r="Z106" i="1" s="1"/>
  <c r="U106" i="1"/>
  <c r="AA106" i="1" s="1"/>
  <c r="U89" i="1"/>
  <c r="AA89" i="1" s="1"/>
  <c r="R89" i="1"/>
  <c r="Z89" i="1" s="1"/>
  <c r="R87" i="1"/>
  <c r="Z87" i="1" s="1"/>
  <c r="U87" i="1"/>
  <c r="AA87" i="1" s="1"/>
  <c r="R86" i="1"/>
  <c r="U86" i="1"/>
  <c r="R84" i="1"/>
  <c r="U84" i="1"/>
  <c r="R88" i="1"/>
  <c r="Z88" i="1" s="1"/>
  <c r="U88" i="1"/>
  <c r="AA88" i="1" s="1"/>
  <c r="R96" i="1"/>
  <c r="U96" i="1"/>
  <c r="R85" i="1"/>
  <c r="Z85" i="1" s="1"/>
  <c r="U85" i="1"/>
  <c r="AA85" i="1" s="1"/>
  <c r="R78" i="1"/>
  <c r="U78" i="1"/>
  <c r="R77" i="1"/>
  <c r="U77" i="1"/>
  <c r="R40" i="1"/>
  <c r="Z40" i="1" s="1"/>
  <c r="U40" i="1"/>
  <c r="AA40" i="1" s="1"/>
  <c r="R28" i="1"/>
  <c r="U28" i="1"/>
  <c r="U32" i="1"/>
  <c r="R32" i="1"/>
  <c r="R34" i="1"/>
  <c r="U34" i="1"/>
  <c r="R26" i="1"/>
  <c r="Z26" i="1" s="1"/>
  <c r="U26" i="1"/>
  <c r="AA26" i="1" s="1"/>
  <c r="R16" i="1"/>
  <c r="Z16" i="1" s="1"/>
  <c r="U16" i="1"/>
  <c r="AA16" i="1" s="1"/>
  <c r="R19" i="1"/>
  <c r="Z19" i="1" s="1"/>
  <c r="U19" i="1"/>
  <c r="AA19" i="1" s="1"/>
  <c r="I60" i="1"/>
  <c r="I74" i="1"/>
  <c r="I70" i="1"/>
  <c r="I71" i="1"/>
  <c r="I75" i="1"/>
  <c r="I72" i="1"/>
  <c r="I68" i="1"/>
  <c r="I64" i="1"/>
  <c r="I67" i="1"/>
  <c r="I66" i="1"/>
  <c r="I62" i="1"/>
  <c r="I63" i="1"/>
  <c r="I73" i="1"/>
  <c r="I69" i="1"/>
  <c r="I65" i="1"/>
  <c r="I61" i="1"/>
  <c r="G100" i="1" l="1"/>
  <c r="AA100" i="1"/>
  <c r="F100" i="1"/>
  <c r="I100" i="1" s="1"/>
  <c r="F7" i="3"/>
  <c r="F2" i="5"/>
  <c r="G250" i="1" l="1"/>
  <c r="F250" i="1"/>
  <c r="H250" i="1"/>
  <c r="I250" i="1" l="1"/>
  <c r="F80" i="1" l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I82" i="1" l="1"/>
  <c r="I81" i="1"/>
  <c r="I88" i="1"/>
  <c r="I83" i="1"/>
  <c r="I91" i="1"/>
  <c r="I85" i="1"/>
  <c r="I84" i="1"/>
  <c r="I80" i="1"/>
  <c r="I90" i="1"/>
  <c r="I92" i="1"/>
  <c r="I89" i="1"/>
  <c r="I86" i="1"/>
  <c r="I87" i="1"/>
  <c r="H186" i="1"/>
  <c r="F186" i="1" l="1"/>
  <c r="I186" i="1" s="1"/>
  <c r="G186" i="1"/>
  <c r="H117" i="1"/>
  <c r="F117" i="1" l="1"/>
  <c r="I117" i="1" s="1"/>
  <c r="G117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5" i="1" l="1"/>
  <c r="H25" i="1"/>
  <c r="G25" i="1"/>
  <c r="I25" i="1" l="1"/>
  <c r="F151" i="1"/>
  <c r="G151" i="1"/>
  <c r="H151" i="1"/>
  <c r="I151" i="1" l="1"/>
  <c r="H245" i="1" l="1"/>
  <c r="F245" i="1"/>
  <c r="G245" i="1"/>
  <c r="F208" i="1"/>
  <c r="H206" i="1"/>
  <c r="F206" i="1"/>
  <c r="G206" i="1"/>
  <c r="H207" i="1"/>
  <c r="F207" i="1"/>
  <c r="G207" i="1"/>
  <c r="H208" i="1"/>
  <c r="G208" i="1"/>
  <c r="H209" i="1"/>
  <c r="F209" i="1"/>
  <c r="G209" i="1"/>
  <c r="I245" i="1" l="1"/>
  <c r="I207" i="1"/>
  <c r="I209" i="1"/>
  <c r="I206" i="1"/>
  <c r="I208" i="1"/>
  <c r="H249" i="1" l="1"/>
  <c r="G249" i="1"/>
  <c r="F249" i="1"/>
  <c r="H248" i="1"/>
  <c r="G248" i="1"/>
  <c r="F248" i="1"/>
  <c r="H247" i="1"/>
  <c r="G247" i="1"/>
  <c r="F247" i="1"/>
  <c r="F244" i="1"/>
  <c r="H244" i="1"/>
  <c r="F243" i="1"/>
  <c r="H243" i="1"/>
  <c r="F242" i="1"/>
  <c r="H242" i="1"/>
  <c r="F241" i="1"/>
  <c r="H241" i="1"/>
  <c r="F240" i="1"/>
  <c r="H240" i="1"/>
  <c r="F239" i="1"/>
  <c r="H239" i="1"/>
  <c r="G238" i="1"/>
  <c r="F238" i="1"/>
  <c r="H238" i="1"/>
  <c r="G237" i="1"/>
  <c r="F237" i="1"/>
  <c r="H237" i="1"/>
  <c r="G236" i="1"/>
  <c r="F236" i="1"/>
  <c r="H236" i="1"/>
  <c r="G235" i="1"/>
  <c r="F235" i="1"/>
  <c r="H235" i="1"/>
  <c r="G234" i="1"/>
  <c r="F234" i="1"/>
  <c r="H234" i="1"/>
  <c r="G233" i="1"/>
  <c r="F233" i="1"/>
  <c r="H233" i="1"/>
  <c r="G232" i="1"/>
  <c r="F232" i="1"/>
  <c r="H232" i="1"/>
  <c r="G231" i="1"/>
  <c r="F231" i="1"/>
  <c r="H231" i="1"/>
  <c r="G212" i="1"/>
  <c r="F212" i="1"/>
  <c r="H212" i="1"/>
  <c r="G211" i="1"/>
  <c r="F211" i="1"/>
  <c r="H211" i="1"/>
  <c r="G210" i="1"/>
  <c r="F210" i="1"/>
  <c r="H210" i="1"/>
  <c r="G205" i="1"/>
  <c r="F205" i="1"/>
  <c r="H205" i="1"/>
  <c r="G204" i="1"/>
  <c r="F204" i="1"/>
  <c r="H204" i="1"/>
  <c r="G203" i="1"/>
  <c r="F203" i="1"/>
  <c r="H203" i="1"/>
  <c r="G202" i="1"/>
  <c r="F202" i="1"/>
  <c r="H202" i="1"/>
  <c r="G201" i="1"/>
  <c r="F201" i="1"/>
  <c r="H201" i="1"/>
  <c r="G200" i="1"/>
  <c r="F200" i="1"/>
  <c r="H200" i="1"/>
  <c r="G199" i="1"/>
  <c r="F199" i="1"/>
  <c r="H199" i="1"/>
  <c r="G197" i="1"/>
  <c r="F197" i="1"/>
  <c r="H197" i="1"/>
  <c r="G195" i="1"/>
  <c r="F195" i="1"/>
  <c r="H195" i="1"/>
  <c r="G194" i="1"/>
  <c r="F194" i="1"/>
  <c r="H194" i="1"/>
  <c r="G193" i="1"/>
  <c r="F193" i="1"/>
  <c r="H193" i="1"/>
  <c r="G192" i="1"/>
  <c r="F192" i="1"/>
  <c r="H192" i="1"/>
  <c r="G191" i="1"/>
  <c r="F191" i="1"/>
  <c r="H191" i="1"/>
  <c r="G190" i="1"/>
  <c r="F190" i="1"/>
  <c r="H190" i="1"/>
  <c r="G188" i="1"/>
  <c r="F188" i="1"/>
  <c r="H188" i="1"/>
  <c r="G187" i="1"/>
  <c r="F187" i="1"/>
  <c r="H187" i="1"/>
  <c r="G185" i="1"/>
  <c r="F185" i="1"/>
  <c r="H185" i="1"/>
  <c r="G184" i="1"/>
  <c r="F184" i="1"/>
  <c r="H184" i="1"/>
  <c r="G183" i="1"/>
  <c r="F183" i="1"/>
  <c r="H183" i="1"/>
  <c r="G182" i="1"/>
  <c r="F182" i="1"/>
  <c r="H182" i="1"/>
  <c r="G181" i="1"/>
  <c r="F181" i="1"/>
  <c r="H181" i="1"/>
  <c r="G180" i="1"/>
  <c r="F180" i="1"/>
  <c r="H180" i="1"/>
  <c r="G179" i="1"/>
  <c r="F179" i="1"/>
  <c r="H179" i="1"/>
  <c r="H171" i="1"/>
  <c r="G171" i="1"/>
  <c r="F171" i="1"/>
  <c r="G170" i="1"/>
  <c r="F170" i="1"/>
  <c r="H170" i="1"/>
  <c r="G169" i="1"/>
  <c r="F169" i="1"/>
  <c r="H169" i="1"/>
  <c r="G168" i="1"/>
  <c r="F168" i="1"/>
  <c r="H168" i="1"/>
  <c r="G167" i="1"/>
  <c r="F167" i="1"/>
  <c r="H167" i="1"/>
  <c r="G166" i="1"/>
  <c r="F166" i="1"/>
  <c r="H166" i="1"/>
  <c r="G165" i="1"/>
  <c r="F165" i="1"/>
  <c r="H165" i="1"/>
  <c r="H164" i="1"/>
  <c r="G164" i="1"/>
  <c r="F164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3" i="1"/>
  <c r="G153" i="1"/>
  <c r="F153" i="1"/>
  <c r="G152" i="1"/>
  <c r="H152" i="1"/>
  <c r="F152" i="1"/>
  <c r="H150" i="1"/>
  <c r="G150" i="1"/>
  <c r="F150" i="1"/>
  <c r="H149" i="1"/>
  <c r="G149" i="1"/>
  <c r="F149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G125" i="1"/>
  <c r="H125" i="1"/>
  <c r="F125" i="1"/>
  <c r="G124" i="1"/>
  <c r="H124" i="1"/>
  <c r="F124" i="1"/>
  <c r="G123" i="1"/>
  <c r="H123" i="1"/>
  <c r="F123" i="1"/>
  <c r="G122" i="1"/>
  <c r="H122" i="1"/>
  <c r="F122" i="1"/>
  <c r="G121" i="1"/>
  <c r="H121" i="1"/>
  <c r="F121" i="1"/>
  <c r="G120" i="1"/>
  <c r="H120" i="1"/>
  <c r="F120" i="1"/>
  <c r="G119" i="1"/>
  <c r="H119" i="1"/>
  <c r="F119" i="1"/>
  <c r="G118" i="1"/>
  <c r="F118" i="1"/>
  <c r="H118" i="1"/>
  <c r="H116" i="1"/>
  <c r="H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F115" i="1" l="1"/>
  <c r="I115" i="1" s="1"/>
  <c r="F116" i="1"/>
  <c r="I116" i="1" s="1"/>
  <c r="G240" i="1"/>
  <c r="G244" i="1"/>
  <c r="G239" i="1"/>
  <c r="G241" i="1"/>
  <c r="G243" i="1"/>
  <c r="G242" i="1"/>
  <c r="I123" i="1"/>
  <c r="G115" i="1"/>
  <c r="I233" i="1"/>
  <c r="I235" i="1"/>
  <c r="I158" i="1"/>
  <c r="I164" i="1"/>
  <c r="G116" i="1"/>
  <c r="I122" i="1"/>
  <c r="I93" i="1"/>
  <c r="I167" i="1"/>
  <c r="I193" i="1"/>
  <c r="I161" i="1"/>
  <c r="I240" i="1"/>
  <c r="I191" i="1"/>
  <c r="I108" i="1"/>
  <c r="I112" i="1"/>
  <c r="I96" i="1"/>
  <c r="I185" i="1"/>
  <c r="I195" i="1"/>
  <c r="I204" i="1"/>
  <c r="I231" i="1"/>
  <c r="I111" i="1"/>
  <c r="I133" i="1"/>
  <c r="I137" i="1"/>
  <c r="I145" i="1"/>
  <c r="I237" i="1"/>
  <c r="I106" i="1"/>
  <c r="I152" i="1"/>
  <c r="I103" i="1"/>
  <c r="I121" i="1"/>
  <c r="I124" i="1"/>
  <c r="I179" i="1"/>
  <c r="I202" i="1"/>
  <c r="I242" i="1"/>
  <c r="I244" i="1"/>
  <c r="I125" i="1"/>
  <c r="I153" i="1"/>
  <c r="I105" i="1"/>
  <c r="I109" i="1"/>
  <c r="I184" i="1"/>
  <c r="I203" i="1"/>
  <c r="I212" i="1"/>
  <c r="I136" i="1"/>
  <c r="I149" i="1"/>
  <c r="I169" i="1"/>
  <c r="I188" i="1"/>
  <c r="I236" i="1"/>
  <c r="I201" i="1"/>
  <c r="I138" i="1"/>
  <c r="I147" i="1"/>
  <c r="I135" i="1"/>
  <c r="I102" i="1"/>
  <c r="I187" i="1"/>
  <c r="I241" i="1"/>
  <c r="I95" i="1"/>
  <c r="I114" i="1"/>
  <c r="I132" i="1"/>
  <c r="I142" i="1"/>
  <c r="I234" i="1"/>
  <c r="I139" i="1"/>
  <c r="I232" i="1"/>
  <c r="I120" i="1"/>
  <c r="I166" i="1"/>
  <c r="I182" i="1"/>
  <c r="I238" i="1"/>
  <c r="I192" i="1"/>
  <c r="I107" i="1"/>
  <c r="I160" i="1"/>
  <c r="I197" i="1"/>
  <c r="I205" i="1"/>
  <c r="I200" i="1"/>
  <c r="I98" i="1"/>
  <c r="I159" i="1"/>
  <c r="I199" i="1"/>
  <c r="I247" i="1"/>
  <c r="I128" i="1"/>
  <c r="I248" i="1"/>
  <c r="I190" i="1"/>
  <c r="I118" i="1"/>
  <c r="I210" i="1"/>
  <c r="I144" i="1"/>
  <c r="I141" i="1"/>
  <c r="I127" i="1"/>
  <c r="I126" i="1"/>
  <c r="I243" i="1"/>
  <c r="I249" i="1"/>
  <c r="I194" i="1"/>
  <c r="I211" i="1"/>
  <c r="I239" i="1"/>
  <c r="I146" i="1"/>
  <c r="I180" i="1"/>
  <c r="I94" i="1"/>
  <c r="I113" i="1"/>
  <c r="I143" i="1"/>
  <c r="I168" i="1"/>
  <c r="I104" i="1"/>
  <c r="I119" i="1"/>
  <c r="I157" i="1"/>
  <c r="I101" i="1"/>
  <c r="I129" i="1"/>
  <c r="I150" i="1"/>
  <c r="I171" i="1"/>
  <c r="I97" i="1"/>
  <c r="I110" i="1"/>
  <c r="I140" i="1"/>
  <c r="I165" i="1"/>
  <c r="I134" i="1"/>
  <c r="I170" i="1"/>
  <c r="I181" i="1"/>
  <c r="I183" i="1"/>
  <c r="D3" i="3" l="1"/>
  <c r="A12" i="10" l="1"/>
  <c r="A8" i="2"/>
  <c r="A13" i="10" l="1"/>
  <c r="A14" i="10"/>
  <c r="H46" i="1"/>
  <c r="H47" i="1"/>
  <c r="H48" i="1"/>
  <c r="H50" i="1"/>
  <c r="H27" i="1"/>
  <c r="H51" i="1"/>
  <c r="H20" i="1"/>
  <c r="H22" i="1"/>
  <c r="H26" i="1"/>
  <c r="H30" i="1"/>
  <c r="H77" i="1"/>
  <c r="H78" i="1"/>
  <c r="H79" i="1"/>
  <c r="H5" i="1"/>
  <c r="H6" i="1"/>
  <c r="H16" i="1"/>
  <c r="H28" i="1"/>
  <c r="H19" i="1"/>
  <c r="H32" i="1"/>
  <c r="H34" i="1"/>
  <c r="H36" i="1"/>
  <c r="H37" i="1"/>
  <c r="H40" i="1"/>
  <c r="H41" i="1"/>
  <c r="H42" i="1"/>
  <c r="H43" i="1"/>
  <c r="H4" i="1"/>
  <c r="F16" i="1"/>
  <c r="G16" i="1"/>
  <c r="G30" i="1"/>
  <c r="G26" i="1"/>
  <c r="G22" i="1"/>
  <c r="G20" i="1"/>
  <c r="G47" i="1"/>
  <c r="G46" i="1"/>
  <c r="G40" i="1"/>
  <c r="G32" i="1"/>
  <c r="G19" i="1"/>
  <c r="I16" i="1" l="1"/>
  <c r="G41" i="1"/>
  <c r="G50" i="1"/>
  <c r="G51" i="1"/>
  <c r="G37" i="1"/>
  <c r="G34" i="1"/>
  <c r="G79" i="1"/>
  <c r="G78" i="1"/>
  <c r="G6" i="1"/>
  <c r="G77" i="1"/>
  <c r="G48" i="1"/>
  <c r="G36" i="1"/>
  <c r="G28" i="1"/>
  <c r="G5" i="1"/>
  <c r="G43" i="1" l="1"/>
  <c r="G42" i="1"/>
  <c r="G27" i="1"/>
  <c r="G4" i="1" l="1"/>
  <c r="F8" i="3"/>
  <c r="F5" i="1" l="1"/>
  <c r="I5" i="1" s="1"/>
  <c r="F6" i="1"/>
  <c r="I6" i="1" s="1"/>
  <c r="F28" i="1"/>
  <c r="I28" i="1" s="1"/>
  <c r="F19" i="1"/>
  <c r="I19" i="1" s="1"/>
  <c r="F32" i="1"/>
  <c r="I32" i="1" s="1"/>
  <c r="F34" i="1"/>
  <c r="I34" i="1" s="1"/>
  <c r="F36" i="1"/>
  <c r="I36" i="1" s="1"/>
  <c r="F37" i="1"/>
  <c r="I37" i="1" s="1"/>
  <c r="F40" i="1"/>
  <c r="I40" i="1" s="1"/>
  <c r="F41" i="1"/>
  <c r="I41" i="1" s="1"/>
  <c r="F42" i="1"/>
  <c r="I42" i="1" s="1"/>
  <c r="F43" i="1"/>
  <c r="I43" i="1" s="1"/>
  <c r="F46" i="1"/>
  <c r="I46" i="1" s="1"/>
  <c r="F47" i="1"/>
  <c r="I47" i="1" s="1"/>
  <c r="F48" i="1"/>
  <c r="I48" i="1" s="1"/>
  <c r="F50" i="1"/>
  <c r="I50" i="1" s="1"/>
  <c r="F27" i="1"/>
  <c r="I27" i="1" s="1"/>
  <c r="F51" i="1"/>
  <c r="I51" i="1" s="1"/>
  <c r="F20" i="1"/>
  <c r="I20" i="1" s="1"/>
  <c r="F22" i="1"/>
  <c r="I22" i="1" s="1"/>
  <c r="F26" i="1"/>
  <c r="I26" i="1" s="1"/>
  <c r="F30" i="1"/>
  <c r="I30" i="1" s="1"/>
  <c r="F77" i="1"/>
  <c r="I77" i="1" s="1"/>
  <c r="F78" i="1"/>
  <c r="I78" i="1" s="1"/>
  <c r="F79" i="1"/>
  <c r="I79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F12" i="7" s="1" a="1"/>
  <c r="AF12" i="7" s="1"/>
  <c r="AG9" i="3"/>
  <c r="AE12" i="7" s="1" a="1"/>
  <c r="AE12" i="7" s="1"/>
  <c r="AF9" i="3"/>
  <c r="AD12" i="7" s="1" a="1"/>
  <c r="AD12" i="7" s="1"/>
  <c r="AE9" i="3"/>
  <c r="AC12" i="7" s="1" a="1"/>
  <c r="AC12" i="7" s="1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AB12" i="7" l="1" a="1"/>
  <c r="AB12" i="7" s="1"/>
  <c r="AB14" i="7" a="1"/>
  <c r="AB14" i="7" s="1"/>
  <c r="AA12" i="7" a="1"/>
  <c r="AA12" i="7" s="1"/>
  <c r="AA12" i="10" s="1"/>
  <c r="AA14" i="7" a="1"/>
  <c r="AA14" i="7" s="1"/>
  <c r="Z12" i="7" a="1"/>
  <c r="Z12" i="7" s="1"/>
  <c r="Z12" i="10" s="1"/>
  <c r="Z14" i="7" a="1"/>
  <c r="Z14" i="7" s="1"/>
  <c r="Y12" i="7" a="1"/>
  <c r="Y12" i="7" s="1"/>
  <c r="Y12" i="10" s="1"/>
  <c r="Y14" i="7" a="1"/>
  <c r="Y14" i="7" s="1"/>
  <c r="X12" i="7" a="1"/>
  <c r="X12" i="7" s="1"/>
  <c r="X14" i="7" a="1"/>
  <c r="X14" i="7" s="1"/>
  <c r="X14" i="10" s="1"/>
  <c r="W12" i="7" a="1"/>
  <c r="W12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G12" i="10"/>
  <c r="AG15" i="7"/>
  <c r="AH12" i="10"/>
  <c r="AH15" i="7"/>
  <c r="BR12" i="10"/>
  <c r="AI12" i="10"/>
  <c r="AI15" i="7"/>
  <c r="BH12" i="10"/>
  <c r="AL12" i="10"/>
  <c r="AL15" i="7"/>
  <c r="AF12" i="10"/>
  <c r="AF15" i="7"/>
  <c r="CB12" i="10"/>
  <c r="AT12" i="10"/>
  <c r="BS12" i="10"/>
  <c r="BS15" i="7"/>
  <c r="AJ12" i="10"/>
  <c r="AJ15" i="7"/>
  <c r="AV12" i="10"/>
  <c r="AK15" i="7"/>
  <c r="AK12" i="10"/>
  <c r="BU12" i="10"/>
  <c r="BJ12" i="10"/>
  <c r="AM12" i="10"/>
  <c r="AM15" i="7"/>
  <c r="BW12" i="10"/>
  <c r="AB12" i="10"/>
  <c r="BL12" i="10"/>
  <c r="AC12" i="10"/>
  <c r="AC15" i="7"/>
  <c r="BA12" i="10"/>
  <c r="AD12" i="10"/>
  <c r="AD15" i="7"/>
  <c r="AP12" i="10"/>
  <c r="BN12" i="10"/>
  <c r="BZ12" i="10"/>
  <c r="AE12" i="10"/>
  <c r="AE15" i="7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Z14" i="10"/>
  <c r="BJ14" i="10"/>
  <c r="BW14" i="10"/>
  <c r="AV14" i="10"/>
  <c r="AC14" i="10"/>
  <c r="BA14" i="10"/>
  <c r="AD14" i="10"/>
  <c r="AP14" i="10"/>
  <c r="BZ14" i="10"/>
  <c r="AE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AB17" i="7" l="1"/>
  <c r="AB15" i="7"/>
  <c r="AA17" i="7"/>
  <c r="AA15" i="7"/>
  <c r="Z15" i="7"/>
  <c r="Z17" i="7"/>
  <c r="Y15" i="7"/>
  <c r="X12" i="10"/>
  <c r="Y15" i="10" s="1"/>
  <c r="Y17" i="7"/>
  <c r="X17" i="7"/>
  <c r="X15" i="7"/>
  <c r="W12" i="10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AE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AD15" i="10"/>
  <c r="AN14" i="10"/>
  <c r="AO17" i="10" s="1"/>
  <c r="G15" i="10"/>
  <c r="AS14" i="10"/>
  <c r="AS17" i="10" s="1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AK15" i="10"/>
  <c r="S15" i="10"/>
  <c r="AA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X15" i="10" l="1"/>
  <c r="W15" i="10"/>
  <c r="T15" i="10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<sst xmlns="http://schemas.openxmlformats.org/spreadsheetml/2006/main" count="1353" uniqueCount="535">
  <si>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</si>
  <si>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</si>
  <si>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</si>
  <si>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</si>
  <si>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</si>
  <si>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</si>
  <si>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</si>
  <si>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</si>
  <si>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</si>
  <si>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</si>
  <si>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</si>
  <si>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</si>
  <si>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</si>
  <si>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</si>
  <si>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</si>
  <si>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</si>
  <si>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</si>
  <si>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</si>
  <si>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</si>
  <si>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</si>
  <si>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</si>
  <si>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</si>
  <si>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</si>
  <si>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</si>
  <si>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</si>
  <si>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</si>
  <si>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</si>
  <si>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</si>
  <si>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</si>
  <si>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</si>
  <si>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</si>
  <si>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</si>
  <si>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</si>
  <si>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</si>
  <si>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</si>
  <si>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</si>
  <si>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</si>
  <si>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</si>
  <si>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</si>
  <si>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</si>
  <si>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</si>
  <si>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</si>
  <si>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</si>
  <si>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</si>
  <si>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</si>
  <si>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</si>
  <si>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</si>
  <si>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</si>
  <si>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</si>
  <si>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</si>
  <si>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</si>
  <si>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</si>
  <si>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</si>
  <si>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</si>
  <si>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</si>
  <si>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</si>
  <si>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</si>
  <si>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</si>
  <si>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</si>
  <si>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</si>
  <si>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</si>
  <si>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</si>
  <si>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</si>
  <si>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</si>
  <si>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</si>
  <si>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</si>
  <si>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</si>
  <si>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</si>
  <si>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</si>
  <si>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</si>
  <si>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</si>
  <si>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</si>
  <si>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</si>
  <si>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</si>
  <si>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</si>
  <si>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</si>
  <si>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</si>
  <si>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</si>
  <si>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TOPSIDES LOADOUT ANALYSIS REPORT</t>
  </si>
  <si>
    <t>TOPSIDES LIFTING ANALYSIS REPORT</t>
  </si>
  <si>
    <t>TOPSIDES MISCELLANEOUSD DESIGN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</si>
  <si>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</si>
  <si>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</si>
  <si>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</si>
  <si>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</si>
  <si>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</si>
  <si>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</si>
  <si>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</si>
  <si>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ZWP22 COMBINED TOPSIDES AND JACKET SEISMIC ANALYSIS REPORT (EXTREME LEVEL EARTHQUAKE-ELE)</t>
  </si>
  <si>
    <t>ZWP22 COMBINED TOPSIDES AND JACKET SEISMIC ANALYSIS REPORT (ABNORMAL LEVEL EARTHQUAKE-ALE)</t>
  </si>
  <si>
    <t>ZWP23 COMBINED TOPSIDES AND JACKET SEISMIC ANALYSIS REPORT (EXTREME LEVEL EARTHQUAKE-ELE)</t>
  </si>
  <si>
    <t>ZWP23 COMBINED TOPSIDES AND JACKET SEISMIC ANALYSIS REPORT (ABNORMAL LEVEL EARTHQUAKE-ALE)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</si>
  <si>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</si>
  <si>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</si>
  <si>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</si>
  <si>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</si>
  <si>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</si>
  <si>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</si>
  <si>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</si>
  <si>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</si>
  <si>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</si>
  <si>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</si>
  <si>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</si>
  <si>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</si>
  <si>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</si>
  <si>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</si>
  <si>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</si>
  <si>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</si>
  <si>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</si>
  <si>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</si>
  <si>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</si>
  <si>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</si>
  <si>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</si>
  <si>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</si>
  <si>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</si>
  <si>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</si>
  <si>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</si>
  <si>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</si>
  <si>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</si>
  <si>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</si>
  <si>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</si>
  <si>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</si>
  <si>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</si>
  <si>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</si>
  <si>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</si>
  <si>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</si>
  <si>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</si>
  <si>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</si>
  <si>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</si>
  <si>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</si>
  <si>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</si>
  <si>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</si>
  <si>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</si>
  <si>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</si>
  <si>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</si>
  <si>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</si>
  <si>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</si>
  <si>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</si>
  <si>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</si>
  <si>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</si>
  <si>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</si>
  <si>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</si>
  <si>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</si>
  <si>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</si>
  <si>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</si>
  <si>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</si>
  <si>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</si>
  <si>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</si>
  <si>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</si>
  <si>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</si>
  <si>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</si>
  <si>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</si>
  <si>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</si>
  <si>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</si>
  <si>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</si>
  <si>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</si>
  <si>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</si>
  <si>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</si>
  <si>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</si>
  <si>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</si>
  <si>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</si>
  <si>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</si>
  <si>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</si>
  <si>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</si>
  <si>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</si>
  <si>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</si>
  <si>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</si>
  <si>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</si>
  <si>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</si>
  <si>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</si>
  <si>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</si>
  <si>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</si>
  <si>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</si>
  <si>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</si>
  <si>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</si>
  <si>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</si>
  <si>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</si>
  <si>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</si>
  <si>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</si>
  <si>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</si>
  <si>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</si>
  <si>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</si>
  <si>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</si>
  <si>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</si>
  <si>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</si>
  <si>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</si>
  <si>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</si>
  <si>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</si>
  <si>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</si>
  <si>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</si>
  <si>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</si>
  <si>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</si>
  <si>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</si>
  <si>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</si>
  <si>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</si>
  <si>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</si>
  <si>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</si>
  <si>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</si>
  <si>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</si>
  <si>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</si>
  <si>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</si>
  <si>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</si>
  <si>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</si>
  <si>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</si>
  <si>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</si>
  <si>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</si>
  <si>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</si>
  <si>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</si>
  <si>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</si>
  <si>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</si>
  <si>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</si>
  <si>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</si>
  <si>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</si>
  <si>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</si>
  <si>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</si>
  <si>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</si>
  <si>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</si>
  <si>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</si>
  <si>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</si>
  <si>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</si>
  <si>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</si>
  <si>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</si>
  <si>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</si>
  <si>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</si>
  <si>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</si>
  <si>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</si>
  <si>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</si>
  <si>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</si>
  <si>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</si>
  <si>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</si>
  <si>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</si>
  <si>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</si>
  <si>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</si>
  <si>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</si>
  <si>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</si>
  <si>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</si>
  <si>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</si>
  <si>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</si>
  <si>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</si>
  <si>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</si>
  <si>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</si>
  <si>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</si>
  <si>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</si>
  <si>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</si>
  <si>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</si>
  <si>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MATERIAL REQUISITION FOR TOPSIDES HIGH STRENGTH TUBULAR STEEL</t>
  </si>
  <si>
    <t>MATERIAL REQUISITION FOR TOPSIDES SECONDARY AND TERTIARY TUBULAR STEEL</t>
  </si>
  <si>
    <t>MATERIAL REQUISITION FOR TOPSIDES HIGH STRENGTH HOT-ROLLED STEEL SECTIONS (SHAPES)</t>
  </si>
  <si>
    <t>MATERIAL REQUISITION FOR TOPSIDES SECONDARY AND TERTIARY HOT-ROLLED STEEL (SHAPES)</t>
  </si>
  <si>
    <t>MATERIAL REQUISITION FOR TOPSIDES HIGH STRENGTH STEEL PLATES</t>
  </si>
  <si>
    <t>MATERIAL REQUISITION FOR TOPSIDES LOW STRENGTH STEEL PLATES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</si>
  <si>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</si>
  <si>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</si>
  <si>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</si>
  <si>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</si>
  <si>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</si>
  <si>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</si>
  <si>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</si>
  <si>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</si>
  <si>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</si>
  <si>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</si>
  <si>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</si>
  <si>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</si>
  <si>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</si>
  <si>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</si>
  <si>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</si>
  <si>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</si>
  <si>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</si>
  <si>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</si>
  <si>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</si>
  <si>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</si>
  <si>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</si>
  <si>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</si>
  <si>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</si>
  <si>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</si>
  <si>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</si>
  <si>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</si>
  <si>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</si>
  <si>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</si>
  <si>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</si>
  <si>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</si>
  <si>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</si>
  <si>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</si>
  <si>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</si>
  <si>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</si>
  <si>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</si>
  <si>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</si>
  <si>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</si>
  <si>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</si>
  <si>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</si>
  <si>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</si>
  <si>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</si>
  <si>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</si>
  <si>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</si>
  <si>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</si>
  <si>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</si>
  <si>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</si>
  <si>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</si>
  <si>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</si>
  <si>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</si>
  <si>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</si>
  <si>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</si>
  <si>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</si>
  <si>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</si>
  <si>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</si>
  <si>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</si>
  <si>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</si>
  <si>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</si>
  <si>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</si>
  <si>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</si>
  <si>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</si>
  <si>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</si>
  <si>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</si>
  <si>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</si>
  <si>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</si>
  <si>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</si>
  <si>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</si>
  <si>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</si>
  <si>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</si>
  <si>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</si>
  <si>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</si>
  <si>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</si>
  <si>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</si>
  <si>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</si>
  <si>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</si>
  <si>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</si>
  <si>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</si>
  <si>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</si>
  <si>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</si>
  <si>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</si>
  <si>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</si>
  <si>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</si>
  <si>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</si>
  <si>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</si>
  <si>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</si>
  <si>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</si>
  <si>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</si>
  <si>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</si>
  <si>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</si>
  <si>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</si>
  <si>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</si>
  <si>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</si>
  <si>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</si>
  <si>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</si>
  <si>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</si>
  <si>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</si>
  <si>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</si>
  <si>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</si>
  <si>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</si>
  <si>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</si>
  <si>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</si>
  <si>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</si>
  <si>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</si>
  <si>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</si>
  <si>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</si>
  <si>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</si>
  <si>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</si>
  <si>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</si>
  <si>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</si>
  <si>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</si>
  <si>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</si>
  <si>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</si>
  <si>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</si>
  <si>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</si>
  <si>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</si>
  <si>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</si>
  <si>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</si>
  <si>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</si>
  <si>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</si>
  <si>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</si>
  <si>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</si>
  <si>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</si>
  <si>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</si>
  <si>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</si>
  <si>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</si>
  <si>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</si>
  <si>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</si>
  <si>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</si>
  <si>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</si>
  <si>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</si>
  <si>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</si>
  <si>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</si>
  <si>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</si>
  <si>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</si>
  <si>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</si>
  <si>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</si>
  <si>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</si>
  <si>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</si>
  <si>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</si>
  <si>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</si>
  <si>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</si>
  <si>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</si>
  <si>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</si>
  <si>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</si>
  <si>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</si>
  <si>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</si>
  <si>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</si>
  <si>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</si>
  <si>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</si>
  <si>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</si>
  <si>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</si>
  <si>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</si>
  <si>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</si>
  <si>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</si>
  <si>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</si>
  <si>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</si>
  <si>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</si>
  <si>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</si>
  <si>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</si>
  <si>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</si>
  <si>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</si>
  <si>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</si>
  <si>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</si>
  <si>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</si>
  <si>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</si>
  <si>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</si>
  <si>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</si>
  <si>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</si>
  <si>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</si>
  <si>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</si>
  <si>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</si>
  <si>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</si>
  <si>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</si>
  <si>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</si>
  <si>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</si>
  <si>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</si>
  <si>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</si>
  <si>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</si>
  <si>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</si>
  <si>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</si>
  <si>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</si>
  <si>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</si>
  <si>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</si>
  <si>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</si>
  <si>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</si>
  <si>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</si>
  <si>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</si>
  <si>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</si>
  <si>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</si>
  <si>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</si>
  <si>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</si>
  <si>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</si>
  <si>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</si>
  <si>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</si>
  <si>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</si>
  <si>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</si>
  <si>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</si>
  <si>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</si>
  <si>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</si>
  <si>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</si>
  <si>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</si>
  <si>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</si>
  <si>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</si>
  <si>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</si>
  <si>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</si>
  <si>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</si>
  <si>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</si>
  <si>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</si>
  <si>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</si>
  <si>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</si>
  <si>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</si>
  <si>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</si>
  <si>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</si>
  <si>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</si>
  <si>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</si>
  <si>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</si>
  <si>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</si>
  <si>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</si>
  <si>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</si>
  <si>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</si>
  <si>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</si>
  <si>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</si>
  <si>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</si>
  <si>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</si>
  <si>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</si>
  <si>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</si>
  <si>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</si>
  <si>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</si>
  <si>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</si>
  <si>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</si>
  <si>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</si>
  <si>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</si>
  <si>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</si>
  <si>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</si>
  <si>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</si>
  <si>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</si>
  <si>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</si>
  <si>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</si>
  <si>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</si>
  <si>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</si>
  <si>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</si>
  <si>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</si>
  <si>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</si>
  <si>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</si>
  <si>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</si>
  <si>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</si>
  <si>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</si>
  <si>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</si>
  <si>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</si>
  <si>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</si>
  <si>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</si>
  <si>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</si>
  <si>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</si>
  <si>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</si>
  <si>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</si>
  <si>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</si>
  <si>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</si>
  <si>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</si>
  <si>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ANALYSIS REPORT - UPDATED TOW ROUTE</t>
  </si>
  <si>
    <t>TOPSIDES TRANSPORATION FATIGUE ANALYSIS REPORT - SUPERSEDED</t>
  </si>
  <si>
    <t>TOPSIDES TRANSPORATION FATIGUE ANALYSIS REPORT - UPDATED TOW ROUTE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</si>
  <si>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</si>
  <si>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</si>
  <si>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</si>
  <si>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</si>
  <si>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</si>
  <si>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</si>
  <si>
    <t>TOPSIDES BARGE MOTION ANALYSIS REPORT - SUPERSEDED</t>
  </si>
  <si>
    <t xml:space="preserve">TOPSIDES BARGE MOTION ANALYSIS REPORT - UPDATED TOW ROUTE </t>
  </si>
  <si>
    <t>TOPSIDE - UNIHEAD SPACER ARRANGEMENT AND DETAILS SHEET 2 - CANCELLED</t>
  </si>
  <si>
    <t>TOPSIDES - UPPER DECK FLOORING LAYOUT FOR SAFETY SIGN SUPPORT AT TOPL EL(+) 24820 - CANCELLED</t>
  </si>
  <si>
    <t>TOPSIDE - DRILLING MUD RETURN LINE SUPPORT - PLAN, SECTION AND DETAILS - CANCELLED</t>
  </si>
  <si>
    <t>TOPSIDES WEIGHT CONTROL REPORT (UPDATE MONHLY)  - SUPERSEDED</t>
  </si>
  <si>
    <t xml:space="preserve"> TOPSIDES - TYPICAL EQUIPMENT SUPPORT DETAILS - SHEET 15 - CANCELLED</t>
  </si>
  <si>
    <t xml:space="preserve"> TOPSIDES - TYPICAL EQUIPMENT SUPPORT DETAILS - SHEET 15</t>
  </si>
  <si>
    <t>MM-ZTK-1F-ZWPX-STR-DWG-1141</t>
  </si>
  <si>
    <t>TOPSIDE - MAIN JOINT DETAILS - SHEET 22 (NEW)</t>
  </si>
  <si>
    <t>TOPSIDES COMPUTER MODELLING WITH VENT BOOM &amp; LOAD FORMULATION - UPDATED INFO</t>
  </si>
  <si>
    <t>TOPSIDES IN-PLACE ANALYSIS REPORT - UPDATED INFO</t>
  </si>
  <si>
    <t>TOPSIDES LOADOUT ANALYSIS REPORT (UPDATE INFO0</t>
  </si>
  <si>
    <t>TOPSIDES LIFTING ANALYSIS REPORT - UPDATE INFO</t>
  </si>
  <si>
    <t>TOPSIDES PRIMARY STEEL MTO REPORT - UPDATED INFO</t>
  </si>
  <si>
    <t>TOPSIDES SECONDARY AND TERTIARY STEEL MTO REPORT - UPDATED INFO</t>
  </si>
  <si>
    <t>TOPSIDES PRIMARY STEEL MTO REPORT - SUPERSEDED</t>
  </si>
  <si>
    <t>TOPSIDES SECONDARY AND TERTIARY STEEL MTO REPORT - SUPERSEDED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</si>
</sst>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1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0" fillId="7" borderId="1" xfId="0" applyFont="1" applyFill="1" applyBorder="1" applyAlignment="1">
      <alignment wrapText="1"/>
    </xf>
    <xf numFmtId="0" fontId="29" fillId="7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7" borderId="1" xfId="5" applyFont="1" applyFill="1" applyBorder="1" applyAlignment="1">
      <alignment vertical="center"/>
    </xf>
    <xf numFmtId="0" fontId="30" fillId="7" borderId="1" xfId="0" applyFont="1" applyFill="1" applyBorder="1" applyAlignment="1">
      <alignment vertical="center" wrapText="1"/>
    </xf>
    <xf numFmtId="9" fontId="29" fillId="0" borderId="1" xfId="2" applyFont="1" applyFill="1" applyBorder="1" applyAlignment="1">
      <alignment vertical="center"/>
    </xf>
    <xf numFmtId="171" fontId="30" fillId="7" borderId="1" xfId="0" applyNumberFormat="1" applyFont="1" applyFill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164" fontId="42" fillId="7" borderId="1" xfId="0" applyNumberFormat="1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  <xf numFmtId="171" fontId="39" fillId="7" borderId="1" xfId="0" applyNumberFormat="1" applyFont="1" applyFill="1" applyBorder="1"/>
    <xf numFmtId="164" fontId="43" fillId="7" borderId="1" xfId="0" applyNumberFormat="1" applyFont="1" applyFill="1" applyBorder="1"/>
    <xf numFmtId="164" fontId="30" fillId="4" borderId="1" xfId="0" applyNumberFormat="1" applyFont="1" applyFill="1" applyBorder="1"/>
    <xf numFmtId="164" fontId="39" fillId="0" borderId="1" xfId="0" applyNumberFormat="1" applyFont="1" applyBorder="1"/>
    <xf numFmtId="171" fontId="37" fillId="0" borderId="1" xfId="0" applyNumberFormat="1" applyFont="1" applyBorder="1"/>
    <xf numFmtId="164" fontId="29" fillId="4" borderId="1" xfId="0" applyNumberFormat="1" applyFont="1" applyFill="1" applyBorder="1"/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61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0.44224999999999853</c:v>
                </c:pt>
                <c:pt idx="15">
                  <c:v>0.47714999999999996</c:v>
                </c:pt>
                <c:pt idx="16">
                  <c:v>0.49165000000000048</c:v>
                </c:pt>
                <c:pt idx="17">
                  <c:v>0.54065000000000052</c:v>
                </c:pt>
                <c:pt idx="18">
                  <c:v>0.59410000000000052</c:v>
                </c:pt>
                <c:pt idx="19">
                  <c:v>0.62460000000000027</c:v>
                </c:pt>
                <c:pt idx="20">
                  <c:v>0.65085000000000037</c:v>
                </c:pt>
                <c:pt idx="21">
                  <c:v>0.67210000000000036</c:v>
                </c:pt>
                <c:pt idx="22">
                  <c:v>0.69570000000000032</c:v>
                </c:pt>
                <c:pt idx="23">
                  <c:v>0.72630000000000028</c:v>
                </c:pt>
                <c:pt idx="24">
                  <c:v>0.7490500000000001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51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abSelected="1" topLeftCell="D2" zoomScaleNormal="100" workbookViewId="0">
      <selection activeCell="J14" sqref="J14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29</v>
      </c>
      <c r="G1" s="18">
        <f>O1-1</f>
        <v>29</v>
      </c>
      <c r="H1" s="18">
        <f t="shared" ref="H1:I1" si="0">P1-1</f>
        <v>29</v>
      </c>
      <c r="I1" s="18">
        <f t="shared" si="0"/>
        <v>29</v>
      </c>
      <c r="J1" s="18"/>
      <c r="K1" s="18"/>
      <c r="L1" s="18"/>
      <c r="M1" s="18"/>
      <c r="N1" s="18">
        <f>_xlfn.XLOOKUP(D3,'Progress%'!6:6,'Progress%'!1:1,0)</f>
        <v>30</v>
      </c>
      <c r="O1" s="18">
        <f>_xlfn.XLOOKUP(D3,'Progress%'!6:6,'Progress%'!1:1,0)</f>
        <v>30</v>
      </c>
      <c r="P1" s="18">
        <f>N1</f>
        <v>30</v>
      </c>
      <c r="Q1" s="18">
        <f>P1</f>
        <v>30</v>
      </c>
    </row>
    <row r="2" spans="1:17" collapsed="1" x14ac:dyDescent="0.35">
      <c r="D2" s="15" t="s">
        <v>31</v>
      </c>
    </row>
    <row r="3" spans="1:17" x14ac:dyDescent="0.35">
      <c r="D3" s="20">
        <v>46269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8" t="s">
        <v>25</v>
      </c>
      <c r="E6" s="208" t="s">
        <v>26</v>
      </c>
      <c r="F6" s="210" t="s">
        <v>30</v>
      </c>
      <c r="G6" s="211"/>
      <c r="H6" s="211"/>
      <c r="I6" s="212"/>
      <c r="J6" s="210" t="s">
        <v>27</v>
      </c>
      <c r="K6" s="211"/>
      <c r="L6" s="211"/>
      <c r="M6" s="212"/>
      <c r="N6" s="210" t="s">
        <v>28</v>
      </c>
      <c r="O6" s="211"/>
      <c r="P6" s="211"/>
      <c r="Q6" s="212"/>
    </row>
    <row r="7" spans="1:17" ht="24.5" customHeight="1" thickBot="1" x14ac:dyDescent="0.4">
      <c r="D7" s="209"/>
      <c r="E7" s="209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0.73275000000000046</v>
      </c>
      <c r="G8" s="79" cm="1">
        <f t="array" ref="G8">INDEX('Progress%'!$A$1:$DG$10,'Progress Summary'!$A8,'Progress Summary'!G$1)</f>
        <v>0.73275000000000046</v>
      </c>
      <c r="H8" s="79" cm="1">
        <f t="array" ref="H8">INDEX('Progress%'!$A$1:$DG$10,'Progress Summary'!$C8,'Progress Summary'!H$1)</f>
        <v>0.72630000000000028</v>
      </c>
      <c r="I8" s="79">
        <f t="shared" ref="I8" si="3">H8-F8</f>
        <v>-6.4500000000001778E-3</v>
      </c>
      <c r="J8" s="79">
        <f>N8-F8</f>
        <v>3.4349999999999437E-2</v>
      </c>
      <c r="K8" s="79">
        <f t="shared" ref="K8" si="4">O8-G8</f>
        <v>3.4349999999999437E-2</v>
      </c>
      <c r="L8" s="79">
        <f t="shared" ref="L8:M8" si="5">P8-H8</f>
        <v>2.2749999999999826E-2</v>
      </c>
      <c r="M8" s="79">
        <f t="shared" si="5"/>
        <v>-1.1599999999999611E-2</v>
      </c>
      <c r="N8" s="79" cm="1">
        <f t="array" ref="N8">INDEX('Progress%'!$A$1:$DG$10,'Progress Summary'!$A8,'Progress Summary'!N$1)</f>
        <v>0.76709999999999989</v>
      </c>
      <c r="O8" s="79" cm="1">
        <f t="array" ref="O8">INDEX('Progress%'!$A$1:$DG$10,'Progress Summary'!$B8,'Progress Summary'!O$1)</f>
        <v>0.76709999999999989</v>
      </c>
      <c r="P8" s="79" cm="1">
        <f t="array" ref="P8">INDEX('Progress%'!$A$1:$DG$10,'Progress Summary'!$C8,'Progress Summary'!P$1)</f>
        <v>0.7490500000000001</v>
      </c>
      <c r="Q8" s="79">
        <f t="shared" ref="Q8" si="6">P8-N8</f>
        <v>-1.8049999999999788E-2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46269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0.34749999999999959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0.36149999999999954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0.41600000000000059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0.55760000000000109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0.62419999999999987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0.73275000000000046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0.78719999999999968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0.84420000000000073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0.34749999999999959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0.36149999999999954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0.41600000000000059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0.55760000000000109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0.62419999999999987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0.73275000000000046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0.78719999999999968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0.84420000000000073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0.44224999999999853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0.47714999999999996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0.49165000000000048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0.62460000000000027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0.65085000000000037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0.67210000000000036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0.69570000000000032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0.72630000000000028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0.7490500000000001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0.7490500000000001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0.7490500000000001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0.7490500000000001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0.7490500000000001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0.7490500000000001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0.7490500000000001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0.7490500000000001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0.7490500000000001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0.7490500000000001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0.7490500000000001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0.7490500000000001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0.7490500000000001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0.7490500000000001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0.7490500000000001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0.7490500000000001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0.7490500000000001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0.7490500000000001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0.7490500000000001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0.7490500000000001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0.7490500000000001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0.7490500000000001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0.7490500000000001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0.7490500000000001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0.7490500000000001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0.7490500000000001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0.7490500000000001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0.7490500000000001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0.7490500000000001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0.7490500000000001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0.7490500000000001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0.7490500000000001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0.7490500000000001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0.7490500000000001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0.7490500000000001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0.7490500000000001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0.7490500000000001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0.7490500000000001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0.7490500000000001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0.7490500000000001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0.7490500000000001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0.7490500000000001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0.7490500000000001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0.7490500000000001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0.7490500000000001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0.7490500000000001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0.7490500000000001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0.7490500000000001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0.7490500000000001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0.7490500000000001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0.7490500000000001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0.7490500000000001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0.7490500000000001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0.7490500000000001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0.7490500000000001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0.7490500000000001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0.7490500000000001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0.7490500000000001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0.7490500000000001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0.7490500000000001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0.7490500000000001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0.7490500000000001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0.7490500000000001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0.7490500000000001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0.7490500000000001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0.7490500000000001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0.7490500000000001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0.7490500000000001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0.7490500000000001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0.7490500000000001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0.7490500000000001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0.7490500000000001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0.7490500000000001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0.7490500000000001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0.7490500000000001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0.7490500000000001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0.7490500000000001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0.7490500000000001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0.7490500000000001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0.7490500000000001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0.7490500000000001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0.7490500000000001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0.7490500000000001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0.7490500000000001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0.7490500000000001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0.7490500000000001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0.7490500000000001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0.7490500000000001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topLeftCell="A7" zoomScale="50" zoomScaleNormal="50" zoomScaleSheetLayoutView="40" workbookViewId="0">
      <selection activeCell="AL17" sqref="AL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13" t="s">
        <v>242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  <c r="CO4" s="213"/>
      <c r="CP4" s="213"/>
      <c r="CQ4" s="213"/>
      <c r="CR4" s="213"/>
      <c r="CS4" s="213"/>
      <c r="CT4" s="213"/>
      <c r="CU4" s="213"/>
      <c r="CV4" s="213"/>
      <c r="CW4" s="213"/>
      <c r="CX4" s="213"/>
      <c r="CY4" s="213"/>
      <c r="CZ4" s="213"/>
      <c r="DA4" s="213"/>
      <c r="DB4" s="213"/>
      <c r="DC4" s="213"/>
      <c r="DD4" s="213"/>
      <c r="DE4" s="213"/>
      <c r="DF4" s="27"/>
    </row>
    <row r="5" spans="1:110" ht="45" x14ac:dyDescent="0.35">
      <c r="B5" s="26"/>
      <c r="C5" s="214" t="s">
        <v>56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243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0.34749999999999959</v>
      </c>
      <c r="Q12" s="38" cm="1">
        <f t="array" ref="Q12">INDEX('Progress%'!$A$1:$DG$10,'S-Curves'!$A12,'S-Curves'!Q$10)</f>
        <v>0.36149999999999954</v>
      </c>
      <c r="R12" s="38" cm="1">
        <f t="array" ref="R12">INDEX('Progress%'!$A$1:$DG$10,'S-Curves'!$A12,'S-Curves'!R$10)</f>
        <v>0.41600000000000059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0.55760000000000109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0.62419999999999987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0.73275000000000046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0.78719999999999968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0.84420000000000073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0.34749999999999959</v>
      </c>
      <c r="Q13" s="38" cm="1">
        <f t="array" ref="Q13">INDEX('Progress%'!$A$1:$DG$10,'S-Curves'!$A13,'S-Curves'!Q$10)</f>
        <v>0.36149999999999954</v>
      </c>
      <c r="R13" s="38" cm="1">
        <f t="array" ref="R13">INDEX('Progress%'!$A$1:$DG$10,'S-Curves'!$A13,'S-Curves'!R$10)</f>
        <v>0.41600000000000059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0.55760000000000109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0.62419999999999987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0.73275000000000046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0.78719999999999968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0.84420000000000073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0.44224999999999853</v>
      </c>
      <c r="S14" s="38" cm="1">
        <f t="array" ref="S14">INDEX('Progress%'!$A$1:$DG$10,'S-Curves'!$A14,'S-Curves'!S$10)</f>
        <v>0.47714999999999996</v>
      </c>
      <c r="T14" s="38" cm="1">
        <f t="array" ref="T14">INDEX('Progress%'!$A$1:$DG$10,'S-Curves'!$A14,'S-Curves'!T$10)</f>
        <v>0.49165000000000048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 cm="1">
        <f t="array" ref="W14">INDEX('Progress%'!$A$1:$DG$10,'S-Curves'!$A14,'S-Curves'!W$10)</f>
        <v>0.62460000000000027</v>
      </c>
      <c r="X14" s="38" cm="1">
        <f t="array" ref="X14">INDEX('Progress%'!$A$1:$DG$10,'S-Curves'!$A14,'S-Curves'!X$10)</f>
        <v>0.65085000000000037</v>
      </c>
      <c r="Y14" s="38" cm="1">
        <f t="array" ref="Y14">INDEX('Progress%'!$A$1:$DG$10,'S-Curves'!$A14,'S-Curves'!Y$10)</f>
        <v>0.67210000000000036</v>
      </c>
      <c r="Z14" s="38" cm="1">
        <f t="array" ref="Z14">INDEX('Progress%'!$A$1:$DG$10,'S-Curves'!$A14,'S-Curves'!Z$10)</f>
        <v>0.69570000000000032</v>
      </c>
      <c r="AA14" s="38" cm="1">
        <f t="array" ref="AA14">INDEX('Progress%'!$A$1:$DG$10,'S-Curves'!$A14,'S-Curves'!AA$10)</f>
        <v>0.72630000000000028</v>
      </c>
      <c r="AB14" s="38" cm="1">
        <f t="array" ref="AB14">INDEX('Progress%'!$A$1:$DG$10,'S-Curves'!$A14,'S-Curves'!AB$10)</f>
        <v>0.7490500000000001</v>
      </c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5.2249999999999963E-2</v>
      </c>
      <c r="Q15" s="44">
        <f t="shared" si="0"/>
        <v>1.3999999999999957E-2</v>
      </c>
      <c r="R15" s="44">
        <f t="shared" si="0"/>
        <v>5.4500000000001048E-2</v>
      </c>
      <c r="S15" s="44">
        <f t="shared" si="0"/>
        <v>4.1000000000000869E-2</v>
      </c>
      <c r="T15" s="44">
        <f t="shared" si="0"/>
        <v>3.6599999999999966E-2</v>
      </c>
      <c r="U15" s="44">
        <f t="shared" si="0"/>
        <v>6.3999999999999668E-2</v>
      </c>
      <c r="V15" s="44">
        <f t="shared" si="0"/>
        <v>4.6099999999998809E-2</v>
      </c>
      <c r="W15" s="44">
        <f t="shared" si="0"/>
        <v>2.0499999999999963E-2</v>
      </c>
      <c r="X15" s="44">
        <f t="shared" si="0"/>
        <v>3.5350000000000437E-2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2.7649999999999952E-2</v>
      </c>
      <c r="AB15" s="44">
        <f t="shared" si="0"/>
        <v>3.4349999999999437E-2</v>
      </c>
      <c r="AC15" s="44">
        <f t="shared" si="0"/>
        <v>2.0099999999999785E-2</v>
      </c>
      <c r="AD15" s="44">
        <f t="shared" si="0"/>
        <v>2.2900000000000253E-2</v>
      </c>
      <c r="AE15" s="44">
        <f t="shared" si="0"/>
        <v>1.0000000000000231E-2</v>
      </c>
      <c r="AF15" s="44">
        <f t="shared" si="0"/>
        <v>2.4100000000000565E-2</v>
      </c>
      <c r="AG15" s="44">
        <f t="shared" si="0"/>
        <v>1.3200000000000212E-2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5.2249999999999963E-2</v>
      </c>
      <c r="Q16" s="44">
        <f t="shared" si="0"/>
        <v>1.3999999999999957E-2</v>
      </c>
      <c r="R16" s="44">
        <f t="shared" si="0"/>
        <v>5.4500000000001048E-2</v>
      </c>
      <c r="S16" s="44">
        <f t="shared" si="0"/>
        <v>4.1000000000000869E-2</v>
      </c>
      <c r="T16" s="44">
        <f t="shared" si="0"/>
        <v>3.6599999999999966E-2</v>
      </c>
      <c r="U16" s="44">
        <f t="shared" si="0"/>
        <v>6.3999999999999668E-2</v>
      </c>
      <c r="V16" s="44">
        <f t="shared" si="0"/>
        <v>4.6099999999998809E-2</v>
      </c>
      <c r="W16" s="44">
        <f t="shared" si="0"/>
        <v>2.0499999999999963E-2</v>
      </c>
      <c r="X16" s="44">
        <f t="shared" si="0"/>
        <v>3.5350000000000437E-2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2.7649999999999952E-2</v>
      </c>
      <c r="AB16" s="44">
        <f t="shared" ref="AB16" si="31">AB13-AA13</f>
        <v>3.4349999999999437E-2</v>
      </c>
      <c r="AC16" s="44">
        <f t="shared" ref="AC16" si="32">AC13-AB13</f>
        <v>2.0099999999999785E-2</v>
      </c>
      <c r="AD16" s="44">
        <f t="shared" ref="AD16" si="33">AD13-AC13</f>
        <v>2.2900000000000253E-2</v>
      </c>
      <c r="AE16" s="44">
        <f t="shared" ref="AE16" si="34">AE13-AD13</f>
        <v>1.0000000000000231E-2</v>
      </c>
      <c r="AF16" s="44">
        <f t="shared" ref="AF16" si="35">AF13-AE13</f>
        <v>2.4100000000000565E-2</v>
      </c>
      <c r="AG16" s="44">
        <f t="shared" ref="AG16" si="36">AG13-AF13</f>
        <v>1.3200000000000212E-2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4.0699999999999015E-2</v>
      </c>
      <c r="S17" s="44">
        <f t="shared" ref="S17:T17" si="42">S14-R14</f>
        <v>3.490000000000143E-2</v>
      </c>
      <c r="T17" s="44">
        <f t="shared" si="42"/>
        <v>1.4500000000000512E-2</v>
      </c>
      <c r="U17" s="44">
        <f t="shared" si="0"/>
        <v>4.9000000000000044E-2</v>
      </c>
      <c r="V17" s="44">
        <f t="shared" si="0"/>
        <v>5.3449999999999998E-2</v>
      </c>
      <c r="W17" s="44">
        <f t="shared" si="0"/>
        <v>3.049999999999975E-2</v>
      </c>
      <c r="X17" s="44">
        <f t="shared" si="0"/>
        <v>2.6250000000000107E-2</v>
      </c>
      <c r="Y17" s="44">
        <f t="shared" si="0"/>
        <v>2.1249999999999991E-2</v>
      </c>
      <c r="Z17" s="44">
        <f t="shared" si="0"/>
        <v>2.3599999999999954E-2</v>
      </c>
      <c r="AA17" s="44">
        <f t="shared" si="0"/>
        <v>3.0599999999999961E-2</v>
      </c>
      <c r="AB17" s="44">
        <f t="shared" si="0"/>
        <v>2.2749999999999826E-2</v>
      </c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60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251"/>
  <sheetViews>
    <sheetView zoomScale="120" zoomScaleNormal="120" workbookViewId="0">
      <pane xSplit="5" topLeftCell="I1" activePane="topRight" state="frozen"/>
      <selection pane="topRight" activeCell="P132" sqref="P132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9.90625" customWidth="1"/>
    <col min="5" max="5" width="46.36328125" customWidth="1"/>
    <col min="6" max="6" width="4.90625" customWidth="1"/>
    <col min="7" max="7" width="5.81640625" customWidth="1"/>
    <col min="8" max="8" width="5.26953125" customWidth="1"/>
    <col min="9" max="9" width="4.81640625" customWidth="1"/>
    <col min="10" max="10" width="5.3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4" max="24" width="13.81640625" style="176" customWidth="1"/>
    <col min="25" max="27" width="14.08984375" customWidth="1"/>
  </cols>
  <sheetData>
    <row r="1" spans="1:27" ht="15" thickBot="1" x14ac:dyDescent="0.4">
      <c r="A1" t="s">
        <v>38</v>
      </c>
      <c r="D1" s="16">
        <v>46269</v>
      </c>
    </row>
    <row r="2" spans="1:27" ht="19" thickBot="1" x14ac:dyDescent="0.5">
      <c r="A2" s="21" t="s">
        <v>51</v>
      </c>
      <c r="B2" s="21"/>
      <c r="K2" s="207" t="s">
        <v>10</v>
      </c>
      <c r="L2" s="207"/>
      <c r="M2" s="207"/>
      <c r="N2" s="207" t="s">
        <v>12</v>
      </c>
      <c r="O2" s="207"/>
      <c r="P2" s="207"/>
      <c r="Q2" s="207" t="s">
        <v>11</v>
      </c>
      <c r="R2" s="207"/>
      <c r="S2" s="207"/>
      <c r="T2" s="207" t="s">
        <v>13</v>
      </c>
      <c r="U2" s="207"/>
      <c r="V2" s="207"/>
      <c r="X2" s="204" t="s">
        <v>501</v>
      </c>
      <c r="Y2" s="205"/>
      <c r="Z2" s="205"/>
      <c r="AA2" s="206"/>
    </row>
    <row r="3" spans="1:27" s="64" customFormat="1" ht="19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X3" s="177" t="s">
        <v>10</v>
      </c>
      <c r="Y3" s="178" t="s">
        <v>12</v>
      </c>
      <c r="Z3" s="179" t="s">
        <v>11</v>
      </c>
      <c r="AA3" s="180" t="s">
        <v>13</v>
      </c>
    </row>
    <row r="4" spans="1:27" s="64" customFormat="1" ht="11.5" x14ac:dyDescent="0.25">
      <c r="A4" s="70" t="s">
        <v>61</v>
      </c>
      <c r="B4" s="70" t="s">
        <v>62</v>
      </c>
      <c r="C4" s="70" t="s">
        <v>63</v>
      </c>
      <c r="D4" s="70" t="s">
        <v>251</v>
      </c>
      <c r="E4" s="70" t="s">
        <v>5</v>
      </c>
      <c r="F4" s="66">
        <f t="shared" ref="F4:H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 t="shared" si="0"/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X4" s="181" t="str">
        <f ca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Y4" s="181" t="str">
        <f ca="1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Z4" s="181" t="str">
        <f ca="1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A4" s="182" t="str">
        <f ca="1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7" s="64" customFormat="1" ht="11.5" x14ac:dyDescent="0.25">
      <c r="A5" s="70" t="s">
        <v>61</v>
      </c>
      <c r="B5" s="70" t="s">
        <v>62</v>
      </c>
      <c r="C5" s="65" t="s">
        <v>63</v>
      </c>
      <c r="D5" s="65" t="s">
        <v>269</v>
      </c>
      <c r="E5" s="65" t="s">
        <v>6</v>
      </c>
      <c r="F5" s="66">
        <f t="shared" si="0"/>
        <v>1</v>
      </c>
      <c r="G5" s="66">
        <f t="shared" si="0"/>
        <v>1</v>
      </c>
      <c r="H5" s="66">
        <f t="shared" si="0"/>
        <v>0.7</v>
      </c>
      <c r="I5" s="66">
        <f t="shared" ref="I5:I79" si="1">H5-F5</f>
        <v>-0.30000000000000004</v>
      </c>
      <c r="J5" s="71">
        <v>1</v>
      </c>
      <c r="K5" s="72">
        <v>46122</v>
      </c>
      <c r="L5" s="68">
        <f t="shared" ref="L5:L93" si="2">K5</f>
        <v>46122</v>
      </c>
      <c r="M5" s="72">
        <v>46135</v>
      </c>
      <c r="N5" s="72">
        <f t="shared" ref="N5:N93" si="3">K5+42</f>
        <v>46164</v>
      </c>
      <c r="O5" s="68">
        <f t="shared" ref="O5:O93" si="4">N5</f>
        <v>46164</v>
      </c>
      <c r="P5" s="74">
        <v>46230</v>
      </c>
      <c r="Q5" s="72">
        <f t="shared" ref="Q5:Q93" si="5">N5+42</f>
        <v>46206</v>
      </c>
      <c r="R5" s="72">
        <f t="shared" ref="R5:R93" si="6">Q5</f>
        <v>46206</v>
      </c>
      <c r="S5" s="74"/>
      <c r="T5" s="74">
        <f t="shared" ref="T5:T93" si="7">Q5+14</f>
        <v>46220</v>
      </c>
      <c r="U5" s="68">
        <f t="shared" ref="U5:U93" si="8">T5</f>
        <v>46220</v>
      </c>
      <c r="V5" s="72"/>
      <c r="X5" s="183" t="str">
        <f t="shared" ref="X5:X80" ca="1" si="9">IF(OR(M5&lt;&gt;""),"Completed",
IF(L5="","",IF(L5&lt;TODAY(),"Overdue",
IF(AND(L5&gt;=TODAY()-WEEKDAY(TODAY(),2)+1,L5&lt;=TODAY()-WEEKDAY(TODAY(),2)+7),"Follow-This Week",
IF(AND(L5&gt;=TODAY()-WEEKDAY(TODAY(),2)+8,L5&lt;=TODAY()-WEEKDAY(TODAY(),2)+14),"Follow-Next Week","")))))</f>
        <v>Completed</v>
      </c>
      <c r="Y5" s="183" t="str">
        <f t="shared" ref="Y5:Y80" ca="1" si="10">IF(OR(P5&lt;&gt;""),"Completed",IF(O5="","",
IF(O5&lt;TODAY(),"Overdue",
IF(AND(O5&gt;=TODAY()-WEEKDAY(TODAY(),2)+1,O5&lt;=TODAY()-WEEKDAY(TODAY(),2)+7),"Follow-This Week",
IF(AND(O5&gt;=TODAY()-WEEKDAY(TODAY(),2)+8,O5&lt;=TODAY()-WEEKDAY(TODAY(),2)+14),"Follow-Next Week","")))))</f>
        <v>Completed</v>
      </c>
      <c r="Z5" s="183" t="str">
        <f t="shared" ref="Z5:Z80" ca="1" si="11">IF(OR(S5&lt;&gt;""),"Completed",IF(R5="","",
IF(R5&lt;TODAY(),"Overdue",
IF(AND(R5&gt;=TODAY()-WEEKDAY(TODAY(),2)+1,R5&lt;=TODAY()-WEEKDAY(TODAY(),2)+7),"Follow-This Week",
IF(AND(R5&gt;=TODAY()-WEEKDAY(TODAY(),2)+8,R5&lt;=TODAY()-WEEKDAY(TODAY(),2)+14),"Follow-Next Week","")))))</f>
        <v>Overdue</v>
      </c>
      <c r="AA5" s="184" t="str">
        <f t="shared" ref="AA5:AA80" ca="1" si="12">IF(OR(V5&lt;&gt;""),"Completed",IF(U5="","",
IF(U5&lt;TODAY(),"Overdue",
IF(AND(U5&gt;=TODAY()-WEEKDAY(TODAY(),2)+1,U5&lt;=TODAY()-WEEKDAY(TODAY(),2)+7),"Follow-This Week",
IF(AND(U5&gt;=TODAY()-WEEKDAY(TODAY(),2)+8,U5&lt;=TODAY()-WEEKDAY(TODAY(),2)+14),"Follow-Next Week","")))))</f>
        <v>Overdue</v>
      </c>
    </row>
    <row r="6" spans="1:27" s="64" customFormat="1" ht="11.5" x14ac:dyDescent="0.25">
      <c r="A6" s="70" t="s">
        <v>61</v>
      </c>
      <c r="B6" s="70" t="s">
        <v>62</v>
      </c>
      <c r="C6" s="65" t="s">
        <v>63</v>
      </c>
      <c r="D6" s="80" t="s">
        <v>268</v>
      </c>
      <c r="E6" s="65" t="s">
        <v>7</v>
      </c>
      <c r="F6" s="66">
        <f t="shared" si="0"/>
        <v>1</v>
      </c>
      <c r="G6" s="66">
        <f t="shared" si="0"/>
        <v>1</v>
      </c>
      <c r="H6" s="66">
        <f t="shared" si="0"/>
        <v>1</v>
      </c>
      <c r="I6" s="66">
        <f t="shared" si="1"/>
        <v>0</v>
      </c>
      <c r="J6" s="71">
        <v>1</v>
      </c>
      <c r="K6" s="72">
        <v>46122</v>
      </c>
      <c r="L6" s="68">
        <f t="shared" si="2"/>
        <v>46122</v>
      </c>
      <c r="M6" s="72">
        <v>46122</v>
      </c>
      <c r="N6" s="72">
        <f t="shared" si="3"/>
        <v>46164</v>
      </c>
      <c r="O6" s="68">
        <f t="shared" si="4"/>
        <v>46164</v>
      </c>
      <c r="P6" s="72">
        <v>46171</v>
      </c>
      <c r="Q6" s="72">
        <f t="shared" si="5"/>
        <v>46206</v>
      </c>
      <c r="R6" s="72">
        <f t="shared" si="6"/>
        <v>46206</v>
      </c>
      <c r="S6" s="72">
        <v>46171</v>
      </c>
      <c r="T6" s="72">
        <f t="shared" si="7"/>
        <v>46220</v>
      </c>
      <c r="U6" s="68">
        <f t="shared" si="8"/>
        <v>46220</v>
      </c>
      <c r="V6" s="72">
        <v>46192</v>
      </c>
      <c r="X6" s="183" t="str">
        <f t="shared" ca="1" si="9"/>
        <v>Completed</v>
      </c>
      <c r="Y6" s="183" t="str">
        <f t="shared" ca="1" si="10"/>
        <v>Completed</v>
      </c>
      <c r="Z6" s="183" t="str">
        <f t="shared" ca="1" si="11"/>
        <v>Completed</v>
      </c>
      <c r="AA6" s="184" t="str">
        <f t="shared" ca="1" si="12"/>
        <v>Completed</v>
      </c>
    </row>
    <row r="7" spans="1:27" s="64" customFormat="1" ht="11.5" x14ac:dyDescent="0.25">
      <c r="A7" s="149" t="s">
        <v>61</v>
      </c>
      <c r="B7" s="149" t="s">
        <v>64</v>
      </c>
      <c r="C7" s="149" t="s">
        <v>63</v>
      </c>
      <c r="D7" s="150" t="s">
        <v>244</v>
      </c>
      <c r="E7" s="149" t="s">
        <v>66</v>
      </c>
      <c r="F7" s="151"/>
      <c r="G7" s="151"/>
      <c r="H7" s="151"/>
      <c r="I7" s="151"/>
      <c r="J7" s="152"/>
      <c r="K7" s="153"/>
      <c r="L7" s="153"/>
      <c r="M7" s="154"/>
      <c r="N7" s="153"/>
      <c r="O7" s="153"/>
      <c r="P7" s="154"/>
      <c r="Q7" s="153"/>
      <c r="R7" s="153"/>
      <c r="S7" s="153"/>
      <c r="T7" s="153"/>
      <c r="U7" s="153"/>
      <c r="V7" s="153"/>
      <c r="X7" s="183" t="str">
        <f t="shared" ca="1" si="9"/>
        <v/>
      </c>
      <c r="Y7" s="183" t="str">
        <f t="shared" ca="1" si="10"/>
        <v/>
      </c>
      <c r="Z7" s="183" t="str">
        <f t="shared" ca="1" si="11"/>
        <v/>
      </c>
      <c r="AA7" s="184" t="str">
        <f t="shared" ca="1" si="12"/>
        <v/>
      </c>
    </row>
    <row r="8" spans="1:27" s="64" customFormat="1" ht="11.5" x14ac:dyDescent="0.25">
      <c r="A8" s="155" t="s">
        <v>61</v>
      </c>
      <c r="B8" s="155" t="s">
        <v>67</v>
      </c>
      <c r="C8" s="155" t="s">
        <v>63</v>
      </c>
      <c r="D8" s="156" t="s">
        <v>65</v>
      </c>
      <c r="E8" s="155" t="s">
        <v>69</v>
      </c>
      <c r="F8" s="157"/>
      <c r="G8" s="157"/>
      <c r="H8" s="157"/>
      <c r="I8" s="157"/>
      <c r="J8" s="158"/>
      <c r="K8" s="159"/>
      <c r="L8" s="159"/>
      <c r="M8" s="160"/>
      <c r="N8" s="159"/>
      <c r="O8" s="159"/>
      <c r="P8" s="160"/>
      <c r="Q8" s="159"/>
      <c r="R8" s="159"/>
      <c r="S8" s="160"/>
      <c r="T8" s="160"/>
      <c r="U8" s="159"/>
      <c r="V8" s="159"/>
      <c r="X8" s="183" t="str">
        <f t="shared" ca="1" si="9"/>
        <v/>
      </c>
      <c r="Y8" s="183" t="str">
        <f t="shared" ca="1" si="10"/>
        <v/>
      </c>
      <c r="Z8" s="183" t="str">
        <f t="shared" ca="1" si="11"/>
        <v/>
      </c>
      <c r="AA8" s="184" t="str">
        <f t="shared" ca="1" si="12"/>
        <v/>
      </c>
    </row>
    <row r="9" spans="1:27" s="64" customFormat="1" ht="11.5" x14ac:dyDescent="0.25">
      <c r="A9" s="161" t="s">
        <v>61</v>
      </c>
      <c r="B9" s="161" t="s">
        <v>70</v>
      </c>
      <c r="C9" s="161" t="s">
        <v>63</v>
      </c>
      <c r="D9" s="162" t="s">
        <v>68</v>
      </c>
      <c r="E9" s="161" t="s">
        <v>72</v>
      </c>
      <c r="F9" s="163"/>
      <c r="G9" s="163"/>
      <c r="H9" s="163"/>
      <c r="I9" s="163"/>
      <c r="J9" s="164"/>
      <c r="K9" s="165"/>
      <c r="L9" s="165"/>
      <c r="M9" s="166"/>
      <c r="N9" s="165"/>
      <c r="O9" s="165"/>
      <c r="P9" s="166"/>
      <c r="Q9" s="165"/>
      <c r="R9" s="165"/>
      <c r="S9" s="166"/>
      <c r="T9" s="166"/>
      <c r="U9" s="165"/>
      <c r="V9" s="166"/>
      <c r="X9" s="183" t="str">
        <f t="shared" ca="1" si="9"/>
        <v/>
      </c>
      <c r="Y9" s="183" t="str">
        <f t="shared" ca="1" si="10"/>
        <v/>
      </c>
      <c r="Z9" s="183" t="str">
        <f t="shared" ca="1" si="11"/>
        <v/>
      </c>
      <c r="AA9" s="184" t="str">
        <f t="shared" ca="1" si="12"/>
        <v/>
      </c>
    </row>
    <row r="10" spans="1:27" s="64" customFormat="1" ht="11.5" x14ac:dyDescent="0.25">
      <c r="A10" s="167" t="s">
        <v>61</v>
      </c>
      <c r="B10" s="167" t="s">
        <v>73</v>
      </c>
      <c r="C10" s="167" t="s">
        <v>63</v>
      </c>
      <c r="D10" s="168" t="s">
        <v>71</v>
      </c>
      <c r="E10" s="167" t="s">
        <v>74</v>
      </c>
      <c r="F10" s="169"/>
      <c r="G10" s="169"/>
      <c r="H10" s="169"/>
      <c r="I10" s="169"/>
      <c r="J10" s="170"/>
      <c r="K10" s="171"/>
      <c r="L10" s="171"/>
      <c r="M10" s="171"/>
      <c r="N10" s="172"/>
      <c r="O10" s="171"/>
      <c r="P10" s="171"/>
      <c r="Q10" s="172"/>
      <c r="R10" s="171"/>
      <c r="S10" s="171"/>
      <c r="T10" s="172"/>
      <c r="U10" s="171"/>
      <c r="V10" s="171"/>
      <c r="X10" s="183" t="str">
        <f t="shared" ca="1" si="9"/>
        <v/>
      </c>
      <c r="Y10" s="183" t="str">
        <f t="shared" ca="1" si="10"/>
        <v/>
      </c>
      <c r="Z10" s="183" t="str">
        <f t="shared" ca="1" si="11"/>
        <v/>
      </c>
      <c r="AA10" s="184" t="str">
        <f t="shared" ca="1" si="12"/>
        <v/>
      </c>
    </row>
    <row r="11" spans="1:27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404</v>
      </c>
      <c r="E11" s="70" t="s">
        <v>405</v>
      </c>
      <c r="F11" s="116">
        <f t="shared" ref="F11:H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si="13"/>
        <v>1</v>
      </c>
      <c r="I11" s="116">
        <f t="shared" ref="I11" si="14">H11-F11</f>
        <v>0</v>
      </c>
      <c r="J11" s="89">
        <v>8</v>
      </c>
      <c r="K11" s="72">
        <v>46122</v>
      </c>
      <c r="L11" s="72">
        <f t="shared" ref="L11" si="15">K11</f>
        <v>46122</v>
      </c>
      <c r="M11" s="72">
        <v>46142</v>
      </c>
      <c r="N11" s="74">
        <f t="shared" ref="N11" si="16">K11+42</f>
        <v>46164</v>
      </c>
      <c r="O11" s="72">
        <f t="shared" ref="O11" si="17">N11</f>
        <v>46164</v>
      </c>
      <c r="P11" s="72">
        <v>46183</v>
      </c>
      <c r="Q11" s="74">
        <f t="shared" ref="Q11" si="18">N11+42</f>
        <v>46206</v>
      </c>
      <c r="R11" s="72">
        <f t="shared" ref="R11" si="19">Q11</f>
        <v>46206</v>
      </c>
      <c r="S11" s="72">
        <v>46183</v>
      </c>
      <c r="T11" s="74">
        <f t="shared" ref="T11" si="20">Q11+14</f>
        <v>46220</v>
      </c>
      <c r="U11" s="72">
        <f t="shared" ref="U11" si="21">T11</f>
        <v>46220</v>
      </c>
      <c r="V11" s="72">
        <v>46183</v>
      </c>
      <c r="X11" s="183" t="str">
        <f t="shared" ca="1" si="9"/>
        <v>Completed</v>
      </c>
      <c r="Y11" s="183" t="str">
        <f t="shared" ca="1" si="10"/>
        <v>Completed</v>
      </c>
      <c r="Z11" s="183" t="str">
        <f t="shared" ca="1" si="11"/>
        <v>Completed</v>
      </c>
      <c r="AA11" s="184" t="str">
        <f t="shared" ca="1" si="12"/>
        <v>Completed</v>
      </c>
    </row>
    <row r="12" spans="1:27" s="64" customFormat="1" ht="11.5" x14ac:dyDescent="0.25">
      <c r="A12" s="140" t="s">
        <v>61</v>
      </c>
      <c r="B12" s="140" t="s">
        <v>62</v>
      </c>
      <c r="C12" s="189" t="s">
        <v>63</v>
      </c>
      <c r="D12" s="190" t="s">
        <v>252</v>
      </c>
      <c r="E12" s="189" t="s">
        <v>522</v>
      </c>
      <c r="F12" s="192">
        <f t="shared" ref="F12" si="22">(COUNTIFS(K12,"&lt;="&amp;$D$1)*50%)+(COUNTIFS(N12,"&lt;="&amp;$D$1)*20%)+(COUNTIFS(Q12,"&lt;="&amp;$D$1)*10%)+(COUNTIFS(T12,"&lt;="&amp;$D$1)*20%)</f>
        <v>1</v>
      </c>
      <c r="G12" s="192">
        <f t="shared" ref="G12" si="23">(COUNTIFS(L12,"&lt;="&amp;$D$1)*50%)+(COUNTIFS(O12,"&lt;="&amp;$D$1)*20%)+(COUNTIFS(R12,"&lt;="&amp;$D$1)*10%)+(COUNTIFS(U12,"&lt;="&amp;$D$1)*20%)</f>
        <v>1</v>
      </c>
      <c r="H12" s="192">
        <f t="shared" ref="H12" si="24">(COUNTIFS(M12,"&lt;="&amp;$D$1)*50%)+(COUNTIFS(P12,"&lt;="&amp;$D$1)*20%)+(COUNTIFS(S12,"&lt;="&amp;$D$1)*10%)+(COUNTIFS(V12,"&lt;="&amp;$D$1)*20%)</f>
        <v>1</v>
      </c>
      <c r="I12" s="192">
        <f t="shared" ref="I12" si="25">H12-F12</f>
        <v>0</v>
      </c>
      <c r="J12" s="198">
        <v>1.25</v>
      </c>
      <c r="K12" s="148">
        <v>46136</v>
      </c>
      <c r="L12" s="148">
        <f t="shared" si="2"/>
        <v>46136</v>
      </c>
      <c r="M12" s="144">
        <v>46136</v>
      </c>
      <c r="N12" s="148">
        <f t="shared" si="3"/>
        <v>46178</v>
      </c>
      <c r="O12" s="148">
        <f t="shared" si="4"/>
        <v>46178</v>
      </c>
      <c r="P12" s="144">
        <v>46188</v>
      </c>
      <c r="Q12" s="148">
        <f t="shared" si="5"/>
        <v>46220</v>
      </c>
      <c r="R12" s="148">
        <f t="shared" si="6"/>
        <v>46220</v>
      </c>
      <c r="S12" s="144">
        <v>46255</v>
      </c>
      <c r="T12" s="148">
        <f t="shared" si="7"/>
        <v>46234</v>
      </c>
      <c r="U12" s="148">
        <f t="shared" si="8"/>
        <v>46234</v>
      </c>
      <c r="V12" s="144">
        <v>46255</v>
      </c>
      <c r="X12" s="183" t="str">
        <f t="shared" ca="1" si="9"/>
        <v>Completed</v>
      </c>
      <c r="Y12" s="183" t="str">
        <f t="shared" ca="1" si="10"/>
        <v>Completed</v>
      </c>
      <c r="Z12" s="183" t="str">
        <f t="shared" ca="1" si="11"/>
        <v>Completed</v>
      </c>
      <c r="AA12" s="184" t="str">
        <f t="shared" ca="1" si="12"/>
        <v>Completed</v>
      </c>
    </row>
    <row r="13" spans="1:27" s="64" customFormat="1" ht="11.5" x14ac:dyDescent="0.25">
      <c r="A13" s="70" t="s">
        <v>61</v>
      </c>
      <c r="B13" s="70" t="s">
        <v>62</v>
      </c>
      <c r="C13" s="65" t="s">
        <v>63</v>
      </c>
      <c r="D13" s="82" t="s">
        <v>252</v>
      </c>
      <c r="E13" s="65" t="s">
        <v>75</v>
      </c>
      <c r="F13" s="66">
        <f>(COUNTIFS(K13,"&lt;="&amp;$D$1)*50%)+(COUNTIFS(N13,"&lt;="&amp;$D$1)*20%)+(COUNTIFS(Q13,"&lt;="&amp;$D$1)*10%)+(COUNTIFS(T13,"&lt;="&amp;$D$1)*20%)</f>
        <v>1</v>
      </c>
      <c r="G13" s="66">
        <f>(COUNTIFS(L13,"&lt;="&amp;$D$1)*50%)+(COUNTIFS(O13,"&lt;="&amp;$D$1)*20%)+(COUNTIFS(R13,"&lt;="&amp;$D$1)*10%)+(COUNTIFS(U13,"&lt;="&amp;$D$1)*20%)</f>
        <v>1</v>
      </c>
      <c r="H13" s="66">
        <f>(COUNTIFS(M13,"&lt;="&amp;$D$1)*50%)+(COUNTIFS(P13,"&lt;="&amp;$D$1)*20%)+(COUNTIFS(S13,"&lt;="&amp;$D$1)*10%)+(COUNTIFS(V13,"&lt;="&amp;$D$1)*20%)</f>
        <v>0.79999999999999993</v>
      </c>
      <c r="I13" s="66">
        <f>H13-F13</f>
        <v>-0.20000000000000007</v>
      </c>
      <c r="J13" s="89">
        <v>0.75</v>
      </c>
      <c r="K13" s="74">
        <v>46136</v>
      </c>
      <c r="L13" s="74">
        <f>K13</f>
        <v>46136</v>
      </c>
      <c r="M13" s="72">
        <v>46136</v>
      </c>
      <c r="N13" s="74">
        <f>K13+42</f>
        <v>46178</v>
      </c>
      <c r="O13" s="74">
        <f>N13</f>
        <v>46178</v>
      </c>
      <c r="P13" s="72">
        <v>46188</v>
      </c>
      <c r="Q13" s="74">
        <f>N13+42</f>
        <v>46220</v>
      </c>
      <c r="R13" s="74">
        <f>Q13</f>
        <v>46220</v>
      </c>
      <c r="S13" s="203">
        <v>46269</v>
      </c>
      <c r="T13" s="74">
        <f>Q13+14</f>
        <v>46234</v>
      </c>
      <c r="U13" s="74">
        <f>T13</f>
        <v>46234</v>
      </c>
      <c r="V13" s="72"/>
      <c r="X13" s="183" t="str">
        <f ca="1">IF(OR(M13&lt;&gt;""),"Completed",
IF(L13="","",IF(L13&lt;TODAY(),"Overdue",
IF(AND(L13&gt;=TODAY()-WEEKDAY(TODAY(),2)+1,L13&lt;=TODAY()-WEEKDAY(TODAY(),2)+7),"Follow-This Week",
IF(AND(L13&gt;=TODAY()-WEEKDAY(TODAY(),2)+8,L13&lt;=TODAY()-WEEKDAY(TODAY(),2)+14),"Follow-Next Week","")))))</f>
        <v>Completed</v>
      </c>
      <c r="Y13" s="183" t="str">
        <f ca="1">IF(OR(P13&lt;&gt;""),"Completed",IF(O13="","",
IF(O13&lt;TODAY(),"Overdue",
IF(AND(O13&gt;=TODAY()-WEEKDAY(TODAY(),2)+1,O13&lt;=TODAY()-WEEKDAY(TODAY(),2)+7),"Follow-This Week",
IF(AND(O13&gt;=TODAY()-WEEKDAY(TODAY(),2)+8,O13&lt;=TODAY()-WEEKDAY(TODAY(),2)+14),"Follow-Next Week","")))))</f>
        <v>Completed</v>
      </c>
      <c r="Z13" s="183" t="str">
        <f ca="1">IF(OR(S13&lt;&gt;""),"Completed",IF(R13="","",
IF(R13&lt;TODAY(),"Overdue",
IF(AND(R13&gt;=TODAY()-WEEKDAY(TODAY(),2)+1,R13&lt;=TODAY()-WEEKDAY(TODAY(),2)+7),"Follow-This Week",
IF(AND(R13&gt;=TODAY()-WEEKDAY(TODAY(),2)+8,R13&lt;=TODAY()-WEEKDAY(TODAY(),2)+14),"Follow-Next Week","")))))</f>
        <v>Completed</v>
      </c>
      <c r="AA13" s="184" t="str">
        <f ca="1">IF(OR(V13&lt;&gt;""),"Completed",IF(U13="","",
IF(U13&lt;TODAY(),"Overdue",
IF(AND(U13&gt;=TODAY()-WEEKDAY(TODAY(),2)+1,U13&lt;=TODAY()-WEEKDAY(TODAY(),2)+7),"Follow-This Week",
IF(AND(U13&gt;=TODAY()-WEEKDAY(TODAY(),2)+8,U13&lt;=TODAY()-WEEKDAY(TODAY(),2)+14),"Follow-Next Week","")))))</f>
        <v>Overdue</v>
      </c>
    </row>
    <row r="14" spans="1:27" s="64" customFormat="1" ht="11.5" x14ac:dyDescent="0.25">
      <c r="A14" s="140" t="s">
        <v>61</v>
      </c>
      <c r="B14" s="140" t="s">
        <v>62</v>
      </c>
      <c r="C14" s="189" t="s">
        <v>63</v>
      </c>
      <c r="D14" s="190" t="s">
        <v>253</v>
      </c>
      <c r="E14" s="189" t="s">
        <v>76</v>
      </c>
      <c r="F14" s="192">
        <f t="shared" ref="F14" si="26">(COUNTIFS(K14,"&lt;="&amp;$D$1)*50%)+(COUNTIFS(N14,"&lt;="&amp;$D$1)*20%)+(COUNTIFS(Q14,"&lt;="&amp;$D$1)*10%)+(COUNTIFS(T14,"&lt;="&amp;$D$1)*20%)</f>
        <v>1</v>
      </c>
      <c r="G14" s="192">
        <f t="shared" ref="G14" si="27">(COUNTIFS(L14,"&lt;="&amp;$D$1)*50%)+(COUNTIFS(O14,"&lt;="&amp;$D$1)*20%)+(COUNTIFS(R14,"&lt;="&amp;$D$1)*10%)+(COUNTIFS(U14,"&lt;="&amp;$D$1)*20%)</f>
        <v>1</v>
      </c>
      <c r="H14" s="192">
        <f t="shared" ref="H14" si="28">(COUNTIFS(M14,"&lt;="&amp;$D$1)*50%)+(COUNTIFS(P14,"&lt;="&amp;$D$1)*20%)+(COUNTIFS(S14,"&lt;="&amp;$D$1)*10%)+(COUNTIFS(V14,"&lt;="&amp;$D$1)*20%)</f>
        <v>1</v>
      </c>
      <c r="I14" s="192">
        <f t="shared" ref="I14" si="29">H14-F14</f>
        <v>0</v>
      </c>
      <c r="J14" s="198">
        <v>1</v>
      </c>
      <c r="K14" s="148">
        <v>46136</v>
      </c>
      <c r="L14" s="148">
        <f t="shared" ref="L14" si="30">K14</f>
        <v>46136</v>
      </c>
      <c r="M14" s="144">
        <v>46142</v>
      </c>
      <c r="N14" s="148">
        <f t="shared" ref="N14" si="31">K14+42</f>
        <v>46178</v>
      </c>
      <c r="O14" s="148">
        <f t="shared" ref="O14" si="32">N14</f>
        <v>46178</v>
      </c>
      <c r="P14" s="148">
        <v>46220</v>
      </c>
      <c r="Q14" s="148">
        <f t="shared" ref="Q14" si="33">N14+42</f>
        <v>46220</v>
      </c>
      <c r="R14" s="148">
        <f t="shared" ref="R14" si="34">Q14</f>
        <v>46220</v>
      </c>
      <c r="S14" s="144">
        <v>46262</v>
      </c>
      <c r="T14" s="148">
        <f t="shared" ref="T14" si="35">Q14+14</f>
        <v>46234</v>
      </c>
      <c r="U14" s="148">
        <f t="shared" ref="U14" si="36">T14</f>
        <v>46234</v>
      </c>
      <c r="V14" s="144">
        <v>46262</v>
      </c>
      <c r="X14" s="183" t="str">
        <f t="shared" ref="X14" ca="1" si="37">IF(OR(M14&lt;&gt;""),"Completed",
IF(L14="","",IF(L14&lt;TODAY(),"Overdue",
IF(AND(L14&gt;=TODAY()-WEEKDAY(TODAY(),2)+1,L14&lt;=TODAY()-WEEKDAY(TODAY(),2)+7),"Follow-This Week",
IF(AND(L14&gt;=TODAY()-WEEKDAY(TODAY(),2)+8,L14&lt;=TODAY()-WEEKDAY(TODAY(),2)+14),"Follow-Next Week","")))))</f>
        <v>Completed</v>
      </c>
      <c r="Y14" s="183" t="str">
        <f t="shared" ref="Y14" ca="1" si="38">IF(OR(P14&lt;&gt;""),"Completed",IF(O14="","",
IF(O14&lt;TODAY(),"Overdue",
IF(AND(O14&gt;=TODAY()-WEEKDAY(TODAY(),2)+1,O14&lt;=TODAY()-WEEKDAY(TODAY(),2)+7),"Follow-This Week",
IF(AND(O14&gt;=TODAY()-WEEKDAY(TODAY(),2)+8,O14&lt;=TODAY()-WEEKDAY(TODAY(),2)+14),"Follow-Next Week","")))))</f>
        <v>Completed</v>
      </c>
      <c r="Z14" s="183" t="str">
        <f t="shared" ref="Z14" ca="1" si="39">IF(OR(S14&lt;&gt;""),"Completed",IF(R14="","",
IF(R14&lt;TODAY(),"Overdue",
IF(AND(R14&gt;=TODAY()-WEEKDAY(TODAY(),2)+1,R14&lt;=TODAY()-WEEKDAY(TODAY(),2)+7),"Follow-This Week",
IF(AND(R14&gt;=TODAY()-WEEKDAY(TODAY(),2)+8,R14&lt;=TODAY()-WEEKDAY(TODAY(),2)+14),"Follow-Next Week","")))))</f>
        <v>Completed</v>
      </c>
      <c r="AA14" s="184" t="str">
        <f t="shared" ref="AA14" ca="1" si="40">IF(OR(V14&lt;&gt;""),"Completed",IF(U14="","",
IF(U14&lt;TODAY(),"Overdue",
IF(AND(U14&gt;=TODAY()-WEEKDAY(TODAY(),2)+1,U14&lt;=TODAY()-WEEKDAY(TODAY(),2)+7),"Follow-This Week",
IF(AND(U14&gt;=TODAY()-WEEKDAY(TODAY(),2)+8,U14&lt;=TODAY()-WEEKDAY(TODAY(),2)+14),"Follow-Next Week","")))))</f>
        <v>Completed</v>
      </c>
    </row>
    <row r="15" spans="1:27" s="64" customFormat="1" ht="11.5" x14ac:dyDescent="0.25">
      <c r="A15" s="70" t="s">
        <v>61</v>
      </c>
      <c r="B15" s="70" t="s">
        <v>62</v>
      </c>
      <c r="C15" s="65" t="s">
        <v>63</v>
      </c>
      <c r="D15" s="82" t="s">
        <v>253</v>
      </c>
      <c r="E15" s="65" t="s">
        <v>527</v>
      </c>
      <c r="F15" s="66">
        <f t="shared" ref="F15" si="41">(COUNTIFS(K15,"&lt;="&amp;$D$1)*50%)+(COUNTIFS(N15,"&lt;="&amp;$D$1)*20%)+(COUNTIFS(Q15,"&lt;="&amp;$D$1)*10%)+(COUNTIFS(T15,"&lt;="&amp;$D$1)*20%)</f>
        <v>1</v>
      </c>
      <c r="G15" s="66">
        <f t="shared" ref="G15" si="42">(COUNTIFS(L15,"&lt;="&amp;$D$1)*50%)+(COUNTIFS(O15,"&lt;="&amp;$D$1)*20%)+(COUNTIFS(R15,"&lt;="&amp;$D$1)*10%)+(COUNTIFS(U15,"&lt;="&amp;$D$1)*20%)</f>
        <v>1</v>
      </c>
      <c r="H15" s="66">
        <f t="shared" ref="H15" si="43">(COUNTIFS(M15,"&lt;="&amp;$D$1)*50%)+(COUNTIFS(P15,"&lt;="&amp;$D$1)*20%)+(COUNTIFS(S15,"&lt;="&amp;$D$1)*10%)+(COUNTIFS(V15,"&lt;="&amp;$D$1)*20%)</f>
        <v>0.7</v>
      </c>
      <c r="I15" s="66">
        <f t="shared" ref="I15" si="44">H15-F15</f>
        <v>-0.30000000000000004</v>
      </c>
      <c r="J15" s="89">
        <v>1</v>
      </c>
      <c r="K15" s="74">
        <v>46136</v>
      </c>
      <c r="L15" s="74">
        <f t="shared" ref="L15" si="45">K15</f>
        <v>46136</v>
      </c>
      <c r="M15" s="72">
        <v>46142</v>
      </c>
      <c r="N15" s="74">
        <f t="shared" ref="N15" si="46">K15+42</f>
        <v>46178</v>
      </c>
      <c r="O15" s="74">
        <f t="shared" ref="O15" si="47">N15</f>
        <v>46178</v>
      </c>
      <c r="P15" s="74">
        <v>46220</v>
      </c>
      <c r="Q15" s="74">
        <f t="shared" ref="Q15" si="48">N15+42</f>
        <v>46220</v>
      </c>
      <c r="R15" s="74">
        <f t="shared" ref="R15" si="49">Q15</f>
        <v>46220</v>
      </c>
      <c r="S15" s="72"/>
      <c r="T15" s="74">
        <f t="shared" ref="T15" si="50">Q15+14</f>
        <v>46234</v>
      </c>
      <c r="U15" s="74">
        <f t="shared" ref="U15" si="51">T15</f>
        <v>46234</v>
      </c>
      <c r="V15" s="72"/>
      <c r="X15" s="183" t="str">
        <f t="shared" ref="X15" ca="1" si="52">IF(OR(M15&lt;&gt;""),"Completed",
IF(L15="","",IF(L15&lt;TODAY(),"Overdue",
IF(AND(L15&gt;=TODAY()-WEEKDAY(TODAY(),2)+1,L15&lt;=TODAY()-WEEKDAY(TODAY(),2)+7),"Follow-This Week",
IF(AND(L15&gt;=TODAY()-WEEKDAY(TODAY(),2)+8,L15&lt;=TODAY()-WEEKDAY(TODAY(),2)+14),"Follow-Next Week","")))))</f>
        <v>Completed</v>
      </c>
      <c r="Y15" s="183" t="str">
        <f t="shared" ref="Y15" ca="1" si="53">IF(OR(P15&lt;&gt;""),"Completed",IF(O15="","",
IF(O15&lt;TODAY(),"Overdue",
IF(AND(O15&gt;=TODAY()-WEEKDAY(TODAY(),2)+1,O15&lt;=TODAY()-WEEKDAY(TODAY(),2)+7),"Follow-This Week",
IF(AND(O15&gt;=TODAY()-WEEKDAY(TODAY(),2)+8,O15&lt;=TODAY()-WEEKDAY(TODAY(),2)+14),"Follow-Next Week","")))))</f>
        <v>Completed</v>
      </c>
      <c r="Z15" s="183" t="str">
        <f t="shared" ref="Z15" ca="1" si="54">IF(OR(S15&lt;&gt;""),"Completed",IF(R15="","",
IF(R15&lt;TODAY(),"Overdue",
IF(AND(R15&gt;=TODAY()-WEEKDAY(TODAY(),2)+1,R15&lt;=TODAY()-WEEKDAY(TODAY(),2)+7),"Follow-This Week",
IF(AND(R15&gt;=TODAY()-WEEKDAY(TODAY(),2)+8,R15&lt;=TODAY()-WEEKDAY(TODAY(),2)+14),"Follow-Next Week","")))))</f>
        <v>Overdue</v>
      </c>
      <c r="AA15" s="184" t="str">
        <f t="shared" ref="AA15" ca="1" si="55">IF(OR(V15&lt;&gt;""),"Completed",IF(U15="","",
IF(U15&lt;TODAY(),"Overdue",
IF(AND(U15&gt;=TODAY()-WEEKDAY(TODAY(),2)+1,U15&lt;=TODAY()-WEEKDAY(TODAY(),2)+7),"Follow-This Week",
IF(AND(U15&gt;=TODAY()-WEEKDAY(TODAY(),2)+8,U15&lt;=TODAY()-WEEKDAY(TODAY(),2)+14),"Follow-Next Week","")))))</f>
        <v>Overdue</v>
      </c>
    </row>
    <row r="16" spans="1:27" s="64" customFormat="1" ht="11.5" x14ac:dyDescent="0.25">
      <c r="A16" s="140" t="s">
        <v>61</v>
      </c>
      <c r="B16" s="140" t="s">
        <v>62</v>
      </c>
      <c r="C16" s="189" t="s">
        <v>63</v>
      </c>
      <c r="D16" s="190" t="s">
        <v>254</v>
      </c>
      <c r="E16" s="189" t="s">
        <v>77</v>
      </c>
      <c r="F16" s="192">
        <f t="shared" ref="F16:F51" si="56">(COUNTIFS(K16,"&lt;="&amp;$D$1)*50%)+(COUNTIFS(N16,"&lt;="&amp;$D$1)*20%)+(COUNTIFS(Q16,"&lt;="&amp;$D$1)*10%)+(COUNTIFS(T16,"&lt;="&amp;$D$1)*20%)</f>
        <v>1</v>
      </c>
      <c r="G16" s="192">
        <f t="shared" ref="G16:G51" si="57">(COUNTIFS(L16,"&lt;="&amp;$D$1)*50%)+(COUNTIFS(O16,"&lt;="&amp;$D$1)*20%)+(COUNTIFS(R16,"&lt;="&amp;$D$1)*10%)+(COUNTIFS(U16,"&lt;="&amp;$D$1)*20%)</f>
        <v>1</v>
      </c>
      <c r="H16" s="192">
        <f t="shared" ref="H16:H51" si="58">(COUNTIFS(M16,"&lt;="&amp;$D$1)*50%)+(COUNTIFS(P16,"&lt;="&amp;$D$1)*20%)+(COUNTIFS(S16,"&lt;="&amp;$D$1)*10%)+(COUNTIFS(V16,"&lt;="&amp;$D$1)*20%)</f>
        <v>1</v>
      </c>
      <c r="I16" s="192">
        <f t="shared" si="1"/>
        <v>0</v>
      </c>
      <c r="J16" s="198">
        <v>1</v>
      </c>
      <c r="K16" s="148">
        <v>46143</v>
      </c>
      <c r="L16" s="201">
        <f t="shared" si="2"/>
        <v>46143</v>
      </c>
      <c r="M16" s="144">
        <v>46161</v>
      </c>
      <c r="N16" s="148">
        <f t="shared" si="3"/>
        <v>46185</v>
      </c>
      <c r="O16" s="201">
        <f t="shared" si="4"/>
        <v>46185</v>
      </c>
      <c r="P16" s="144">
        <v>46234</v>
      </c>
      <c r="Q16" s="148">
        <f t="shared" si="5"/>
        <v>46227</v>
      </c>
      <c r="R16" s="201">
        <f t="shared" si="6"/>
        <v>46227</v>
      </c>
      <c r="S16" s="148">
        <v>46262</v>
      </c>
      <c r="T16" s="148">
        <f t="shared" si="7"/>
        <v>46241</v>
      </c>
      <c r="U16" s="201">
        <f t="shared" si="8"/>
        <v>46241</v>
      </c>
      <c r="V16" s="144">
        <v>46262</v>
      </c>
      <c r="X16" s="183" t="str">
        <f t="shared" ca="1" si="9"/>
        <v>Completed</v>
      </c>
      <c r="Y16" s="183" t="str">
        <f t="shared" ca="1" si="10"/>
        <v>Completed</v>
      </c>
      <c r="Z16" s="183" t="str">
        <f t="shared" ca="1" si="11"/>
        <v>Completed</v>
      </c>
      <c r="AA16" s="184" t="str">
        <f t="shared" ca="1" si="12"/>
        <v>Completed</v>
      </c>
    </row>
    <row r="17" spans="1:27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254</v>
      </c>
      <c r="E17" s="65" t="s">
        <v>528</v>
      </c>
      <c r="F17" s="66">
        <f t="shared" ref="F17:F18" si="59">(COUNTIFS(K17,"&lt;="&amp;$D$1)*50%)+(COUNTIFS(N17,"&lt;="&amp;$D$1)*20%)+(COUNTIFS(Q17,"&lt;="&amp;$D$1)*10%)+(COUNTIFS(T17,"&lt;="&amp;$D$1)*20%)</f>
        <v>1</v>
      </c>
      <c r="G17" s="66">
        <f t="shared" ref="G17:G18" si="60">(COUNTIFS(L17,"&lt;="&amp;$D$1)*50%)+(COUNTIFS(O17,"&lt;="&amp;$D$1)*20%)+(COUNTIFS(R17,"&lt;="&amp;$D$1)*10%)+(COUNTIFS(U17,"&lt;="&amp;$D$1)*20%)</f>
        <v>1</v>
      </c>
      <c r="H17" s="66">
        <f t="shared" ref="H17:H18" si="61">(COUNTIFS(M17,"&lt;="&amp;$D$1)*50%)+(COUNTIFS(P17,"&lt;="&amp;$D$1)*20%)+(COUNTIFS(S17,"&lt;="&amp;$D$1)*10%)+(COUNTIFS(V17,"&lt;="&amp;$D$1)*20%)</f>
        <v>0.7</v>
      </c>
      <c r="I17" s="66">
        <f t="shared" ref="I17:I18" si="62">H17-F17</f>
        <v>-0.30000000000000004</v>
      </c>
      <c r="J17" s="89">
        <v>1</v>
      </c>
      <c r="K17" s="74">
        <v>46143</v>
      </c>
      <c r="L17" s="69">
        <f t="shared" ref="L17:L18" si="63">K17</f>
        <v>46143</v>
      </c>
      <c r="M17" s="72">
        <v>46161</v>
      </c>
      <c r="N17" s="74">
        <f t="shared" ref="N17:N18" si="64">K17+42</f>
        <v>46185</v>
      </c>
      <c r="O17" s="69">
        <f t="shared" ref="O17:O18" si="65">N17</f>
        <v>46185</v>
      </c>
      <c r="P17" s="72">
        <v>46234</v>
      </c>
      <c r="Q17" s="74">
        <f t="shared" ref="Q17:Q18" si="66">N17+42</f>
        <v>46227</v>
      </c>
      <c r="R17" s="69">
        <f t="shared" ref="R17:R18" si="67">Q17</f>
        <v>46227</v>
      </c>
      <c r="S17" s="74"/>
      <c r="T17" s="74">
        <f t="shared" ref="T17:T18" si="68">Q17+14</f>
        <v>46241</v>
      </c>
      <c r="U17" s="69">
        <f t="shared" ref="U17:U18" si="69">T17</f>
        <v>46241</v>
      </c>
      <c r="V17" s="72"/>
      <c r="X17" s="183" t="str">
        <f t="shared" ref="X17:X18" ca="1" si="70">IF(OR(M17&lt;&gt;""),"Completed",
IF(L17="","",IF(L17&lt;TODAY(),"Overdue",
IF(AND(L17&gt;=TODAY()-WEEKDAY(TODAY(),2)+1,L17&lt;=TODAY()-WEEKDAY(TODAY(),2)+7),"Follow-This Week",
IF(AND(L17&gt;=TODAY()-WEEKDAY(TODAY(),2)+8,L17&lt;=TODAY()-WEEKDAY(TODAY(),2)+14),"Follow-Next Week","")))))</f>
        <v>Completed</v>
      </c>
      <c r="Y17" s="183" t="str">
        <f t="shared" ref="Y17:Y18" ca="1" si="71">IF(OR(P17&lt;&gt;""),"Completed",IF(O17="","",
IF(O17&lt;TODAY(),"Overdue",
IF(AND(O17&gt;=TODAY()-WEEKDAY(TODAY(),2)+1,O17&lt;=TODAY()-WEEKDAY(TODAY(),2)+7),"Follow-This Week",
IF(AND(O17&gt;=TODAY()-WEEKDAY(TODAY(),2)+8,O17&lt;=TODAY()-WEEKDAY(TODAY(),2)+14),"Follow-Next Week","")))))</f>
        <v>Completed</v>
      </c>
      <c r="Z17" s="183" t="str">
        <f t="shared" ref="Z17:Z18" ca="1" si="72">IF(OR(S17&lt;&gt;""),"Completed",IF(R17="","",
IF(R17&lt;TODAY(),"Overdue",
IF(AND(R17&gt;=TODAY()-WEEKDAY(TODAY(),2)+1,R17&lt;=TODAY()-WEEKDAY(TODAY(),2)+7),"Follow-This Week",
IF(AND(R17&gt;=TODAY()-WEEKDAY(TODAY(),2)+8,R17&lt;=TODAY()-WEEKDAY(TODAY(),2)+14),"Follow-Next Week","")))))</f>
        <v>Overdue</v>
      </c>
      <c r="AA17" s="184" t="str">
        <f t="shared" ref="AA17:AA18" ca="1" si="73">IF(OR(V17&lt;&gt;""),"Completed",IF(U17="","",
IF(U17&lt;TODAY(),"Overdue",
IF(AND(U17&gt;=TODAY()-WEEKDAY(TODAY(),2)+1,U17&lt;=TODAY()-WEEKDAY(TODAY(),2)+7),"Follow-This Week",
IF(AND(U17&gt;=TODAY()-WEEKDAY(TODAY(),2)+8,U17&lt;=TODAY()-WEEKDAY(TODAY(),2)+14),"Follow-Next Week","")))))</f>
        <v>Overdue</v>
      </c>
    </row>
    <row r="18" spans="1:27" s="64" customFormat="1" ht="11.5" x14ac:dyDescent="0.25">
      <c r="A18" s="140" t="s">
        <v>61</v>
      </c>
      <c r="B18" s="140" t="s">
        <v>62</v>
      </c>
      <c r="C18" s="189" t="s">
        <v>63</v>
      </c>
      <c r="D18" s="190" t="s">
        <v>255</v>
      </c>
      <c r="E18" s="191" t="s">
        <v>78</v>
      </c>
      <c r="F18" s="192">
        <f t="shared" si="59"/>
        <v>1</v>
      </c>
      <c r="G18" s="192">
        <f t="shared" si="60"/>
        <v>1</v>
      </c>
      <c r="H18" s="192">
        <f t="shared" si="61"/>
        <v>1</v>
      </c>
      <c r="I18" s="192">
        <f t="shared" si="62"/>
        <v>0</v>
      </c>
      <c r="J18" s="198">
        <v>1</v>
      </c>
      <c r="K18" s="148">
        <v>46150</v>
      </c>
      <c r="L18" s="201">
        <f t="shared" si="63"/>
        <v>46150</v>
      </c>
      <c r="M18" s="144">
        <v>46155</v>
      </c>
      <c r="N18" s="148">
        <f t="shared" si="64"/>
        <v>46192</v>
      </c>
      <c r="O18" s="201">
        <f t="shared" si="65"/>
        <v>46192</v>
      </c>
      <c r="P18" s="148">
        <v>46226</v>
      </c>
      <c r="Q18" s="148">
        <f t="shared" si="66"/>
        <v>46234</v>
      </c>
      <c r="R18" s="201">
        <f t="shared" si="67"/>
        <v>46234</v>
      </c>
      <c r="S18" s="144">
        <v>46262</v>
      </c>
      <c r="T18" s="148">
        <f t="shared" si="68"/>
        <v>46248</v>
      </c>
      <c r="U18" s="201">
        <f t="shared" si="69"/>
        <v>46248</v>
      </c>
      <c r="V18" s="144">
        <v>46262</v>
      </c>
      <c r="X18" s="183" t="str">
        <f t="shared" ca="1" si="70"/>
        <v>Completed</v>
      </c>
      <c r="Y18" s="183" t="str">
        <f t="shared" ca="1" si="71"/>
        <v>Completed</v>
      </c>
      <c r="Z18" s="183" t="str">
        <f t="shared" ca="1" si="72"/>
        <v>Completed</v>
      </c>
      <c r="AA18" s="184" t="str">
        <f t="shared" ca="1" si="73"/>
        <v>Completed</v>
      </c>
    </row>
    <row r="19" spans="1:27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255</v>
      </c>
      <c r="E19" s="80" t="s">
        <v>529</v>
      </c>
      <c r="F19" s="66">
        <f t="shared" si="56"/>
        <v>1</v>
      </c>
      <c r="G19" s="66">
        <f t="shared" si="57"/>
        <v>1</v>
      </c>
      <c r="H19" s="66">
        <f t="shared" si="58"/>
        <v>0.7</v>
      </c>
      <c r="I19" s="66">
        <f t="shared" si="1"/>
        <v>-0.30000000000000004</v>
      </c>
      <c r="J19" s="89">
        <v>1</v>
      </c>
      <c r="K19" s="74">
        <v>46150</v>
      </c>
      <c r="L19" s="69">
        <f t="shared" si="2"/>
        <v>46150</v>
      </c>
      <c r="M19" s="72">
        <v>46155</v>
      </c>
      <c r="N19" s="74">
        <f t="shared" si="3"/>
        <v>46192</v>
      </c>
      <c r="O19" s="69">
        <f t="shared" si="4"/>
        <v>46192</v>
      </c>
      <c r="P19" s="74">
        <v>46226</v>
      </c>
      <c r="Q19" s="74">
        <f t="shared" si="5"/>
        <v>46234</v>
      </c>
      <c r="R19" s="69">
        <f t="shared" si="6"/>
        <v>46234</v>
      </c>
      <c r="S19" s="74"/>
      <c r="T19" s="74">
        <f t="shared" si="7"/>
        <v>46248</v>
      </c>
      <c r="U19" s="69">
        <f t="shared" si="8"/>
        <v>46248</v>
      </c>
      <c r="V19" s="72"/>
      <c r="X19" s="183" t="str">
        <f t="shared" ca="1" si="9"/>
        <v>Completed</v>
      </c>
      <c r="Y19" s="183" t="str">
        <f t="shared" ca="1" si="10"/>
        <v>Completed</v>
      </c>
      <c r="Z19" s="183" t="str">
        <f t="shared" ca="1" si="11"/>
        <v>Overdue</v>
      </c>
      <c r="AA19" s="184" t="str">
        <f t="shared" ca="1" si="12"/>
        <v>Overdue</v>
      </c>
    </row>
    <row r="20" spans="1:27" s="64" customFormat="1" ht="11.5" x14ac:dyDescent="0.25">
      <c r="A20" s="140" t="s">
        <v>61</v>
      </c>
      <c r="B20" s="140" t="s">
        <v>62</v>
      </c>
      <c r="C20" s="189" t="s">
        <v>63</v>
      </c>
      <c r="D20" s="190" t="s">
        <v>256</v>
      </c>
      <c r="E20" s="191" t="s">
        <v>507</v>
      </c>
      <c r="F20" s="192">
        <f t="shared" si="56"/>
        <v>1</v>
      </c>
      <c r="G20" s="192">
        <f t="shared" si="57"/>
        <v>1</v>
      </c>
      <c r="H20" s="192">
        <f t="shared" si="58"/>
        <v>1</v>
      </c>
      <c r="I20" s="192">
        <f t="shared" ref="I20:I30" si="74">H20-F20</f>
        <v>0</v>
      </c>
      <c r="J20" s="193">
        <v>1.2</v>
      </c>
      <c r="K20" s="144">
        <v>46171</v>
      </c>
      <c r="L20" s="194">
        <f t="shared" si="2"/>
        <v>46171</v>
      </c>
      <c r="M20" s="144">
        <v>46178</v>
      </c>
      <c r="N20" s="144">
        <f t="shared" si="3"/>
        <v>46213</v>
      </c>
      <c r="O20" s="194">
        <f t="shared" si="4"/>
        <v>46213</v>
      </c>
      <c r="P20" s="144">
        <v>46234</v>
      </c>
      <c r="Q20" s="144">
        <f t="shared" si="5"/>
        <v>46255</v>
      </c>
      <c r="R20" s="194">
        <f t="shared" si="6"/>
        <v>46255</v>
      </c>
      <c r="S20" s="148">
        <v>46234</v>
      </c>
      <c r="T20" s="148">
        <f t="shared" si="7"/>
        <v>46269</v>
      </c>
      <c r="U20" s="194">
        <f t="shared" si="8"/>
        <v>46269</v>
      </c>
      <c r="V20" s="144">
        <v>46234</v>
      </c>
      <c r="X20" s="183" t="str">
        <f t="shared" ca="1" si="9"/>
        <v>Completed</v>
      </c>
      <c r="Y20" s="183" t="str">
        <f t="shared" ca="1" si="10"/>
        <v>Completed</v>
      </c>
      <c r="Z20" s="183" t="str">
        <f t="shared" ca="1" si="11"/>
        <v>Completed</v>
      </c>
      <c r="AA20" s="184" t="str">
        <f t="shared" ca="1" si="12"/>
        <v>Completed</v>
      </c>
    </row>
    <row r="21" spans="1:27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256</v>
      </c>
      <c r="E21" s="80" t="s">
        <v>508</v>
      </c>
      <c r="F21" s="66">
        <f t="shared" ref="F21" si="75">(COUNTIFS(K21,"&lt;="&amp;$D$1)*50%)+(COUNTIFS(N21,"&lt;="&amp;$D$1)*20%)+(COUNTIFS(Q21,"&lt;="&amp;$D$1)*10%)+(COUNTIFS(T21,"&lt;="&amp;$D$1)*20%)</f>
        <v>1</v>
      </c>
      <c r="G21" s="66">
        <f t="shared" ref="G21" si="76">(COUNTIFS(L21,"&lt;="&amp;$D$1)*50%)+(COUNTIFS(O21,"&lt;="&amp;$D$1)*20%)+(COUNTIFS(R21,"&lt;="&amp;$D$1)*10%)+(COUNTIFS(U21,"&lt;="&amp;$D$1)*20%)</f>
        <v>1</v>
      </c>
      <c r="H21" s="66">
        <f t="shared" ref="H21" si="77">(COUNTIFS(M21,"&lt;="&amp;$D$1)*50%)+(COUNTIFS(P21,"&lt;="&amp;$D$1)*20%)+(COUNTIFS(S21,"&lt;="&amp;$D$1)*10%)+(COUNTIFS(V21,"&lt;="&amp;$D$1)*20%)</f>
        <v>0.7</v>
      </c>
      <c r="I21" s="66">
        <f t="shared" ref="I21" si="78">H21-F21</f>
        <v>-0.30000000000000004</v>
      </c>
      <c r="J21" s="71">
        <v>0.8</v>
      </c>
      <c r="K21" s="72">
        <v>46171</v>
      </c>
      <c r="L21" s="68">
        <f t="shared" ref="L21" si="79">K21</f>
        <v>46171</v>
      </c>
      <c r="M21" s="72">
        <v>46178</v>
      </c>
      <c r="N21" s="72">
        <f t="shared" ref="N21" si="80">K21+42</f>
        <v>46213</v>
      </c>
      <c r="O21" s="68">
        <f t="shared" ref="O21" si="81">N21</f>
        <v>46213</v>
      </c>
      <c r="P21" s="72">
        <v>46244</v>
      </c>
      <c r="Q21" s="72">
        <f t="shared" ref="Q21" si="82">N21+42</f>
        <v>46255</v>
      </c>
      <c r="R21" s="68">
        <f t="shared" ref="R21" si="83">Q21</f>
        <v>46255</v>
      </c>
      <c r="S21" s="74"/>
      <c r="T21" s="74">
        <f t="shared" ref="T21" si="84">Q21+14</f>
        <v>46269</v>
      </c>
      <c r="U21" s="68">
        <f t="shared" ref="U21" si="85">T21</f>
        <v>46269</v>
      </c>
      <c r="V21" s="72"/>
      <c r="X21" s="183" t="str">
        <f t="shared" ref="X21" ca="1" si="86">IF(OR(M21&lt;&gt;""),"Completed",
IF(L21="","",IF(L21&lt;TODAY(),"Overdue",
IF(AND(L21&gt;=TODAY()-WEEKDAY(TODAY(),2)+1,L21&lt;=TODAY()-WEEKDAY(TODAY(),2)+7),"Follow-This Week",
IF(AND(L21&gt;=TODAY()-WEEKDAY(TODAY(),2)+8,L21&lt;=TODAY()-WEEKDAY(TODAY(),2)+14),"Follow-Next Week","")))))</f>
        <v>Completed</v>
      </c>
      <c r="Y21" s="183" t="str">
        <f t="shared" ref="Y21" ca="1" si="87">IF(OR(P21&lt;&gt;""),"Completed",IF(O21="","",
IF(O21&lt;TODAY(),"Overdue",
IF(AND(O21&gt;=TODAY()-WEEKDAY(TODAY(),2)+1,O21&lt;=TODAY()-WEEKDAY(TODAY(),2)+7),"Follow-This Week",
IF(AND(O21&gt;=TODAY()-WEEKDAY(TODAY(),2)+8,O21&lt;=TODAY()-WEEKDAY(TODAY(),2)+14),"Follow-Next Week","")))))</f>
        <v>Completed</v>
      </c>
      <c r="Z21" s="183" t="str">
        <f t="shared" ref="Z21" ca="1" si="88">IF(OR(S21&lt;&gt;""),"Completed",IF(R21="","",
IF(R21&lt;TODAY(),"Overdue",
IF(AND(R21&gt;=TODAY()-WEEKDAY(TODAY(),2)+1,R21&lt;=TODAY()-WEEKDAY(TODAY(),2)+7),"Follow-This Week",
IF(AND(R21&gt;=TODAY()-WEEKDAY(TODAY(),2)+8,R21&lt;=TODAY()-WEEKDAY(TODAY(),2)+14),"Follow-Next Week","")))))</f>
        <v>Overdue</v>
      </c>
      <c r="AA21" s="184" t="str">
        <f t="shared" ref="AA21" ca="1" si="89">IF(OR(V21&lt;&gt;""),"Completed",IF(U21="","",
IF(U21&lt;TODAY(),"Overdue",
IF(AND(U21&gt;=TODAY()-WEEKDAY(TODAY(),2)+1,U21&lt;=TODAY()-WEEKDAY(TODAY(),2)+7),"Follow-This Week",
IF(AND(U21&gt;=TODAY()-WEEKDAY(TODAY(),2)+8,U21&lt;=TODAY()-WEEKDAY(TODAY(),2)+14),"Follow-Next Week","")))))</f>
        <v>Overdue</v>
      </c>
    </row>
    <row r="22" spans="1:27" s="64" customFormat="1" ht="11.5" x14ac:dyDescent="0.25">
      <c r="A22" s="140" t="s">
        <v>61</v>
      </c>
      <c r="B22" s="140" t="s">
        <v>62</v>
      </c>
      <c r="C22" s="189" t="s">
        <v>63</v>
      </c>
      <c r="D22" s="190" t="s">
        <v>257</v>
      </c>
      <c r="E22" s="191" t="s">
        <v>509</v>
      </c>
      <c r="F22" s="192">
        <f t="shared" si="56"/>
        <v>0.79999999999999993</v>
      </c>
      <c r="G22" s="192">
        <f t="shared" si="57"/>
        <v>0.79999999999999993</v>
      </c>
      <c r="H22" s="192">
        <f t="shared" si="58"/>
        <v>1</v>
      </c>
      <c r="I22" s="192">
        <f t="shared" si="74"/>
        <v>0.20000000000000007</v>
      </c>
      <c r="J22" s="193">
        <v>1.2</v>
      </c>
      <c r="K22" s="144">
        <v>46185</v>
      </c>
      <c r="L22" s="194">
        <f t="shared" si="2"/>
        <v>46185</v>
      </c>
      <c r="M22" s="144">
        <v>46205</v>
      </c>
      <c r="N22" s="144">
        <f t="shared" si="3"/>
        <v>46227</v>
      </c>
      <c r="O22" s="194">
        <f t="shared" si="4"/>
        <v>46227</v>
      </c>
      <c r="P22" s="144">
        <v>46234</v>
      </c>
      <c r="Q22" s="144">
        <f t="shared" si="5"/>
        <v>46269</v>
      </c>
      <c r="R22" s="194">
        <f t="shared" si="6"/>
        <v>46269</v>
      </c>
      <c r="S22" s="144">
        <v>46234</v>
      </c>
      <c r="T22" s="148">
        <f t="shared" si="7"/>
        <v>46283</v>
      </c>
      <c r="U22" s="194">
        <f t="shared" si="8"/>
        <v>46283</v>
      </c>
      <c r="V22" s="144">
        <v>46234</v>
      </c>
      <c r="X22" s="183" t="str">
        <f t="shared" ca="1" si="9"/>
        <v>Completed</v>
      </c>
      <c r="Y22" s="183" t="str">
        <f t="shared" ca="1" si="10"/>
        <v>Completed</v>
      </c>
      <c r="Z22" s="183" t="str">
        <f t="shared" ca="1" si="11"/>
        <v>Completed</v>
      </c>
      <c r="AA22" s="184" t="str">
        <f t="shared" ca="1" si="12"/>
        <v>Completed</v>
      </c>
    </row>
    <row r="23" spans="1:27" s="64" customFormat="1" ht="11.5" x14ac:dyDescent="0.25">
      <c r="A23" s="70" t="s">
        <v>61</v>
      </c>
      <c r="B23" s="70" t="s">
        <v>62</v>
      </c>
      <c r="C23" s="65" t="s">
        <v>63</v>
      </c>
      <c r="D23" s="82" t="s">
        <v>257</v>
      </c>
      <c r="E23" s="80" t="s">
        <v>510</v>
      </c>
      <c r="F23" s="66">
        <f t="shared" ref="F23:F24" si="90">(COUNTIFS(K23,"&lt;="&amp;$D$1)*50%)+(COUNTIFS(N23,"&lt;="&amp;$D$1)*20%)+(COUNTIFS(Q23,"&lt;="&amp;$D$1)*10%)+(COUNTIFS(T23,"&lt;="&amp;$D$1)*20%)</f>
        <v>0.79999999999999993</v>
      </c>
      <c r="G23" s="66">
        <f t="shared" ref="G23:G24" si="91">(COUNTIFS(L23,"&lt;="&amp;$D$1)*50%)+(COUNTIFS(O23,"&lt;="&amp;$D$1)*20%)+(COUNTIFS(R23,"&lt;="&amp;$D$1)*10%)+(COUNTIFS(U23,"&lt;="&amp;$D$1)*20%)</f>
        <v>0.79999999999999993</v>
      </c>
      <c r="H23" s="66">
        <f t="shared" ref="H23:H24" si="92">(COUNTIFS(M23,"&lt;="&amp;$D$1)*50%)+(COUNTIFS(P23,"&lt;="&amp;$D$1)*20%)+(COUNTIFS(S23,"&lt;="&amp;$D$1)*10%)+(COUNTIFS(V23,"&lt;="&amp;$D$1)*20%)</f>
        <v>0.7</v>
      </c>
      <c r="I23" s="66">
        <f t="shared" ref="I23:I24" si="93">H23-F23</f>
        <v>-9.9999999999999978E-2</v>
      </c>
      <c r="J23" s="71">
        <v>0.8</v>
      </c>
      <c r="K23" s="72">
        <v>46185</v>
      </c>
      <c r="L23" s="68">
        <f t="shared" ref="L23:L24" si="94">K23</f>
        <v>46185</v>
      </c>
      <c r="M23" s="72">
        <v>46205</v>
      </c>
      <c r="N23" s="72">
        <v>46218</v>
      </c>
      <c r="O23" s="68">
        <f t="shared" ref="O23:O24" si="95">N23</f>
        <v>46218</v>
      </c>
      <c r="P23" s="72">
        <v>46248</v>
      </c>
      <c r="Q23" s="72">
        <f t="shared" ref="Q23:Q24" si="96">N23+42</f>
        <v>46260</v>
      </c>
      <c r="R23" s="68">
        <f t="shared" ref="R23:R24" si="97">Q23</f>
        <v>46260</v>
      </c>
      <c r="S23" s="74"/>
      <c r="T23" s="74">
        <f t="shared" ref="T23:T24" si="98">Q23+14</f>
        <v>46274</v>
      </c>
      <c r="U23" s="68">
        <f t="shared" ref="U23:U24" si="99">T23</f>
        <v>46274</v>
      </c>
      <c r="V23" s="72"/>
      <c r="X23" s="183" t="str">
        <f t="shared" ref="X23:X24" ca="1" si="100">IF(OR(M23&lt;&gt;""),"Completed",
IF(L23="","",IF(L23&lt;TODAY(),"Overdue",
IF(AND(L23&gt;=TODAY()-WEEKDAY(TODAY(),2)+1,L23&lt;=TODAY()-WEEKDAY(TODAY(),2)+7),"Follow-This Week",
IF(AND(L23&gt;=TODAY()-WEEKDAY(TODAY(),2)+8,L23&lt;=TODAY()-WEEKDAY(TODAY(),2)+14),"Follow-Next Week","")))))</f>
        <v>Completed</v>
      </c>
      <c r="Y23" s="183" t="str">
        <f t="shared" ref="Y23:Y24" ca="1" si="101">IF(OR(P23&lt;&gt;""),"Completed",IF(O23="","",
IF(O23&lt;TODAY(),"Overdue",
IF(AND(O23&gt;=TODAY()-WEEKDAY(TODAY(),2)+1,O23&lt;=TODAY()-WEEKDAY(TODAY(),2)+7),"Follow-This Week",
IF(AND(O23&gt;=TODAY()-WEEKDAY(TODAY(),2)+8,O23&lt;=TODAY()-WEEKDAY(TODAY(),2)+14),"Follow-Next Week","")))))</f>
        <v>Completed</v>
      </c>
      <c r="Z23" s="183" t="str">
        <f t="shared" ref="Z23:Z24" ca="1" si="102">IF(OR(S23&lt;&gt;""),"Completed",IF(R23="","",
IF(R23&lt;TODAY(),"Overdue",
IF(AND(R23&gt;=TODAY()-WEEKDAY(TODAY(),2)+1,R23&lt;=TODAY()-WEEKDAY(TODAY(),2)+7),"Follow-This Week",
IF(AND(R23&gt;=TODAY()-WEEKDAY(TODAY(),2)+8,R23&lt;=TODAY()-WEEKDAY(TODAY(),2)+14),"Follow-Next Week","")))))</f>
        <v>Overdue</v>
      </c>
      <c r="AA23" s="184" t="str">
        <f t="shared" ref="AA23:AA24" ca="1" si="103">IF(OR(V23&lt;&gt;""),"Completed",IF(U23="","",
IF(U23&lt;TODAY(),"Overdue",
IF(AND(U23&gt;=TODAY()-WEEKDAY(TODAY(),2)+1,U23&lt;=TODAY()-WEEKDAY(TODAY(),2)+7),"Follow-This Week",
IF(AND(U23&gt;=TODAY()-WEEKDAY(TODAY(),2)+8,U23&lt;=TODAY()-WEEKDAY(TODAY(),2)+14),"Follow-Next Week","")))))</f>
        <v>Follow-Next Week</v>
      </c>
    </row>
    <row r="24" spans="1:27" s="64" customFormat="1" ht="11.5" x14ac:dyDescent="0.25">
      <c r="A24" s="140" t="s">
        <v>61</v>
      </c>
      <c r="B24" s="140" t="s">
        <v>62</v>
      </c>
      <c r="C24" s="189" t="s">
        <v>63</v>
      </c>
      <c r="D24" s="190" t="s">
        <v>258</v>
      </c>
      <c r="E24" s="191" t="s">
        <v>79</v>
      </c>
      <c r="F24" s="192">
        <f t="shared" si="90"/>
        <v>1</v>
      </c>
      <c r="G24" s="192">
        <f t="shared" si="91"/>
        <v>1</v>
      </c>
      <c r="H24" s="192">
        <f t="shared" si="92"/>
        <v>1</v>
      </c>
      <c r="I24" s="192">
        <f t="shared" si="93"/>
        <v>0</v>
      </c>
      <c r="J24" s="193">
        <v>1</v>
      </c>
      <c r="K24" s="144">
        <v>46164</v>
      </c>
      <c r="L24" s="194">
        <f t="shared" si="94"/>
        <v>46164</v>
      </c>
      <c r="M24" s="144">
        <v>46157</v>
      </c>
      <c r="N24" s="144">
        <f t="shared" ref="N24" si="104">K24+42</f>
        <v>46206</v>
      </c>
      <c r="O24" s="194">
        <f t="shared" si="95"/>
        <v>46206</v>
      </c>
      <c r="P24" s="148">
        <v>46226</v>
      </c>
      <c r="Q24" s="144">
        <f t="shared" si="96"/>
        <v>46248</v>
      </c>
      <c r="R24" s="194">
        <f t="shared" si="97"/>
        <v>46248</v>
      </c>
      <c r="S24" s="144">
        <v>46262</v>
      </c>
      <c r="T24" s="148">
        <f t="shared" si="98"/>
        <v>46262</v>
      </c>
      <c r="U24" s="194">
        <f t="shared" si="99"/>
        <v>46262</v>
      </c>
      <c r="V24" s="144">
        <v>46262</v>
      </c>
      <c r="X24" s="183" t="str">
        <f t="shared" ca="1" si="100"/>
        <v>Completed</v>
      </c>
      <c r="Y24" s="183" t="str">
        <f t="shared" ca="1" si="101"/>
        <v>Completed</v>
      </c>
      <c r="Z24" s="183" t="str">
        <f t="shared" ca="1" si="102"/>
        <v>Completed</v>
      </c>
      <c r="AA24" s="184" t="str">
        <f t="shared" ca="1" si="103"/>
        <v>Completed</v>
      </c>
    </row>
    <row r="25" spans="1:27" s="64" customFormat="1" ht="11.5" x14ac:dyDescent="0.25">
      <c r="A25" s="70" t="s">
        <v>61</v>
      </c>
      <c r="B25" s="70" t="s">
        <v>62</v>
      </c>
      <c r="C25" s="65" t="s">
        <v>63</v>
      </c>
      <c r="D25" s="82" t="s">
        <v>258</v>
      </c>
      <c r="E25" s="80" t="s">
        <v>530</v>
      </c>
      <c r="F25" s="66">
        <f t="shared" si="56"/>
        <v>1</v>
      </c>
      <c r="G25" s="66">
        <f t="shared" si="57"/>
        <v>1</v>
      </c>
      <c r="H25" s="66">
        <f t="shared" si="58"/>
        <v>0.7</v>
      </c>
      <c r="I25" s="66">
        <f t="shared" si="74"/>
        <v>-0.30000000000000004</v>
      </c>
      <c r="J25" s="71">
        <v>1</v>
      </c>
      <c r="K25" s="72">
        <v>46164</v>
      </c>
      <c r="L25" s="68">
        <f t="shared" si="2"/>
        <v>46164</v>
      </c>
      <c r="M25" s="72">
        <v>46157</v>
      </c>
      <c r="N25" s="72">
        <f t="shared" si="3"/>
        <v>46206</v>
      </c>
      <c r="O25" s="68">
        <f t="shared" si="4"/>
        <v>46206</v>
      </c>
      <c r="P25" s="74">
        <v>46226</v>
      </c>
      <c r="Q25" s="72">
        <f t="shared" si="5"/>
        <v>46248</v>
      </c>
      <c r="R25" s="68">
        <f t="shared" si="6"/>
        <v>46248</v>
      </c>
      <c r="S25" s="74"/>
      <c r="T25" s="74">
        <f t="shared" si="7"/>
        <v>46262</v>
      </c>
      <c r="U25" s="68">
        <f t="shared" si="8"/>
        <v>46262</v>
      </c>
      <c r="V25" s="72"/>
      <c r="X25" s="183" t="str">
        <f t="shared" ca="1" si="9"/>
        <v>Completed</v>
      </c>
      <c r="Y25" s="183" t="str">
        <f t="shared" ca="1" si="10"/>
        <v>Completed</v>
      </c>
      <c r="Z25" s="183" t="str">
        <f t="shared" ca="1" si="11"/>
        <v>Overdue</v>
      </c>
      <c r="AA25" s="184" t="str">
        <f t="shared" ca="1" si="12"/>
        <v>Overdue</v>
      </c>
    </row>
    <row r="26" spans="1:27" s="64" customFormat="1" ht="11.5" x14ac:dyDescent="0.25">
      <c r="A26" s="70" t="s">
        <v>61</v>
      </c>
      <c r="B26" s="70" t="s">
        <v>62</v>
      </c>
      <c r="C26" s="65" t="s">
        <v>63</v>
      </c>
      <c r="D26" s="82" t="s">
        <v>259</v>
      </c>
      <c r="E26" s="65" t="s">
        <v>80</v>
      </c>
      <c r="F26" s="66">
        <f t="shared" si="56"/>
        <v>0.7</v>
      </c>
      <c r="G26" s="66">
        <f t="shared" si="57"/>
        <v>0.7</v>
      </c>
      <c r="H26" s="66">
        <f t="shared" si="58"/>
        <v>0.7</v>
      </c>
      <c r="I26" s="66">
        <f t="shared" si="74"/>
        <v>0</v>
      </c>
      <c r="J26" s="71">
        <v>4.0999999999999996</v>
      </c>
      <c r="K26" s="72">
        <v>46199</v>
      </c>
      <c r="L26" s="68">
        <f t="shared" si="2"/>
        <v>46199</v>
      </c>
      <c r="M26" s="72">
        <v>46196</v>
      </c>
      <c r="N26" s="72">
        <f t="shared" si="3"/>
        <v>46241</v>
      </c>
      <c r="O26" s="68">
        <f t="shared" si="4"/>
        <v>46241</v>
      </c>
      <c r="P26" s="72">
        <v>46255</v>
      </c>
      <c r="Q26" s="72">
        <f t="shared" si="5"/>
        <v>46283</v>
      </c>
      <c r="R26" s="68">
        <f t="shared" si="6"/>
        <v>46283</v>
      </c>
      <c r="S26" s="74"/>
      <c r="T26" s="74">
        <f t="shared" si="7"/>
        <v>46297</v>
      </c>
      <c r="U26" s="68">
        <f t="shared" si="8"/>
        <v>46297</v>
      </c>
      <c r="V26" s="72"/>
      <c r="X26" s="183" t="str">
        <f t="shared" ca="1" si="9"/>
        <v>Completed</v>
      </c>
      <c r="Y26" s="183" t="str">
        <f t="shared" ca="1" si="10"/>
        <v>Completed</v>
      </c>
      <c r="Z26" s="183" t="str">
        <f t="shared" ca="1" si="11"/>
        <v/>
      </c>
      <c r="AA26" s="184" t="str">
        <f t="shared" ca="1" si="12"/>
        <v/>
      </c>
    </row>
    <row r="27" spans="1:27" s="64" customFormat="1" ht="11.5" x14ac:dyDescent="0.25">
      <c r="A27" s="70" t="s">
        <v>61</v>
      </c>
      <c r="B27" s="70" t="s">
        <v>62</v>
      </c>
      <c r="C27" s="65" t="s">
        <v>63</v>
      </c>
      <c r="D27" s="82" t="s">
        <v>260</v>
      </c>
      <c r="E27" s="80" t="s">
        <v>81</v>
      </c>
      <c r="F27" s="66">
        <f t="shared" si="56"/>
        <v>0.7</v>
      </c>
      <c r="G27" s="66">
        <f t="shared" si="57"/>
        <v>0.7</v>
      </c>
      <c r="H27" s="66">
        <f t="shared" si="58"/>
        <v>0.7</v>
      </c>
      <c r="I27" s="66">
        <f t="shared" si="74"/>
        <v>0</v>
      </c>
      <c r="J27" s="89">
        <v>2</v>
      </c>
      <c r="K27" s="72">
        <v>46206</v>
      </c>
      <c r="L27" s="72">
        <f t="shared" si="2"/>
        <v>46206</v>
      </c>
      <c r="M27" s="74">
        <v>46213</v>
      </c>
      <c r="N27" s="74">
        <f t="shared" si="3"/>
        <v>46248</v>
      </c>
      <c r="O27" s="72">
        <f t="shared" si="4"/>
        <v>46248</v>
      </c>
      <c r="P27" s="72">
        <v>46220</v>
      </c>
      <c r="Q27" s="74">
        <f t="shared" si="5"/>
        <v>46290</v>
      </c>
      <c r="R27" s="72">
        <f t="shared" si="6"/>
        <v>46290</v>
      </c>
      <c r="S27" s="74"/>
      <c r="T27" s="74">
        <f t="shared" si="7"/>
        <v>46304</v>
      </c>
      <c r="U27" s="72">
        <f t="shared" si="8"/>
        <v>46304</v>
      </c>
      <c r="V27" s="72"/>
      <c r="X27" s="183" t="str">
        <f t="shared" ca="1" si="9"/>
        <v>Completed</v>
      </c>
      <c r="Y27" s="183" t="str">
        <f t="shared" ca="1" si="10"/>
        <v>Completed</v>
      </c>
      <c r="Z27" s="183" t="str">
        <f t="shared" ca="1" si="11"/>
        <v/>
      </c>
      <c r="AA27" s="184" t="str">
        <f t="shared" ca="1" si="12"/>
        <v/>
      </c>
    </row>
    <row r="28" spans="1:27" s="64" customFormat="1" ht="11.5" x14ac:dyDescent="0.25">
      <c r="A28" s="149" t="s">
        <v>61</v>
      </c>
      <c r="B28" s="149" t="s">
        <v>64</v>
      </c>
      <c r="C28" s="149" t="s">
        <v>63</v>
      </c>
      <c r="D28" s="150" t="s">
        <v>84</v>
      </c>
      <c r="E28" s="187" t="s">
        <v>492</v>
      </c>
      <c r="F28" s="151">
        <f t="shared" si="56"/>
        <v>0.7</v>
      </c>
      <c r="G28" s="151">
        <f t="shared" si="57"/>
        <v>0.7</v>
      </c>
      <c r="H28" s="151">
        <f t="shared" si="58"/>
        <v>1</v>
      </c>
      <c r="I28" s="151">
        <f t="shared" si="74"/>
        <v>0.30000000000000004</v>
      </c>
      <c r="J28" s="173">
        <v>1</v>
      </c>
      <c r="K28" s="154">
        <v>46199</v>
      </c>
      <c r="L28" s="154">
        <f t="shared" si="2"/>
        <v>46199</v>
      </c>
      <c r="M28" s="153">
        <v>46220</v>
      </c>
      <c r="N28" s="154">
        <f t="shared" si="3"/>
        <v>46241</v>
      </c>
      <c r="O28" s="154">
        <f t="shared" si="4"/>
        <v>46241</v>
      </c>
      <c r="P28" s="154">
        <v>46220</v>
      </c>
      <c r="Q28" s="154">
        <f t="shared" si="5"/>
        <v>46283</v>
      </c>
      <c r="R28" s="154">
        <f t="shared" si="6"/>
        <v>46283</v>
      </c>
      <c r="S28" s="153">
        <v>46220</v>
      </c>
      <c r="T28" s="154">
        <f t="shared" si="7"/>
        <v>46297</v>
      </c>
      <c r="U28" s="154">
        <f t="shared" si="8"/>
        <v>46297</v>
      </c>
      <c r="V28" s="174">
        <v>46220</v>
      </c>
      <c r="X28" s="183" t="str">
        <f t="shared" ca="1" si="9"/>
        <v>Completed</v>
      </c>
      <c r="Y28" s="183" t="str">
        <f t="shared" ca="1" si="10"/>
        <v>Completed</v>
      </c>
      <c r="Z28" s="183" t="str">
        <f t="shared" ca="1" si="11"/>
        <v>Completed</v>
      </c>
      <c r="AA28" s="184" t="str">
        <f t="shared" ca="1" si="12"/>
        <v>Completed</v>
      </c>
    </row>
    <row r="29" spans="1:27" s="64" customFormat="1" ht="11.5" x14ac:dyDescent="0.25">
      <c r="A29" s="86" t="s">
        <v>61</v>
      </c>
      <c r="B29" s="86" t="s">
        <v>64</v>
      </c>
      <c r="C29" s="86" t="s">
        <v>63</v>
      </c>
      <c r="D29" s="130" t="s">
        <v>84</v>
      </c>
      <c r="E29" s="98" t="s">
        <v>491</v>
      </c>
      <c r="F29" s="87">
        <f t="shared" ref="F29" si="105">(COUNTIFS(K29,"&lt;="&amp;$D$1)*50%)+(COUNTIFS(N29,"&lt;="&amp;$D$1)*20%)+(COUNTIFS(Q29,"&lt;="&amp;$D$1)*10%)+(COUNTIFS(T29,"&lt;="&amp;$D$1)*20%)</f>
        <v>0.5</v>
      </c>
      <c r="G29" s="87">
        <f t="shared" ref="G29" si="106">(COUNTIFS(L29,"&lt;="&amp;$D$1)*50%)+(COUNTIFS(O29,"&lt;="&amp;$D$1)*20%)+(COUNTIFS(R29,"&lt;="&amp;$D$1)*10%)+(COUNTIFS(U29,"&lt;="&amp;$D$1)*20%)</f>
        <v>0.5</v>
      </c>
      <c r="H29" s="87">
        <f t="shared" ref="H29" si="107">(COUNTIFS(M29,"&lt;="&amp;$D$1)*50%)+(COUNTIFS(P29,"&lt;="&amp;$D$1)*20%)+(COUNTIFS(S29,"&lt;="&amp;$D$1)*10%)+(COUNTIFS(V29,"&lt;="&amp;$D$1)*20%)</f>
        <v>0.5</v>
      </c>
      <c r="I29" s="87">
        <f t="shared" ref="I29" si="108">H29-F29</f>
        <v>0</v>
      </c>
      <c r="J29" s="106">
        <v>1</v>
      </c>
      <c r="K29" s="99">
        <v>46265</v>
      </c>
      <c r="L29" s="99">
        <f t="shared" ref="L29" si="109">K29</f>
        <v>46265</v>
      </c>
      <c r="M29" s="203">
        <v>46269</v>
      </c>
      <c r="N29" s="99">
        <f t="shared" ref="N29" si="110">K29+42</f>
        <v>46307</v>
      </c>
      <c r="O29" s="99">
        <f t="shared" ref="O29" si="111">N29</f>
        <v>46307</v>
      </c>
      <c r="P29" s="99"/>
      <c r="Q29" s="99">
        <f t="shared" ref="Q29" si="112">N29+42</f>
        <v>46349</v>
      </c>
      <c r="R29" s="99">
        <f t="shared" ref="R29" si="113">Q29</f>
        <v>46349</v>
      </c>
      <c r="S29" s="88"/>
      <c r="T29" s="99">
        <f t="shared" ref="T29" si="114">Q29+14</f>
        <v>46363</v>
      </c>
      <c r="U29" s="99">
        <f t="shared" ref="U29" si="115">T29</f>
        <v>46363</v>
      </c>
      <c r="V29" s="131"/>
      <c r="X29" s="183" t="str">
        <f t="shared" ca="1" si="9"/>
        <v>Completed</v>
      </c>
      <c r="Y29" s="183" t="str">
        <f t="shared" ca="1" si="10"/>
        <v/>
      </c>
      <c r="Z29" s="183" t="str">
        <f t="shared" ca="1" si="11"/>
        <v/>
      </c>
      <c r="AA29" s="184" t="str">
        <f t="shared" ca="1" si="12"/>
        <v/>
      </c>
    </row>
    <row r="30" spans="1:27" s="64" customFormat="1" ht="11.5" x14ac:dyDescent="0.25">
      <c r="A30" s="155" t="s">
        <v>61</v>
      </c>
      <c r="B30" s="155" t="s">
        <v>67</v>
      </c>
      <c r="C30" s="155" t="s">
        <v>63</v>
      </c>
      <c r="D30" s="156" t="s">
        <v>83</v>
      </c>
      <c r="E30" s="155" t="s">
        <v>497</v>
      </c>
      <c r="F30" s="157">
        <f t="shared" si="56"/>
        <v>1</v>
      </c>
      <c r="G30" s="157">
        <f t="shared" si="57"/>
        <v>1</v>
      </c>
      <c r="H30" s="157">
        <f t="shared" si="58"/>
        <v>1</v>
      </c>
      <c r="I30" s="157">
        <f t="shared" si="74"/>
        <v>0</v>
      </c>
      <c r="J30" s="175">
        <v>1</v>
      </c>
      <c r="K30" s="159">
        <v>46157</v>
      </c>
      <c r="L30" s="159">
        <f t="shared" si="2"/>
        <v>46157</v>
      </c>
      <c r="M30" s="159">
        <v>46188</v>
      </c>
      <c r="N30" s="159">
        <f t="shared" si="3"/>
        <v>46199</v>
      </c>
      <c r="O30" s="159">
        <f t="shared" si="4"/>
        <v>46199</v>
      </c>
      <c r="P30" s="160">
        <v>46220</v>
      </c>
      <c r="Q30" s="159">
        <f t="shared" si="5"/>
        <v>46241</v>
      </c>
      <c r="R30" s="159">
        <f t="shared" si="6"/>
        <v>46241</v>
      </c>
      <c r="S30" s="160">
        <v>46220</v>
      </c>
      <c r="T30" s="160">
        <f t="shared" si="7"/>
        <v>46255</v>
      </c>
      <c r="U30" s="159">
        <f t="shared" si="8"/>
        <v>46255</v>
      </c>
      <c r="V30" s="160">
        <v>46220</v>
      </c>
      <c r="X30" s="183" t="str">
        <f t="shared" ca="1" si="9"/>
        <v>Completed</v>
      </c>
      <c r="Y30" s="183" t="str">
        <f t="shared" ca="1" si="10"/>
        <v>Completed</v>
      </c>
      <c r="Z30" s="183" t="str">
        <f t="shared" ca="1" si="11"/>
        <v>Completed</v>
      </c>
      <c r="AA30" s="184" t="str">
        <f t="shared" ca="1" si="12"/>
        <v>Completed</v>
      </c>
    </row>
    <row r="31" spans="1:27" s="64" customFormat="1" ht="11.5" x14ac:dyDescent="0.25">
      <c r="A31" s="83" t="s">
        <v>61</v>
      </c>
      <c r="B31" s="83" t="s">
        <v>67</v>
      </c>
      <c r="C31" s="83" t="s">
        <v>63</v>
      </c>
      <c r="D31" s="127" t="s">
        <v>83</v>
      </c>
      <c r="E31" s="83" t="s">
        <v>498</v>
      </c>
      <c r="F31" s="84">
        <f t="shared" ref="F31" si="116">(COUNTIFS(K31,"&lt;="&amp;$D$1)*50%)+(COUNTIFS(N31,"&lt;="&amp;$D$1)*20%)+(COUNTIFS(Q31,"&lt;="&amp;$D$1)*10%)+(COUNTIFS(T31,"&lt;="&amp;$D$1)*20%)</f>
        <v>1</v>
      </c>
      <c r="G31" s="84">
        <f t="shared" ref="G31" si="117">(COUNTIFS(L31,"&lt;="&amp;$D$1)*50%)+(COUNTIFS(O31,"&lt;="&amp;$D$1)*20%)+(COUNTIFS(R31,"&lt;="&amp;$D$1)*10%)+(COUNTIFS(U31,"&lt;="&amp;$D$1)*20%)</f>
        <v>1</v>
      </c>
      <c r="H31" s="84">
        <f t="shared" ref="H31" si="118">(COUNTIFS(M31,"&lt;="&amp;$D$1)*50%)+(COUNTIFS(P31,"&lt;="&amp;$D$1)*20%)+(COUNTIFS(S31,"&lt;="&amp;$D$1)*10%)+(COUNTIFS(V31,"&lt;="&amp;$D$1)*20%)</f>
        <v>0.7</v>
      </c>
      <c r="I31" s="84">
        <f t="shared" ref="I31" si="119">H31-F31</f>
        <v>-0.30000000000000004</v>
      </c>
      <c r="J31" s="105">
        <v>1</v>
      </c>
      <c r="K31" s="85">
        <v>46157</v>
      </c>
      <c r="L31" s="85">
        <f t="shared" ref="L31" si="120">K31</f>
        <v>46157</v>
      </c>
      <c r="M31" s="85">
        <v>46223</v>
      </c>
      <c r="N31" s="85">
        <f t="shared" ref="N31" si="121">K31+42</f>
        <v>46199</v>
      </c>
      <c r="O31" s="85">
        <f t="shared" ref="O31" si="122">N31</f>
        <v>46199</v>
      </c>
      <c r="P31" s="85">
        <v>46223</v>
      </c>
      <c r="Q31" s="85">
        <f t="shared" ref="Q31" si="123">N31+42</f>
        <v>46241</v>
      </c>
      <c r="R31" s="85">
        <f t="shared" ref="R31" si="124">Q31</f>
        <v>46241</v>
      </c>
      <c r="S31" s="96"/>
      <c r="T31" s="96">
        <f t="shared" ref="T31" si="125">Q31+14</f>
        <v>46255</v>
      </c>
      <c r="U31" s="85">
        <f t="shared" ref="U31" si="126">T31</f>
        <v>46255</v>
      </c>
      <c r="V31" s="85"/>
      <c r="X31" s="183" t="str">
        <f t="shared" ca="1" si="9"/>
        <v>Completed</v>
      </c>
      <c r="Y31" s="183" t="str">
        <f t="shared" ca="1" si="10"/>
        <v>Completed</v>
      </c>
      <c r="Z31" s="183" t="str">
        <f t="shared" ca="1" si="11"/>
        <v>Overdue</v>
      </c>
      <c r="AA31" s="184" t="str">
        <f t="shared" ca="1" si="12"/>
        <v>Overdue</v>
      </c>
    </row>
    <row r="32" spans="1:27" s="64" customFormat="1" ht="11.5" x14ac:dyDescent="0.25">
      <c r="A32" s="161" t="s">
        <v>61</v>
      </c>
      <c r="B32" s="161" t="s">
        <v>70</v>
      </c>
      <c r="C32" s="161" t="s">
        <v>63</v>
      </c>
      <c r="D32" s="162" t="s">
        <v>85</v>
      </c>
      <c r="E32" s="196" t="s">
        <v>493</v>
      </c>
      <c r="F32" s="163">
        <f t="shared" si="56"/>
        <v>0.79999999999999993</v>
      </c>
      <c r="G32" s="163">
        <f t="shared" si="57"/>
        <v>0.79999999999999993</v>
      </c>
      <c r="H32" s="163">
        <f t="shared" si="58"/>
        <v>1</v>
      </c>
      <c r="I32" s="163">
        <f t="shared" si="1"/>
        <v>0.20000000000000007</v>
      </c>
      <c r="J32" s="164">
        <v>1</v>
      </c>
      <c r="K32" s="166">
        <v>46185</v>
      </c>
      <c r="L32" s="166">
        <f t="shared" si="2"/>
        <v>46185</v>
      </c>
      <c r="M32" s="165">
        <v>46220</v>
      </c>
      <c r="N32" s="166">
        <f t="shared" si="3"/>
        <v>46227</v>
      </c>
      <c r="O32" s="166">
        <f t="shared" si="4"/>
        <v>46227</v>
      </c>
      <c r="P32" s="165">
        <v>46220</v>
      </c>
      <c r="Q32" s="166">
        <f t="shared" si="5"/>
        <v>46269</v>
      </c>
      <c r="R32" s="166">
        <f t="shared" si="6"/>
        <v>46269</v>
      </c>
      <c r="S32" s="166">
        <v>46220</v>
      </c>
      <c r="T32" s="166">
        <f t="shared" si="7"/>
        <v>46283</v>
      </c>
      <c r="U32" s="166">
        <f t="shared" si="8"/>
        <v>46283</v>
      </c>
      <c r="V32" s="165">
        <v>46220</v>
      </c>
      <c r="X32" s="183" t="str">
        <f t="shared" ca="1" si="9"/>
        <v>Completed</v>
      </c>
      <c r="Y32" s="183" t="str">
        <f t="shared" ca="1" si="10"/>
        <v>Completed</v>
      </c>
      <c r="Z32" s="183" t="str">
        <f t="shared" ca="1" si="11"/>
        <v>Completed</v>
      </c>
      <c r="AA32" s="184" t="str">
        <f t="shared" ca="1" si="12"/>
        <v>Completed</v>
      </c>
    </row>
    <row r="33" spans="1:27" s="64" customFormat="1" ht="11.5" x14ac:dyDescent="0.25">
      <c r="A33" s="110" t="s">
        <v>61</v>
      </c>
      <c r="B33" s="110" t="s">
        <v>70</v>
      </c>
      <c r="C33" s="110" t="s">
        <v>63</v>
      </c>
      <c r="D33" s="129" t="s">
        <v>85</v>
      </c>
      <c r="E33" s="114" t="s">
        <v>494</v>
      </c>
      <c r="F33" s="111">
        <f t="shared" ref="F33" si="127">(COUNTIFS(K33,"&lt;="&amp;$D$1)*50%)+(COUNTIFS(N33,"&lt;="&amp;$D$1)*20%)+(COUNTIFS(Q33,"&lt;="&amp;$D$1)*10%)+(COUNTIFS(T33,"&lt;="&amp;$D$1)*20%)</f>
        <v>0.5</v>
      </c>
      <c r="G33" s="111">
        <f t="shared" ref="G33" si="128">(COUNTIFS(L33,"&lt;="&amp;$D$1)*50%)+(COUNTIFS(O33,"&lt;="&amp;$D$1)*20%)+(COUNTIFS(R33,"&lt;="&amp;$D$1)*10%)+(COUNTIFS(U33,"&lt;="&amp;$D$1)*20%)</f>
        <v>0.5</v>
      </c>
      <c r="H33" s="111">
        <f t="shared" ref="H33" si="129">(COUNTIFS(M33,"&lt;="&amp;$D$1)*50%)+(COUNTIFS(P33,"&lt;="&amp;$D$1)*20%)+(COUNTIFS(S33,"&lt;="&amp;$D$1)*10%)+(COUNTIFS(V33,"&lt;="&amp;$D$1)*20%)</f>
        <v>0.5</v>
      </c>
      <c r="I33" s="111">
        <f t="shared" ref="I33" si="130">H33-F33</f>
        <v>0</v>
      </c>
      <c r="J33" s="112">
        <v>1</v>
      </c>
      <c r="K33" s="115">
        <v>46251</v>
      </c>
      <c r="L33" s="115">
        <f t="shared" ref="L33" si="131">K33</f>
        <v>46251</v>
      </c>
      <c r="M33" s="113">
        <v>46262</v>
      </c>
      <c r="N33" s="115">
        <f t="shared" ref="N33" si="132">K33+42</f>
        <v>46293</v>
      </c>
      <c r="O33" s="115">
        <f t="shared" ref="O33" si="133">N33</f>
        <v>46293</v>
      </c>
      <c r="P33" s="113"/>
      <c r="Q33" s="115">
        <f t="shared" ref="Q33" si="134">N33+42</f>
        <v>46335</v>
      </c>
      <c r="R33" s="115">
        <f t="shared" ref="R33" si="135">Q33</f>
        <v>46335</v>
      </c>
      <c r="S33" s="115"/>
      <c r="T33" s="115">
        <f t="shared" ref="T33" si="136">Q33+14</f>
        <v>46349</v>
      </c>
      <c r="U33" s="115">
        <f t="shared" ref="U33" si="137">T33</f>
        <v>46349</v>
      </c>
      <c r="V33" s="113"/>
      <c r="X33" s="183" t="str">
        <f t="shared" ca="1" si="9"/>
        <v>Completed</v>
      </c>
      <c r="Y33" s="183" t="str">
        <f t="shared" ca="1" si="10"/>
        <v/>
      </c>
      <c r="Z33" s="183" t="str">
        <f t="shared" ca="1" si="11"/>
        <v/>
      </c>
      <c r="AA33" s="184" t="str">
        <f t="shared" ca="1" si="12"/>
        <v/>
      </c>
    </row>
    <row r="34" spans="1:27" s="64" customFormat="1" ht="11.5" x14ac:dyDescent="0.25">
      <c r="A34" s="167" t="s">
        <v>61</v>
      </c>
      <c r="B34" s="167" t="s">
        <v>73</v>
      </c>
      <c r="C34" s="167" t="s">
        <v>63</v>
      </c>
      <c r="D34" s="168" t="s">
        <v>82</v>
      </c>
      <c r="E34" s="197" t="s">
        <v>495</v>
      </c>
      <c r="F34" s="169">
        <f t="shared" si="56"/>
        <v>1</v>
      </c>
      <c r="G34" s="169">
        <f t="shared" si="57"/>
        <v>1</v>
      </c>
      <c r="H34" s="169">
        <f t="shared" si="58"/>
        <v>1</v>
      </c>
      <c r="I34" s="169">
        <f t="shared" si="1"/>
        <v>0</v>
      </c>
      <c r="J34" s="170">
        <v>1</v>
      </c>
      <c r="K34" s="171">
        <v>46171</v>
      </c>
      <c r="L34" s="171">
        <f t="shared" si="2"/>
        <v>46171</v>
      </c>
      <c r="M34" s="172">
        <v>46199</v>
      </c>
      <c r="N34" s="172">
        <f t="shared" si="3"/>
        <v>46213</v>
      </c>
      <c r="O34" s="171">
        <f t="shared" si="4"/>
        <v>46213</v>
      </c>
      <c r="P34" s="171">
        <v>46220</v>
      </c>
      <c r="Q34" s="172">
        <f t="shared" si="5"/>
        <v>46255</v>
      </c>
      <c r="R34" s="171">
        <f t="shared" si="6"/>
        <v>46255</v>
      </c>
      <c r="S34" s="172">
        <v>46220</v>
      </c>
      <c r="T34" s="172">
        <f t="shared" si="7"/>
        <v>46269</v>
      </c>
      <c r="U34" s="171">
        <f t="shared" si="8"/>
        <v>46269</v>
      </c>
      <c r="V34" s="171">
        <v>46220</v>
      </c>
      <c r="X34" s="183" t="str">
        <f t="shared" ca="1" si="9"/>
        <v>Completed</v>
      </c>
      <c r="Y34" s="183" t="str">
        <f t="shared" ca="1" si="10"/>
        <v>Completed</v>
      </c>
      <c r="Z34" s="183" t="str">
        <f t="shared" ca="1" si="11"/>
        <v>Completed</v>
      </c>
      <c r="AA34" s="184" t="str">
        <f t="shared" ca="1" si="12"/>
        <v>Completed</v>
      </c>
    </row>
    <row r="35" spans="1:27" s="64" customFormat="1" ht="11.5" x14ac:dyDescent="0.25">
      <c r="A35" s="91" t="s">
        <v>61</v>
      </c>
      <c r="B35" s="91" t="s">
        <v>73</v>
      </c>
      <c r="C35" s="91" t="s">
        <v>63</v>
      </c>
      <c r="D35" s="128" t="s">
        <v>82</v>
      </c>
      <c r="E35" s="109" t="s">
        <v>496</v>
      </c>
      <c r="F35" s="92">
        <f t="shared" ref="F35" si="138">(COUNTIFS(K35,"&lt;="&amp;$D$1)*50%)+(COUNTIFS(N35,"&lt;="&amp;$D$1)*20%)+(COUNTIFS(Q35,"&lt;="&amp;$D$1)*10%)+(COUNTIFS(T35,"&lt;="&amp;$D$1)*20%)</f>
        <v>0.7</v>
      </c>
      <c r="G35" s="92">
        <f t="shared" ref="G35" si="139">(COUNTIFS(L35,"&lt;="&amp;$D$1)*50%)+(COUNTIFS(O35,"&lt;="&amp;$D$1)*20%)+(COUNTIFS(R35,"&lt;="&amp;$D$1)*10%)+(COUNTIFS(U35,"&lt;="&amp;$D$1)*20%)</f>
        <v>0.7</v>
      </c>
      <c r="H35" s="92">
        <f t="shared" ref="H35" si="140">(COUNTIFS(M35,"&lt;="&amp;$D$1)*50%)+(COUNTIFS(P35,"&lt;="&amp;$D$1)*20%)+(COUNTIFS(S35,"&lt;="&amp;$D$1)*10%)+(COUNTIFS(V35,"&lt;="&amp;$D$1)*20%)</f>
        <v>0.7</v>
      </c>
      <c r="I35" s="92">
        <f t="shared" ref="I35" si="141">H35-F35</f>
        <v>0</v>
      </c>
      <c r="J35" s="95">
        <v>1</v>
      </c>
      <c r="K35" s="93">
        <v>46171</v>
      </c>
      <c r="L35" s="93">
        <f t="shared" ref="L35" si="142">K35</f>
        <v>46171</v>
      </c>
      <c r="M35" s="97">
        <v>46199</v>
      </c>
      <c r="N35" s="97">
        <v>46234</v>
      </c>
      <c r="O35" s="93">
        <f t="shared" ref="O35" si="143">N35</f>
        <v>46234</v>
      </c>
      <c r="P35" s="93">
        <v>46241</v>
      </c>
      <c r="Q35" s="97">
        <f t="shared" ref="Q35" si="144">N35+42</f>
        <v>46276</v>
      </c>
      <c r="R35" s="93">
        <f t="shared" ref="R35" si="145">Q35</f>
        <v>46276</v>
      </c>
      <c r="S35" s="97"/>
      <c r="T35" s="97">
        <f t="shared" ref="T35" si="146">Q35+14</f>
        <v>46290</v>
      </c>
      <c r="U35" s="93">
        <f t="shared" ref="U35" si="147">T35</f>
        <v>46290</v>
      </c>
      <c r="V35" s="93"/>
      <c r="X35" s="183" t="str">
        <f t="shared" ca="1" si="9"/>
        <v>Completed</v>
      </c>
      <c r="Y35" s="183" t="str">
        <f t="shared" ca="1" si="10"/>
        <v>Completed</v>
      </c>
      <c r="Z35" s="183" t="str">
        <f t="shared" ca="1" si="11"/>
        <v>Follow-Next Week</v>
      </c>
      <c r="AA35" s="184" t="str">
        <f t="shared" ca="1" si="12"/>
        <v/>
      </c>
    </row>
    <row r="36" spans="1:27" s="64" customFormat="1" ht="11.5" x14ac:dyDescent="0.25">
      <c r="A36" s="149" t="s">
        <v>61</v>
      </c>
      <c r="B36" s="149" t="s">
        <v>64</v>
      </c>
      <c r="C36" s="149" t="s">
        <v>63</v>
      </c>
      <c r="D36" s="150" t="s">
        <v>467</v>
      </c>
      <c r="E36" s="187" t="s">
        <v>499</v>
      </c>
      <c r="F36" s="151">
        <f t="shared" si="56"/>
        <v>0.7</v>
      </c>
      <c r="G36" s="151">
        <f t="shared" si="57"/>
        <v>0.7</v>
      </c>
      <c r="H36" s="151">
        <f t="shared" si="58"/>
        <v>1</v>
      </c>
      <c r="I36" s="151">
        <f t="shared" si="1"/>
        <v>0.30000000000000004</v>
      </c>
      <c r="J36" s="173">
        <v>1</v>
      </c>
      <c r="K36" s="153">
        <v>46220</v>
      </c>
      <c r="L36" s="153">
        <f t="shared" si="2"/>
        <v>46220</v>
      </c>
      <c r="M36" s="153">
        <v>46188</v>
      </c>
      <c r="N36" s="153">
        <f t="shared" si="3"/>
        <v>46262</v>
      </c>
      <c r="O36" s="153">
        <f t="shared" si="4"/>
        <v>46262</v>
      </c>
      <c r="P36" s="153">
        <v>46227</v>
      </c>
      <c r="Q36" s="153">
        <f t="shared" si="5"/>
        <v>46304</v>
      </c>
      <c r="R36" s="153">
        <f t="shared" si="6"/>
        <v>46304</v>
      </c>
      <c r="S36" s="153">
        <v>46227</v>
      </c>
      <c r="T36" s="154">
        <f t="shared" si="7"/>
        <v>46318</v>
      </c>
      <c r="U36" s="153">
        <f t="shared" si="8"/>
        <v>46318</v>
      </c>
      <c r="V36" s="153">
        <v>46227</v>
      </c>
      <c r="X36" s="183" t="str">
        <f t="shared" ca="1" si="9"/>
        <v>Completed</v>
      </c>
      <c r="Y36" s="183" t="str">
        <f t="shared" ca="1" si="10"/>
        <v>Completed</v>
      </c>
      <c r="Z36" s="183" t="str">
        <f t="shared" ca="1" si="11"/>
        <v>Completed</v>
      </c>
      <c r="AA36" s="184" t="str">
        <f t="shared" ca="1" si="12"/>
        <v>Completed</v>
      </c>
    </row>
    <row r="37" spans="1:27" s="64" customFormat="1" ht="11.5" x14ac:dyDescent="0.25">
      <c r="A37" s="149" t="s">
        <v>61</v>
      </c>
      <c r="B37" s="149" t="s">
        <v>64</v>
      </c>
      <c r="C37" s="149" t="s">
        <v>63</v>
      </c>
      <c r="D37" s="150" t="s">
        <v>468</v>
      </c>
      <c r="E37" s="187" t="s">
        <v>500</v>
      </c>
      <c r="F37" s="151">
        <f t="shared" si="56"/>
        <v>0.7</v>
      </c>
      <c r="G37" s="151">
        <f t="shared" si="57"/>
        <v>0.7</v>
      </c>
      <c r="H37" s="151">
        <f t="shared" si="58"/>
        <v>1</v>
      </c>
      <c r="I37" s="151">
        <f t="shared" si="1"/>
        <v>0.30000000000000004</v>
      </c>
      <c r="J37" s="173">
        <v>1</v>
      </c>
      <c r="K37" s="153">
        <v>46227</v>
      </c>
      <c r="L37" s="153">
        <f t="shared" si="2"/>
        <v>46227</v>
      </c>
      <c r="M37" s="153">
        <v>46227</v>
      </c>
      <c r="N37" s="153">
        <f t="shared" si="3"/>
        <v>46269</v>
      </c>
      <c r="O37" s="153">
        <f t="shared" si="4"/>
        <v>46269</v>
      </c>
      <c r="P37" s="153">
        <v>46227</v>
      </c>
      <c r="Q37" s="153">
        <f t="shared" si="5"/>
        <v>46311</v>
      </c>
      <c r="R37" s="153">
        <f t="shared" si="6"/>
        <v>46311</v>
      </c>
      <c r="S37" s="153">
        <v>46227</v>
      </c>
      <c r="T37" s="154">
        <f t="shared" si="7"/>
        <v>46325</v>
      </c>
      <c r="U37" s="153">
        <f t="shared" si="8"/>
        <v>46325</v>
      </c>
      <c r="V37" s="153">
        <v>46227</v>
      </c>
      <c r="X37" s="183" t="str">
        <f t="shared" ca="1" si="9"/>
        <v>Completed</v>
      </c>
      <c r="Y37" s="183" t="str">
        <f t="shared" ca="1" si="10"/>
        <v>Completed</v>
      </c>
      <c r="Z37" s="183" t="str">
        <f t="shared" ca="1" si="11"/>
        <v>Completed</v>
      </c>
      <c r="AA37" s="184" t="str">
        <f t="shared" ca="1" si="12"/>
        <v>Completed</v>
      </c>
    </row>
    <row r="38" spans="1:27" s="64" customFormat="1" ht="11.5" x14ac:dyDescent="0.25">
      <c r="A38" s="86" t="s">
        <v>61</v>
      </c>
      <c r="B38" s="86" t="s">
        <v>64</v>
      </c>
      <c r="C38" s="86" t="s">
        <v>63</v>
      </c>
      <c r="D38" s="130" t="s">
        <v>467</v>
      </c>
      <c r="E38" s="98" t="s">
        <v>502</v>
      </c>
      <c r="F38" s="87">
        <f t="shared" ref="F38:F39" si="148">(COUNTIFS(K38,"&lt;="&amp;$D$1)*50%)+(COUNTIFS(N38,"&lt;="&amp;$D$1)*20%)+(COUNTIFS(Q38,"&lt;="&amp;$D$1)*10%)+(COUNTIFS(T38,"&lt;="&amp;$D$1)*20%)</f>
        <v>0.7</v>
      </c>
      <c r="G38" s="87">
        <f t="shared" ref="G38:G39" si="149">(COUNTIFS(L38,"&lt;="&amp;$D$1)*50%)+(COUNTIFS(O38,"&lt;="&amp;$D$1)*20%)+(COUNTIFS(R38,"&lt;="&amp;$D$1)*10%)+(COUNTIFS(U38,"&lt;="&amp;$D$1)*20%)</f>
        <v>0.7</v>
      </c>
      <c r="H38" s="87">
        <f t="shared" ref="H38:H39" si="150">(COUNTIFS(M38,"&lt;="&amp;$D$1)*50%)+(COUNTIFS(P38,"&lt;="&amp;$D$1)*20%)+(COUNTIFS(S38,"&lt;="&amp;$D$1)*10%)+(COUNTIFS(V38,"&lt;="&amp;$D$1)*20%)</f>
        <v>0.7</v>
      </c>
      <c r="I38" s="87">
        <f t="shared" ref="I38:I39" si="151">H38-F38</f>
        <v>0</v>
      </c>
      <c r="J38" s="106">
        <v>1</v>
      </c>
      <c r="K38" s="88">
        <v>46220</v>
      </c>
      <c r="L38" s="88">
        <f t="shared" ref="L38:L39" si="152">K38</f>
        <v>46220</v>
      </c>
      <c r="M38" s="88">
        <v>46188</v>
      </c>
      <c r="N38" s="88">
        <f t="shared" ref="N38:N39" si="153">K38+42</f>
        <v>46262</v>
      </c>
      <c r="O38" s="88">
        <f>N38</f>
        <v>46262</v>
      </c>
      <c r="P38" s="88">
        <v>46262</v>
      </c>
      <c r="Q38" s="88">
        <f t="shared" ref="Q38:Q39" si="154">N38+42</f>
        <v>46304</v>
      </c>
      <c r="R38" s="88">
        <f t="shared" ref="R38:R39" si="155">Q38</f>
        <v>46304</v>
      </c>
      <c r="S38" s="99"/>
      <c r="T38" s="99">
        <f t="shared" ref="T38:T39" si="156">Q38+14</f>
        <v>46318</v>
      </c>
      <c r="U38" s="88">
        <f t="shared" ref="U38:U39" si="157">T38</f>
        <v>46318</v>
      </c>
      <c r="V38" s="88"/>
      <c r="X38" s="183" t="str">
        <f t="shared" ca="1" si="9"/>
        <v>Completed</v>
      </c>
      <c r="Y38" s="183" t="str">
        <f t="shared" ca="1" si="10"/>
        <v>Completed</v>
      </c>
      <c r="Z38" s="183" t="str">
        <f t="shared" ca="1" si="11"/>
        <v/>
      </c>
      <c r="AA38" s="184" t="str">
        <f t="shared" ca="1" si="12"/>
        <v/>
      </c>
    </row>
    <row r="39" spans="1:27" s="64" customFormat="1" ht="11.5" x14ac:dyDescent="0.25">
      <c r="A39" s="86" t="s">
        <v>61</v>
      </c>
      <c r="B39" s="86" t="s">
        <v>64</v>
      </c>
      <c r="C39" s="86" t="s">
        <v>63</v>
      </c>
      <c r="D39" s="130" t="s">
        <v>468</v>
      </c>
      <c r="E39" s="98" t="s">
        <v>503</v>
      </c>
      <c r="F39" s="87">
        <f t="shared" si="148"/>
        <v>0.5</v>
      </c>
      <c r="G39" s="87">
        <f t="shared" si="149"/>
        <v>0.5</v>
      </c>
      <c r="H39" s="87">
        <f t="shared" si="150"/>
        <v>0.7</v>
      </c>
      <c r="I39" s="87">
        <f t="shared" si="151"/>
        <v>0.19999999999999996</v>
      </c>
      <c r="J39" s="106">
        <v>1</v>
      </c>
      <c r="K39" s="88">
        <v>46262</v>
      </c>
      <c r="L39" s="88">
        <f t="shared" si="152"/>
        <v>46262</v>
      </c>
      <c r="M39" s="88">
        <v>46262</v>
      </c>
      <c r="N39" s="88">
        <f t="shared" si="153"/>
        <v>46304</v>
      </c>
      <c r="O39" s="88">
        <f t="shared" ref="O39" si="158">N39</f>
        <v>46304</v>
      </c>
      <c r="P39" s="203">
        <v>46269</v>
      </c>
      <c r="Q39" s="88">
        <f t="shared" si="154"/>
        <v>46346</v>
      </c>
      <c r="R39" s="88">
        <f t="shared" si="155"/>
        <v>46346</v>
      </c>
      <c r="S39" s="99"/>
      <c r="T39" s="99">
        <f t="shared" si="156"/>
        <v>46360</v>
      </c>
      <c r="U39" s="88">
        <f t="shared" si="157"/>
        <v>46360</v>
      </c>
      <c r="V39" s="88"/>
      <c r="X39" s="183" t="str">
        <f t="shared" ca="1" si="9"/>
        <v>Completed</v>
      </c>
      <c r="Y39" s="183" t="str">
        <f t="shared" ca="1" si="10"/>
        <v>Completed</v>
      </c>
      <c r="Z39" s="183" t="str">
        <f t="shared" ca="1" si="11"/>
        <v/>
      </c>
      <c r="AA39" s="184" t="str">
        <f t="shared" ca="1" si="12"/>
        <v/>
      </c>
    </row>
    <row r="40" spans="1:27" s="64" customFormat="1" ht="11.5" x14ac:dyDescent="0.25">
      <c r="A40" s="83" t="s">
        <v>61</v>
      </c>
      <c r="B40" s="83" t="s">
        <v>67</v>
      </c>
      <c r="C40" s="83" t="s">
        <v>63</v>
      </c>
      <c r="D40" s="127" t="s">
        <v>469</v>
      </c>
      <c r="E40" s="100" t="s">
        <v>86</v>
      </c>
      <c r="F40" s="84">
        <f t="shared" si="56"/>
        <v>0.79999999999999993</v>
      </c>
      <c r="G40" s="84">
        <f t="shared" si="57"/>
        <v>0.79999999999999993</v>
      </c>
      <c r="H40" s="84">
        <f t="shared" si="58"/>
        <v>1</v>
      </c>
      <c r="I40" s="84">
        <f t="shared" si="1"/>
        <v>0.20000000000000007</v>
      </c>
      <c r="J40" s="105">
        <v>2</v>
      </c>
      <c r="K40" s="85">
        <v>46178</v>
      </c>
      <c r="L40" s="85">
        <f t="shared" si="2"/>
        <v>46178</v>
      </c>
      <c r="M40" s="85">
        <v>46171</v>
      </c>
      <c r="N40" s="85">
        <f t="shared" si="3"/>
        <v>46220</v>
      </c>
      <c r="O40" s="85">
        <f t="shared" si="4"/>
        <v>46220</v>
      </c>
      <c r="P40" s="96">
        <v>46217</v>
      </c>
      <c r="Q40" s="85">
        <f t="shared" si="5"/>
        <v>46262</v>
      </c>
      <c r="R40" s="85">
        <f t="shared" si="6"/>
        <v>46262</v>
      </c>
      <c r="S40" s="96">
        <v>46255</v>
      </c>
      <c r="T40" s="96">
        <f t="shared" si="7"/>
        <v>46276</v>
      </c>
      <c r="U40" s="85">
        <f t="shared" si="8"/>
        <v>46276</v>
      </c>
      <c r="V40" s="203">
        <v>46269</v>
      </c>
      <c r="X40" s="183" t="str">
        <f t="shared" ca="1" si="9"/>
        <v>Completed</v>
      </c>
      <c r="Y40" s="183" t="str">
        <f t="shared" ca="1" si="10"/>
        <v>Completed</v>
      </c>
      <c r="Z40" s="183" t="str">
        <f t="shared" ca="1" si="11"/>
        <v>Completed</v>
      </c>
      <c r="AA40" s="184" t="str">
        <f t="shared" ca="1" si="12"/>
        <v>Completed</v>
      </c>
    </row>
    <row r="41" spans="1:27" s="64" customFormat="1" ht="11.5" x14ac:dyDescent="0.25">
      <c r="A41" s="83" t="s">
        <v>61</v>
      </c>
      <c r="B41" s="83" t="s">
        <v>67</v>
      </c>
      <c r="C41" s="83" t="s">
        <v>63</v>
      </c>
      <c r="D41" s="127" t="s">
        <v>470</v>
      </c>
      <c r="E41" s="100" t="s">
        <v>87</v>
      </c>
      <c r="F41" s="84">
        <f t="shared" si="56"/>
        <v>0.79999999999999993</v>
      </c>
      <c r="G41" s="84">
        <f t="shared" si="57"/>
        <v>0.79999999999999993</v>
      </c>
      <c r="H41" s="84">
        <f t="shared" si="58"/>
        <v>1</v>
      </c>
      <c r="I41" s="84">
        <f t="shared" si="1"/>
        <v>0.20000000000000007</v>
      </c>
      <c r="J41" s="105">
        <v>2</v>
      </c>
      <c r="K41" s="85">
        <v>46185</v>
      </c>
      <c r="L41" s="85">
        <f t="shared" si="2"/>
        <v>46185</v>
      </c>
      <c r="M41" s="85">
        <v>46171</v>
      </c>
      <c r="N41" s="85">
        <f t="shared" si="3"/>
        <v>46227</v>
      </c>
      <c r="O41" s="85">
        <f t="shared" si="4"/>
        <v>46227</v>
      </c>
      <c r="P41" s="96">
        <v>46217</v>
      </c>
      <c r="Q41" s="85">
        <f t="shared" si="5"/>
        <v>46269</v>
      </c>
      <c r="R41" s="85">
        <f t="shared" si="6"/>
        <v>46269</v>
      </c>
      <c r="S41" s="96">
        <v>46262</v>
      </c>
      <c r="T41" s="96">
        <f t="shared" si="7"/>
        <v>46283</v>
      </c>
      <c r="U41" s="85">
        <f t="shared" si="8"/>
        <v>46283</v>
      </c>
      <c r="V41" s="203">
        <v>46269</v>
      </c>
      <c r="X41" s="183" t="str">
        <f t="shared" ca="1" si="9"/>
        <v>Completed</v>
      </c>
      <c r="Y41" s="183" t="str">
        <f t="shared" ca="1" si="10"/>
        <v>Completed</v>
      </c>
      <c r="Z41" s="183" t="str">
        <f t="shared" ca="1" si="11"/>
        <v>Completed</v>
      </c>
      <c r="AA41" s="184" t="str">
        <f t="shared" ca="1" si="12"/>
        <v>Completed</v>
      </c>
    </row>
    <row r="42" spans="1:27" s="64" customFormat="1" ht="11.5" x14ac:dyDescent="0.25">
      <c r="A42" s="161" t="s">
        <v>61</v>
      </c>
      <c r="B42" s="161" t="s">
        <v>70</v>
      </c>
      <c r="C42" s="161" t="s">
        <v>63</v>
      </c>
      <c r="D42" s="162" t="s">
        <v>471</v>
      </c>
      <c r="E42" s="196" t="s">
        <v>88</v>
      </c>
      <c r="F42" s="163">
        <f t="shared" si="56"/>
        <v>0.7</v>
      </c>
      <c r="G42" s="163">
        <f t="shared" si="57"/>
        <v>0.7</v>
      </c>
      <c r="H42" s="163">
        <f t="shared" si="58"/>
        <v>1</v>
      </c>
      <c r="I42" s="163">
        <f t="shared" si="1"/>
        <v>0.30000000000000004</v>
      </c>
      <c r="J42" s="164">
        <v>1</v>
      </c>
      <c r="K42" s="165">
        <v>46206</v>
      </c>
      <c r="L42" s="165">
        <f t="shared" si="2"/>
        <v>46206</v>
      </c>
      <c r="M42" s="165">
        <v>46185</v>
      </c>
      <c r="N42" s="165">
        <f t="shared" si="3"/>
        <v>46248</v>
      </c>
      <c r="O42" s="165">
        <f t="shared" si="4"/>
        <v>46248</v>
      </c>
      <c r="P42" s="165">
        <v>46241</v>
      </c>
      <c r="Q42" s="165">
        <f t="shared" si="5"/>
        <v>46290</v>
      </c>
      <c r="R42" s="165">
        <f t="shared" si="6"/>
        <v>46290</v>
      </c>
      <c r="S42" s="165">
        <v>46241</v>
      </c>
      <c r="T42" s="166">
        <f t="shared" si="7"/>
        <v>46304</v>
      </c>
      <c r="U42" s="165">
        <f t="shared" si="8"/>
        <v>46304</v>
      </c>
      <c r="V42" s="165">
        <v>46241</v>
      </c>
      <c r="X42" s="183" t="str">
        <f t="shared" ca="1" si="9"/>
        <v>Completed</v>
      </c>
      <c r="Y42" s="183" t="str">
        <f t="shared" ca="1" si="10"/>
        <v>Completed</v>
      </c>
      <c r="Z42" s="183" t="str">
        <f t="shared" ca="1" si="11"/>
        <v>Completed</v>
      </c>
      <c r="AA42" s="184" t="str">
        <f t="shared" ca="1" si="12"/>
        <v>Completed</v>
      </c>
    </row>
    <row r="43" spans="1:27" s="64" customFormat="1" ht="11.5" x14ac:dyDescent="0.25">
      <c r="A43" s="161" t="s">
        <v>61</v>
      </c>
      <c r="B43" s="161" t="s">
        <v>70</v>
      </c>
      <c r="C43" s="161" t="s">
        <v>63</v>
      </c>
      <c r="D43" s="162" t="s">
        <v>472</v>
      </c>
      <c r="E43" s="196" t="s">
        <v>89</v>
      </c>
      <c r="F43" s="163">
        <f t="shared" si="56"/>
        <v>0.7</v>
      </c>
      <c r="G43" s="163">
        <f t="shared" si="57"/>
        <v>0.7</v>
      </c>
      <c r="H43" s="163">
        <f t="shared" si="58"/>
        <v>1</v>
      </c>
      <c r="I43" s="163">
        <f t="shared" si="1"/>
        <v>0.30000000000000004</v>
      </c>
      <c r="J43" s="164">
        <v>1</v>
      </c>
      <c r="K43" s="165">
        <v>46213</v>
      </c>
      <c r="L43" s="165">
        <f t="shared" si="2"/>
        <v>46213</v>
      </c>
      <c r="M43" s="165">
        <v>46188</v>
      </c>
      <c r="N43" s="165">
        <f t="shared" si="3"/>
        <v>46255</v>
      </c>
      <c r="O43" s="165">
        <f t="shared" si="4"/>
        <v>46255</v>
      </c>
      <c r="P43" s="165">
        <v>46241</v>
      </c>
      <c r="Q43" s="165">
        <f t="shared" si="5"/>
        <v>46297</v>
      </c>
      <c r="R43" s="165">
        <f t="shared" si="6"/>
        <v>46297</v>
      </c>
      <c r="S43" s="165">
        <v>46241</v>
      </c>
      <c r="T43" s="165">
        <f t="shared" si="7"/>
        <v>46311</v>
      </c>
      <c r="U43" s="165">
        <f t="shared" si="8"/>
        <v>46311</v>
      </c>
      <c r="V43" s="165">
        <v>46241</v>
      </c>
      <c r="X43" s="183" t="str">
        <f t="shared" ca="1" si="9"/>
        <v>Completed</v>
      </c>
      <c r="Y43" s="183" t="str">
        <f t="shared" ca="1" si="10"/>
        <v>Completed</v>
      </c>
      <c r="Z43" s="183" t="str">
        <f t="shared" ca="1" si="11"/>
        <v>Completed</v>
      </c>
      <c r="AA43" s="184" t="str">
        <f t="shared" ca="1" si="12"/>
        <v>Completed</v>
      </c>
    </row>
    <row r="44" spans="1:27" s="64" customFormat="1" ht="11.5" x14ac:dyDescent="0.25">
      <c r="A44" s="110" t="s">
        <v>61</v>
      </c>
      <c r="B44" s="110" t="s">
        <v>70</v>
      </c>
      <c r="C44" s="110" t="s">
        <v>63</v>
      </c>
      <c r="D44" s="129" t="s">
        <v>471</v>
      </c>
      <c r="E44" s="114" t="s">
        <v>88</v>
      </c>
      <c r="F44" s="111">
        <f t="shared" ref="F44:F45" si="159">(COUNTIFS(K44,"&lt;="&amp;$D$1)*50%)+(COUNTIFS(N44,"&lt;="&amp;$D$1)*20%)+(COUNTIFS(Q44,"&lt;="&amp;$D$1)*10%)+(COUNTIFS(T44,"&lt;="&amp;$D$1)*20%)</f>
        <v>0.7</v>
      </c>
      <c r="G44" s="111">
        <f t="shared" ref="G44:G45" si="160">(COUNTIFS(L44,"&lt;="&amp;$D$1)*50%)+(COUNTIFS(O44,"&lt;="&amp;$D$1)*20%)+(COUNTIFS(R44,"&lt;="&amp;$D$1)*10%)+(COUNTIFS(U44,"&lt;="&amp;$D$1)*20%)</f>
        <v>0.7</v>
      </c>
      <c r="H44" s="111">
        <f t="shared" ref="H44:H45" si="161">(COUNTIFS(M44,"&lt;="&amp;$D$1)*50%)+(COUNTIFS(P44,"&lt;="&amp;$D$1)*20%)+(COUNTIFS(S44,"&lt;="&amp;$D$1)*10%)+(COUNTIFS(V44,"&lt;="&amp;$D$1)*20%)</f>
        <v>0.7</v>
      </c>
      <c r="I44" s="111">
        <f t="shared" ref="I44:I45" si="162">H44-F44</f>
        <v>0</v>
      </c>
      <c r="J44" s="112">
        <v>1</v>
      </c>
      <c r="K44" s="113">
        <v>46206</v>
      </c>
      <c r="L44" s="113">
        <f t="shared" ref="L44:L45" si="163">K44</f>
        <v>46206</v>
      </c>
      <c r="M44" s="113">
        <v>46185</v>
      </c>
      <c r="N44" s="113">
        <f t="shared" ref="N44:N45" si="164">K44+42</f>
        <v>46248</v>
      </c>
      <c r="O44" s="113">
        <f t="shared" ref="O44:O45" si="165">N44</f>
        <v>46248</v>
      </c>
      <c r="P44" s="113">
        <v>46248</v>
      </c>
      <c r="Q44" s="113">
        <f t="shared" ref="Q44:Q45" si="166">N44+42</f>
        <v>46290</v>
      </c>
      <c r="R44" s="113">
        <f t="shared" ref="R44:R45" si="167">Q44</f>
        <v>46290</v>
      </c>
      <c r="S44" s="115"/>
      <c r="T44" s="115">
        <f t="shared" ref="T44:T45" si="168">Q44+14</f>
        <v>46304</v>
      </c>
      <c r="U44" s="113">
        <f t="shared" ref="U44:U45" si="169">T44</f>
        <v>46304</v>
      </c>
      <c r="V44" s="113"/>
      <c r="X44" s="183" t="str">
        <f t="shared" ref="X44:X45" ca="1" si="170">IF(OR(M44&lt;&gt;""),"Completed",
IF(L44="","",IF(L44&lt;TODAY(),"Overdue",
IF(AND(L44&gt;=TODAY()-WEEKDAY(TODAY(),2)+1,L44&lt;=TODAY()-WEEKDAY(TODAY(),2)+7),"Follow-This Week",
IF(AND(L44&gt;=TODAY()-WEEKDAY(TODAY(),2)+8,L44&lt;=TODAY()-WEEKDAY(TODAY(),2)+14),"Follow-Next Week","")))))</f>
        <v>Completed</v>
      </c>
      <c r="Y44" s="183" t="str">
        <f t="shared" ref="Y44:Y45" ca="1" si="171">IF(OR(P44&lt;&gt;""),"Completed",IF(O44="","",
IF(O44&lt;TODAY(),"Overdue",
IF(AND(O44&gt;=TODAY()-WEEKDAY(TODAY(),2)+1,O44&lt;=TODAY()-WEEKDAY(TODAY(),2)+7),"Follow-This Week",
IF(AND(O44&gt;=TODAY()-WEEKDAY(TODAY(),2)+8,O44&lt;=TODAY()-WEEKDAY(TODAY(),2)+14),"Follow-Next Week","")))))</f>
        <v>Completed</v>
      </c>
      <c r="Z44" s="183" t="str">
        <f t="shared" ref="Z44:Z45" ca="1" si="172">IF(OR(S44&lt;&gt;""),"Completed",IF(R44="","",
IF(R44&lt;TODAY(),"Overdue",
IF(AND(R44&gt;=TODAY()-WEEKDAY(TODAY(),2)+1,R44&lt;=TODAY()-WEEKDAY(TODAY(),2)+7),"Follow-This Week",
IF(AND(R44&gt;=TODAY()-WEEKDAY(TODAY(),2)+8,R44&lt;=TODAY()-WEEKDAY(TODAY(),2)+14),"Follow-Next Week","")))))</f>
        <v/>
      </c>
      <c r="AA44" s="184" t="str">
        <f t="shared" ref="AA44:AA45" ca="1" si="173">IF(OR(V44&lt;&gt;""),"Completed",IF(U44="","",
IF(U44&lt;TODAY(),"Overdue",
IF(AND(U44&gt;=TODAY()-WEEKDAY(TODAY(),2)+1,U44&lt;=TODAY()-WEEKDAY(TODAY(),2)+7),"Follow-This Week",
IF(AND(U44&gt;=TODAY()-WEEKDAY(TODAY(),2)+8,U44&lt;=TODAY()-WEEKDAY(TODAY(),2)+14),"Follow-Next Week","")))))</f>
        <v/>
      </c>
    </row>
    <row r="45" spans="1:27" s="64" customFormat="1" ht="11.5" x14ac:dyDescent="0.25">
      <c r="A45" s="110" t="s">
        <v>61</v>
      </c>
      <c r="B45" s="110" t="s">
        <v>70</v>
      </c>
      <c r="C45" s="110" t="s">
        <v>63</v>
      </c>
      <c r="D45" s="129" t="s">
        <v>472</v>
      </c>
      <c r="E45" s="114" t="s">
        <v>89</v>
      </c>
      <c r="F45" s="111">
        <f t="shared" si="159"/>
        <v>0.7</v>
      </c>
      <c r="G45" s="111">
        <f t="shared" si="160"/>
        <v>0.7</v>
      </c>
      <c r="H45" s="111">
        <f t="shared" si="161"/>
        <v>0.7</v>
      </c>
      <c r="I45" s="111">
        <f t="shared" si="162"/>
        <v>0</v>
      </c>
      <c r="J45" s="112">
        <v>1</v>
      </c>
      <c r="K45" s="113">
        <v>46213</v>
      </c>
      <c r="L45" s="113">
        <f t="shared" si="163"/>
        <v>46213</v>
      </c>
      <c r="M45" s="113">
        <v>46188</v>
      </c>
      <c r="N45" s="113">
        <f t="shared" si="164"/>
        <v>46255</v>
      </c>
      <c r="O45" s="113">
        <f t="shared" si="165"/>
        <v>46255</v>
      </c>
      <c r="P45" s="113">
        <v>46248</v>
      </c>
      <c r="Q45" s="113">
        <f t="shared" si="166"/>
        <v>46297</v>
      </c>
      <c r="R45" s="113">
        <f t="shared" si="167"/>
        <v>46297</v>
      </c>
      <c r="S45" s="113"/>
      <c r="T45" s="113">
        <f t="shared" si="168"/>
        <v>46311</v>
      </c>
      <c r="U45" s="113">
        <f t="shared" si="169"/>
        <v>46311</v>
      </c>
      <c r="V45" s="113"/>
      <c r="X45" s="183" t="str">
        <f t="shared" ca="1" si="170"/>
        <v>Completed</v>
      </c>
      <c r="Y45" s="183" t="str">
        <f t="shared" ca="1" si="171"/>
        <v>Completed</v>
      </c>
      <c r="Z45" s="183" t="str">
        <f t="shared" ca="1" si="172"/>
        <v/>
      </c>
      <c r="AA45" s="184" t="str">
        <f t="shared" ca="1" si="173"/>
        <v/>
      </c>
    </row>
    <row r="46" spans="1:27" s="64" customFormat="1" ht="11.5" x14ac:dyDescent="0.25">
      <c r="A46" s="91" t="s">
        <v>61</v>
      </c>
      <c r="B46" s="91" t="s">
        <v>73</v>
      </c>
      <c r="C46" s="91" t="s">
        <v>63</v>
      </c>
      <c r="D46" s="128" t="s">
        <v>473</v>
      </c>
      <c r="E46" s="109" t="s">
        <v>90</v>
      </c>
      <c r="F46" s="92">
        <f t="shared" si="56"/>
        <v>0.7</v>
      </c>
      <c r="G46" s="92">
        <f t="shared" si="57"/>
        <v>0.7</v>
      </c>
      <c r="H46" s="92">
        <f t="shared" si="58"/>
        <v>0.7</v>
      </c>
      <c r="I46" s="92">
        <f t="shared" si="1"/>
        <v>0</v>
      </c>
      <c r="J46" s="95">
        <v>2</v>
      </c>
      <c r="K46" s="93">
        <v>46192</v>
      </c>
      <c r="L46" s="93">
        <f t="shared" si="2"/>
        <v>46192</v>
      </c>
      <c r="M46" s="93">
        <v>46178</v>
      </c>
      <c r="N46" s="93">
        <f t="shared" si="3"/>
        <v>46234</v>
      </c>
      <c r="O46" s="93">
        <f t="shared" si="4"/>
        <v>46234</v>
      </c>
      <c r="P46" s="97">
        <v>46227</v>
      </c>
      <c r="Q46" s="93">
        <f t="shared" si="5"/>
        <v>46276</v>
      </c>
      <c r="R46" s="93">
        <f t="shared" si="6"/>
        <v>46276</v>
      </c>
      <c r="S46" s="93"/>
      <c r="T46" s="93">
        <f t="shared" si="7"/>
        <v>46290</v>
      </c>
      <c r="U46" s="93">
        <f t="shared" si="8"/>
        <v>46290</v>
      </c>
      <c r="V46" s="93"/>
      <c r="X46" s="183" t="str">
        <f t="shared" ca="1" si="9"/>
        <v>Completed</v>
      </c>
      <c r="Y46" s="183" t="str">
        <f t="shared" ca="1" si="10"/>
        <v>Completed</v>
      </c>
      <c r="Z46" s="183" t="str">
        <f t="shared" ca="1" si="11"/>
        <v>Follow-Next Week</v>
      </c>
      <c r="AA46" s="184" t="str">
        <f t="shared" ca="1" si="12"/>
        <v/>
      </c>
    </row>
    <row r="47" spans="1:27" s="64" customFormat="1" ht="11.5" x14ac:dyDescent="0.25">
      <c r="A47" s="91" t="s">
        <v>61</v>
      </c>
      <c r="B47" s="91" t="s">
        <v>73</v>
      </c>
      <c r="C47" s="91" t="s">
        <v>63</v>
      </c>
      <c r="D47" s="128" t="s">
        <v>474</v>
      </c>
      <c r="E47" s="109" t="s">
        <v>91</v>
      </c>
      <c r="F47" s="92">
        <f t="shared" si="56"/>
        <v>0.7</v>
      </c>
      <c r="G47" s="92">
        <f t="shared" si="57"/>
        <v>0.7</v>
      </c>
      <c r="H47" s="92">
        <f t="shared" si="58"/>
        <v>0.7</v>
      </c>
      <c r="I47" s="92">
        <f t="shared" si="1"/>
        <v>0</v>
      </c>
      <c r="J47" s="95">
        <v>2</v>
      </c>
      <c r="K47" s="93">
        <v>46199</v>
      </c>
      <c r="L47" s="93">
        <f t="shared" si="2"/>
        <v>46199</v>
      </c>
      <c r="M47" s="93">
        <v>46181</v>
      </c>
      <c r="N47" s="93">
        <f t="shared" si="3"/>
        <v>46241</v>
      </c>
      <c r="O47" s="93">
        <f t="shared" si="4"/>
        <v>46241</v>
      </c>
      <c r="P47" s="97">
        <v>46227</v>
      </c>
      <c r="Q47" s="93">
        <f t="shared" si="5"/>
        <v>46283</v>
      </c>
      <c r="R47" s="93">
        <f t="shared" si="6"/>
        <v>46283</v>
      </c>
      <c r="S47" s="93"/>
      <c r="T47" s="93">
        <f t="shared" si="7"/>
        <v>46297</v>
      </c>
      <c r="U47" s="93">
        <f t="shared" si="8"/>
        <v>46297</v>
      </c>
      <c r="V47" s="93"/>
      <c r="X47" s="183" t="str">
        <f t="shared" ca="1" si="9"/>
        <v>Completed</v>
      </c>
      <c r="Y47" s="183" t="str">
        <f t="shared" ca="1" si="10"/>
        <v>Completed</v>
      </c>
      <c r="Z47" s="183" t="str">
        <f t="shared" ca="1" si="11"/>
        <v/>
      </c>
      <c r="AA47" s="184" t="str">
        <f t="shared" ca="1" si="12"/>
        <v/>
      </c>
    </row>
    <row r="48" spans="1:27" s="64" customFormat="1" ht="11.5" x14ac:dyDescent="0.25">
      <c r="A48" s="140" t="s">
        <v>61</v>
      </c>
      <c r="B48" s="140" t="s">
        <v>62</v>
      </c>
      <c r="C48" s="189" t="s">
        <v>63</v>
      </c>
      <c r="D48" s="190" t="s">
        <v>270</v>
      </c>
      <c r="E48" s="191" t="s">
        <v>517</v>
      </c>
      <c r="F48" s="192">
        <f t="shared" si="56"/>
        <v>1</v>
      </c>
      <c r="G48" s="192">
        <f>(COUNTIFS(L48,"&lt;="&amp;$D$1)*50%)+(COUNTIFS(O48,"&lt;="&amp;$D$1)*20%)+(COUNTIFS(R48,"&lt;="&amp;$D$1)*10%)+(COUNTIFS(U48,"&lt;="&amp;$D$1)*20%)</f>
        <v>1</v>
      </c>
      <c r="H48" s="192">
        <f t="shared" si="58"/>
        <v>1</v>
      </c>
      <c r="I48" s="192">
        <f t="shared" si="1"/>
        <v>0</v>
      </c>
      <c r="J48" s="193">
        <v>1.2</v>
      </c>
      <c r="K48" s="144">
        <v>46164</v>
      </c>
      <c r="L48" s="194">
        <f t="shared" si="2"/>
        <v>46164</v>
      </c>
      <c r="M48" s="144">
        <v>46202</v>
      </c>
      <c r="N48" s="148">
        <f t="shared" si="3"/>
        <v>46206</v>
      </c>
      <c r="O48" s="144">
        <f t="shared" si="4"/>
        <v>46206</v>
      </c>
      <c r="P48" s="144">
        <v>46241</v>
      </c>
      <c r="Q48" s="148">
        <f t="shared" si="5"/>
        <v>46248</v>
      </c>
      <c r="R48" s="194">
        <f t="shared" si="6"/>
        <v>46248</v>
      </c>
      <c r="S48" s="148">
        <v>46241</v>
      </c>
      <c r="T48" s="148">
        <f t="shared" si="7"/>
        <v>46262</v>
      </c>
      <c r="U48" s="194">
        <f t="shared" si="8"/>
        <v>46262</v>
      </c>
      <c r="V48" s="144">
        <v>46241</v>
      </c>
      <c r="X48" s="183" t="str">
        <f t="shared" ca="1" si="9"/>
        <v>Completed</v>
      </c>
      <c r="Y48" s="183" t="str">
        <f t="shared" ca="1" si="10"/>
        <v>Completed</v>
      </c>
      <c r="Z48" s="183" t="str">
        <f t="shared" ca="1" si="11"/>
        <v>Completed</v>
      </c>
      <c r="AA48" s="184" t="str">
        <f t="shared" ca="1" si="12"/>
        <v>Completed</v>
      </c>
    </row>
    <row r="49" spans="1:27" s="64" customFormat="1" ht="11.5" x14ac:dyDescent="0.25">
      <c r="A49" s="70" t="s">
        <v>61</v>
      </c>
      <c r="B49" s="70" t="s">
        <v>62</v>
      </c>
      <c r="C49" s="65" t="s">
        <v>63</v>
      </c>
      <c r="D49" s="82" t="s">
        <v>270</v>
      </c>
      <c r="E49" s="80" t="s">
        <v>518</v>
      </c>
      <c r="F49" s="66">
        <f t="shared" ref="F49" si="174">(COUNTIFS(K49,"&lt;="&amp;$D$1)*50%)+(COUNTIFS(N49,"&lt;="&amp;$D$1)*20%)+(COUNTIFS(Q49,"&lt;="&amp;$D$1)*10%)+(COUNTIFS(T49,"&lt;="&amp;$D$1)*20%)</f>
        <v>1</v>
      </c>
      <c r="G49" s="66">
        <f>(COUNTIFS(L49,"&lt;="&amp;$D$1)*50%)+(COUNTIFS(O49,"&lt;="&amp;$D$1)*20%)+(COUNTIFS(R49,"&lt;="&amp;$D$1)*10%)+(COUNTIFS(U49,"&lt;="&amp;$D$1)*20%)</f>
        <v>1</v>
      </c>
      <c r="H49" s="66">
        <f t="shared" ref="H49" si="175">(COUNTIFS(M49,"&lt;="&amp;$D$1)*50%)+(COUNTIFS(P49,"&lt;="&amp;$D$1)*20%)+(COUNTIFS(S49,"&lt;="&amp;$D$1)*10%)+(COUNTIFS(V49,"&lt;="&amp;$D$1)*20%)</f>
        <v>0.7</v>
      </c>
      <c r="I49" s="66">
        <f t="shared" ref="I49" si="176">H49-F49</f>
        <v>-0.30000000000000004</v>
      </c>
      <c r="J49" s="71">
        <v>0.8</v>
      </c>
      <c r="K49" s="72">
        <v>46164</v>
      </c>
      <c r="L49" s="68">
        <f t="shared" ref="L49" si="177">K49</f>
        <v>46164</v>
      </c>
      <c r="M49" s="72">
        <v>46202</v>
      </c>
      <c r="N49" s="74">
        <f t="shared" ref="N49" si="178">K49+42</f>
        <v>46206</v>
      </c>
      <c r="O49" s="72">
        <f t="shared" ref="O49" si="179">N49</f>
        <v>46206</v>
      </c>
      <c r="P49" s="72">
        <v>46262</v>
      </c>
      <c r="Q49" s="74">
        <f t="shared" ref="Q49" si="180">N49+42</f>
        <v>46248</v>
      </c>
      <c r="R49" s="68">
        <f t="shared" ref="R49" si="181">Q49</f>
        <v>46248</v>
      </c>
      <c r="S49" s="74"/>
      <c r="T49" s="74">
        <f t="shared" ref="T49" si="182">Q49+14</f>
        <v>46262</v>
      </c>
      <c r="U49" s="68">
        <f t="shared" ref="U49" si="183">T49</f>
        <v>46262</v>
      </c>
      <c r="V49" s="72"/>
      <c r="X49" s="183" t="str">
        <f t="shared" ref="X49" ca="1" si="184">IF(OR(M49&lt;&gt;""),"Completed",
IF(L49="","",IF(L49&lt;TODAY(),"Overdue",
IF(AND(L49&gt;=TODAY()-WEEKDAY(TODAY(),2)+1,L49&lt;=TODAY()-WEEKDAY(TODAY(),2)+7),"Follow-This Week",
IF(AND(L49&gt;=TODAY()-WEEKDAY(TODAY(),2)+8,L49&lt;=TODAY()-WEEKDAY(TODAY(),2)+14),"Follow-Next Week","")))))</f>
        <v>Completed</v>
      </c>
      <c r="Y49" s="183" t="str">
        <f t="shared" ref="Y49" ca="1" si="185">IF(OR(P49&lt;&gt;""),"Completed",IF(O49="","",
IF(O49&lt;TODAY(),"Overdue",
IF(AND(O49&gt;=TODAY()-WEEKDAY(TODAY(),2)+1,O49&lt;=TODAY()-WEEKDAY(TODAY(),2)+7),"Follow-This Week",
IF(AND(O49&gt;=TODAY()-WEEKDAY(TODAY(),2)+8,O49&lt;=TODAY()-WEEKDAY(TODAY(),2)+14),"Follow-Next Week","")))))</f>
        <v>Completed</v>
      </c>
      <c r="Z49" s="183" t="str">
        <f t="shared" ref="Z49" ca="1" si="186">IF(OR(S49&lt;&gt;""),"Completed",IF(R49="","",
IF(R49&lt;TODAY(),"Overdue",
IF(AND(R49&gt;=TODAY()-WEEKDAY(TODAY(),2)+1,R49&lt;=TODAY()-WEEKDAY(TODAY(),2)+7),"Follow-This Week",
IF(AND(R49&gt;=TODAY()-WEEKDAY(TODAY(),2)+8,R49&lt;=TODAY()-WEEKDAY(TODAY(),2)+14),"Follow-Next Week","")))))</f>
        <v>Overdue</v>
      </c>
      <c r="AA49" s="184" t="str">
        <f t="shared" ref="AA49" ca="1" si="187">IF(OR(V49&lt;&gt;""),"Completed",IF(U49="","",
IF(U49&lt;TODAY(),"Overdue",
IF(AND(U49&gt;=TODAY()-WEEKDAY(TODAY(),2)+1,U49&lt;=TODAY()-WEEKDAY(TODAY(),2)+7),"Follow-This Week",
IF(AND(U49&gt;=TODAY()-WEEKDAY(TODAY(),2)+8,U49&lt;=TODAY()-WEEKDAY(TODAY(),2)+14),"Follow-Next Week","")))))</f>
        <v>Overdue</v>
      </c>
    </row>
    <row r="50" spans="1:27" s="64" customFormat="1" ht="11.5" x14ac:dyDescent="0.25">
      <c r="A50" s="140" t="s">
        <v>61</v>
      </c>
      <c r="B50" s="140" t="s">
        <v>62</v>
      </c>
      <c r="C50" s="189" t="s">
        <v>63</v>
      </c>
      <c r="D50" s="190" t="s">
        <v>253</v>
      </c>
      <c r="E50" s="191" t="s">
        <v>533</v>
      </c>
      <c r="F50" s="192">
        <f t="shared" si="56"/>
        <v>1</v>
      </c>
      <c r="G50" s="192">
        <f>(COUNTIFS(L50,"&lt;="&amp;$D$1)*50%)+(COUNTIFS(O50,"&lt;="&amp;$D$1)*20%)+(COUNTIFS(R50,"&lt;="&amp;$D$1)*10%)+(COUNTIFS(U50,"&lt;="&amp;$D$1)*20%)</f>
        <v>1</v>
      </c>
      <c r="H50" s="192">
        <f t="shared" si="58"/>
        <v>1</v>
      </c>
      <c r="I50" s="192">
        <f t="shared" si="1"/>
        <v>0</v>
      </c>
      <c r="J50" s="202">
        <v>1</v>
      </c>
      <c r="K50" s="144">
        <v>46171</v>
      </c>
      <c r="L50" s="194">
        <f t="shared" si="2"/>
        <v>46171</v>
      </c>
      <c r="M50" s="148">
        <v>46188</v>
      </c>
      <c r="N50" s="148">
        <f t="shared" si="3"/>
        <v>46213</v>
      </c>
      <c r="O50" s="144">
        <f t="shared" si="4"/>
        <v>46213</v>
      </c>
      <c r="P50" s="148">
        <v>46227</v>
      </c>
      <c r="Q50" s="148">
        <f t="shared" si="5"/>
        <v>46255</v>
      </c>
      <c r="R50" s="194">
        <f t="shared" si="6"/>
        <v>46255</v>
      </c>
      <c r="S50" s="148">
        <v>46269</v>
      </c>
      <c r="T50" s="148">
        <f t="shared" si="7"/>
        <v>46269</v>
      </c>
      <c r="U50" s="194">
        <f t="shared" si="8"/>
        <v>46269</v>
      </c>
      <c r="V50" s="144">
        <v>46269</v>
      </c>
      <c r="X50" s="183" t="str">
        <f t="shared" ca="1" si="9"/>
        <v>Completed</v>
      </c>
      <c r="Y50" s="183" t="str">
        <f t="shared" ca="1" si="10"/>
        <v>Completed</v>
      </c>
      <c r="Z50" s="183" t="str">
        <f t="shared" ca="1" si="11"/>
        <v>Completed</v>
      </c>
      <c r="AA50" s="184" t="str">
        <f t="shared" ca="1" si="12"/>
        <v>Completed</v>
      </c>
    </row>
    <row r="51" spans="1:27" s="64" customFormat="1" ht="11.5" x14ac:dyDescent="0.25">
      <c r="A51" s="140" t="s">
        <v>61</v>
      </c>
      <c r="B51" s="140" t="s">
        <v>62</v>
      </c>
      <c r="C51" s="189" t="s">
        <v>63</v>
      </c>
      <c r="D51" s="190" t="s">
        <v>261</v>
      </c>
      <c r="E51" s="191" t="s">
        <v>534</v>
      </c>
      <c r="F51" s="192">
        <f t="shared" si="56"/>
        <v>0.79999999999999993</v>
      </c>
      <c r="G51" s="192">
        <f t="shared" si="57"/>
        <v>0.79999999999999993</v>
      </c>
      <c r="H51" s="192">
        <f t="shared" si="58"/>
        <v>1</v>
      </c>
      <c r="I51" s="192">
        <f t="shared" si="1"/>
        <v>0.20000000000000007</v>
      </c>
      <c r="J51" s="198">
        <v>1</v>
      </c>
      <c r="K51" s="148">
        <v>46178</v>
      </c>
      <c r="L51" s="194">
        <f t="shared" si="2"/>
        <v>46178</v>
      </c>
      <c r="M51" s="144">
        <v>46202</v>
      </c>
      <c r="N51" s="148">
        <f t="shared" si="3"/>
        <v>46220</v>
      </c>
      <c r="O51" s="148">
        <f t="shared" si="4"/>
        <v>46220</v>
      </c>
      <c r="P51" s="148">
        <v>46204</v>
      </c>
      <c r="Q51" s="148">
        <f t="shared" si="5"/>
        <v>46262</v>
      </c>
      <c r="R51" s="148">
        <f t="shared" si="6"/>
        <v>46262</v>
      </c>
      <c r="S51" s="148">
        <v>46269</v>
      </c>
      <c r="T51" s="148">
        <f t="shared" si="7"/>
        <v>46276</v>
      </c>
      <c r="U51" s="148">
        <f t="shared" si="8"/>
        <v>46276</v>
      </c>
      <c r="V51" s="144">
        <v>46269</v>
      </c>
      <c r="X51" s="183" t="str">
        <f t="shared" ca="1" si="9"/>
        <v>Completed</v>
      </c>
      <c r="Y51" s="183" t="str">
        <f t="shared" ca="1" si="10"/>
        <v>Completed</v>
      </c>
      <c r="Z51" s="183" t="str">
        <f t="shared" ca="1" si="11"/>
        <v>Completed</v>
      </c>
      <c r="AA51" s="184" t="str">
        <f t="shared" ca="1" si="12"/>
        <v>Completed</v>
      </c>
    </row>
    <row r="52" spans="1:27" s="64" customFormat="1" ht="11.5" x14ac:dyDescent="0.25">
      <c r="A52" s="70" t="s">
        <v>61</v>
      </c>
      <c r="B52" s="70" t="s">
        <v>62</v>
      </c>
      <c r="C52" s="65" t="s">
        <v>63</v>
      </c>
      <c r="D52" s="82" t="s">
        <v>253</v>
      </c>
      <c r="E52" s="80" t="s">
        <v>531</v>
      </c>
      <c r="F52" s="66">
        <f t="shared" ref="F52:F53" si="188">(COUNTIFS(K52,"&lt;="&amp;$D$1)*50%)+(COUNTIFS(N52,"&lt;="&amp;$D$1)*20%)+(COUNTIFS(Q52,"&lt;="&amp;$D$1)*10%)+(COUNTIFS(T52,"&lt;="&amp;$D$1)*20%)</f>
        <v>1</v>
      </c>
      <c r="G52" s="66">
        <f>(COUNTIFS(L52,"&lt;="&amp;$D$1)*50%)+(COUNTIFS(O52,"&lt;="&amp;$D$1)*20%)+(COUNTIFS(R52,"&lt;="&amp;$D$1)*10%)+(COUNTIFS(U52,"&lt;="&amp;$D$1)*20%)</f>
        <v>1</v>
      </c>
      <c r="H52" s="66">
        <f t="shared" ref="H52:H53" si="189">(COUNTIFS(M52,"&lt;="&amp;$D$1)*50%)+(COUNTIFS(P52,"&lt;="&amp;$D$1)*20%)+(COUNTIFS(S52,"&lt;="&amp;$D$1)*10%)+(COUNTIFS(V52,"&lt;="&amp;$D$1)*20%)</f>
        <v>0.7</v>
      </c>
      <c r="I52" s="66">
        <f t="shared" ref="I52:I53" si="190">H52-F52</f>
        <v>-0.30000000000000004</v>
      </c>
      <c r="J52" s="67">
        <v>1</v>
      </c>
      <c r="K52" s="72">
        <v>46171</v>
      </c>
      <c r="L52" s="68">
        <f t="shared" ref="L52:L53" si="191">K52</f>
        <v>46171</v>
      </c>
      <c r="M52" s="74">
        <v>46188</v>
      </c>
      <c r="N52" s="74">
        <f t="shared" ref="N52:N53" si="192">K52+42</f>
        <v>46213</v>
      </c>
      <c r="O52" s="72">
        <f t="shared" ref="O52:O53" si="193">N52</f>
        <v>46213</v>
      </c>
      <c r="P52" s="74">
        <v>46227</v>
      </c>
      <c r="Q52" s="74">
        <f t="shared" ref="Q52:Q53" si="194">N52+42</f>
        <v>46255</v>
      </c>
      <c r="R52" s="68">
        <f t="shared" ref="R52:R53" si="195">Q52</f>
        <v>46255</v>
      </c>
      <c r="S52" s="74"/>
      <c r="T52" s="74">
        <f t="shared" ref="T52:T53" si="196">Q52+14</f>
        <v>46269</v>
      </c>
      <c r="U52" s="68">
        <f t="shared" ref="U52:U53" si="197">T52</f>
        <v>46269</v>
      </c>
      <c r="V52" s="72"/>
      <c r="X52" s="183" t="str">
        <f t="shared" ref="X52:X53" ca="1" si="198">IF(OR(M52&lt;&gt;""),"Completed",
IF(L52="","",IF(L52&lt;TODAY(),"Overdue",
IF(AND(L52&gt;=TODAY()-WEEKDAY(TODAY(),2)+1,L52&lt;=TODAY()-WEEKDAY(TODAY(),2)+7),"Follow-This Week",
IF(AND(L52&gt;=TODAY()-WEEKDAY(TODAY(),2)+8,L52&lt;=TODAY()-WEEKDAY(TODAY(),2)+14),"Follow-Next Week","")))))</f>
        <v>Completed</v>
      </c>
      <c r="Y52" s="183" t="str">
        <f t="shared" ref="Y52:Y53" ca="1" si="199">IF(OR(P52&lt;&gt;""),"Completed",IF(O52="","",
IF(O52&lt;TODAY(),"Overdue",
IF(AND(O52&gt;=TODAY()-WEEKDAY(TODAY(),2)+1,O52&lt;=TODAY()-WEEKDAY(TODAY(),2)+7),"Follow-This Week",
IF(AND(O52&gt;=TODAY()-WEEKDAY(TODAY(),2)+8,O52&lt;=TODAY()-WEEKDAY(TODAY(),2)+14),"Follow-Next Week","")))))</f>
        <v>Completed</v>
      </c>
      <c r="Z52" s="183" t="str">
        <f t="shared" ref="Z52:Z53" ca="1" si="200">IF(OR(S52&lt;&gt;""),"Completed",IF(R52="","",
IF(R52&lt;TODAY(),"Overdue",
IF(AND(R52&gt;=TODAY()-WEEKDAY(TODAY(),2)+1,R52&lt;=TODAY()-WEEKDAY(TODAY(),2)+7),"Follow-This Week",
IF(AND(R52&gt;=TODAY()-WEEKDAY(TODAY(),2)+8,R52&lt;=TODAY()-WEEKDAY(TODAY(),2)+14),"Follow-Next Week","")))))</f>
        <v>Overdue</v>
      </c>
      <c r="AA52" s="184" t="str">
        <f t="shared" ref="AA52:AA53" ca="1" si="201">IF(OR(V52&lt;&gt;""),"Completed",IF(U52="","",
IF(U52&lt;TODAY(),"Overdue",
IF(AND(U52&gt;=TODAY()-WEEKDAY(TODAY(),2)+1,U52&lt;=TODAY()-WEEKDAY(TODAY(),2)+7),"Follow-This Week",
IF(AND(U52&gt;=TODAY()-WEEKDAY(TODAY(),2)+8,U52&lt;=TODAY()-WEEKDAY(TODAY(),2)+14),"Follow-Next Week","")))))</f>
        <v>Overdue</v>
      </c>
    </row>
    <row r="53" spans="1:27" s="64" customFormat="1" ht="11.5" x14ac:dyDescent="0.25">
      <c r="A53" s="70" t="s">
        <v>61</v>
      </c>
      <c r="B53" s="70" t="s">
        <v>62</v>
      </c>
      <c r="C53" s="65" t="s">
        <v>63</v>
      </c>
      <c r="D53" s="82" t="s">
        <v>261</v>
      </c>
      <c r="E53" s="80" t="s">
        <v>532</v>
      </c>
      <c r="F53" s="66">
        <f t="shared" si="188"/>
        <v>0.79999999999999993</v>
      </c>
      <c r="G53" s="66">
        <f t="shared" ref="G53" si="202">(COUNTIFS(L53,"&lt;="&amp;$D$1)*50%)+(COUNTIFS(O53,"&lt;="&amp;$D$1)*20%)+(COUNTIFS(R53,"&lt;="&amp;$D$1)*10%)+(COUNTIFS(U53,"&lt;="&amp;$D$1)*20%)</f>
        <v>0.79999999999999993</v>
      </c>
      <c r="H53" s="66">
        <f t="shared" si="189"/>
        <v>0.7</v>
      </c>
      <c r="I53" s="66">
        <f t="shared" si="190"/>
        <v>-9.9999999999999978E-2</v>
      </c>
      <c r="J53" s="89">
        <v>1</v>
      </c>
      <c r="K53" s="74">
        <v>46178</v>
      </c>
      <c r="L53" s="68">
        <f t="shared" si="191"/>
        <v>46178</v>
      </c>
      <c r="M53" s="72">
        <v>46202</v>
      </c>
      <c r="N53" s="74">
        <f t="shared" si="192"/>
        <v>46220</v>
      </c>
      <c r="O53" s="74">
        <f t="shared" si="193"/>
        <v>46220</v>
      </c>
      <c r="P53" s="74">
        <v>46204</v>
      </c>
      <c r="Q53" s="74">
        <f t="shared" si="194"/>
        <v>46262</v>
      </c>
      <c r="R53" s="74">
        <f t="shared" si="195"/>
        <v>46262</v>
      </c>
      <c r="S53" s="74"/>
      <c r="T53" s="74">
        <f t="shared" si="196"/>
        <v>46276</v>
      </c>
      <c r="U53" s="74">
        <f t="shared" si="197"/>
        <v>46276</v>
      </c>
      <c r="V53" s="72"/>
      <c r="X53" s="183" t="str">
        <f t="shared" ca="1" si="198"/>
        <v>Completed</v>
      </c>
      <c r="Y53" s="183" t="str">
        <f t="shared" ca="1" si="199"/>
        <v>Completed</v>
      </c>
      <c r="Z53" s="183" t="str">
        <f t="shared" ca="1" si="200"/>
        <v>Overdue</v>
      </c>
      <c r="AA53" s="184" t="str">
        <f t="shared" ca="1" si="201"/>
        <v>Follow-Next Week</v>
      </c>
    </row>
    <row r="54" spans="1:27" s="64" customFormat="1" ht="11.5" x14ac:dyDescent="0.25">
      <c r="A54" s="70" t="s">
        <v>61</v>
      </c>
      <c r="B54" s="70" t="s">
        <v>62</v>
      </c>
      <c r="C54" s="65" t="s">
        <v>63</v>
      </c>
      <c r="D54" s="82" t="s">
        <v>262</v>
      </c>
      <c r="E54" s="132" t="s">
        <v>245</v>
      </c>
      <c r="F54" s="66">
        <f t="shared" ref="F54:F59" si="203">(COUNTIFS(K54,"&lt;="&amp;$D$1)*50%)+(COUNTIFS(N54,"&lt;="&amp;$D$1)*20%)+(COUNTIFS(Q54,"&lt;="&amp;$D$1)*10%)+(COUNTIFS(T54,"&lt;="&amp;$D$1)*20%)</f>
        <v>1</v>
      </c>
      <c r="G54" s="66">
        <f t="shared" ref="G54:G59" si="204">(COUNTIFS(L54,"&lt;="&amp;$D$1)*50%)+(COUNTIFS(O54,"&lt;="&amp;$D$1)*20%)+(COUNTIFS(R54,"&lt;="&amp;$D$1)*10%)+(COUNTIFS(U54,"&lt;="&amp;$D$1)*20%)</f>
        <v>1</v>
      </c>
      <c r="H54" s="66">
        <f t="shared" ref="H54:H59" si="205">(COUNTIFS(M54,"&lt;="&amp;$D$1)*50%)+(COUNTIFS(P54,"&lt;="&amp;$D$1)*20%)+(COUNTIFS(S54,"&lt;="&amp;$D$1)*10%)+(COUNTIFS(V54,"&lt;="&amp;$D$1)*20%)</f>
        <v>0.79999999999999993</v>
      </c>
      <c r="I54" s="66">
        <f t="shared" ref="I54:I59" si="206">H54-F54</f>
        <v>-0.20000000000000007</v>
      </c>
      <c r="J54" s="89">
        <v>1.5</v>
      </c>
      <c r="K54" s="74">
        <v>46122</v>
      </c>
      <c r="L54" s="68">
        <f t="shared" si="2"/>
        <v>46122</v>
      </c>
      <c r="M54" s="72">
        <v>46122</v>
      </c>
      <c r="N54" s="74">
        <f t="shared" ref="N54:N59" si="207">K54+42</f>
        <v>46164</v>
      </c>
      <c r="O54" s="68">
        <f t="shared" ref="O54:O59" si="208">N54</f>
        <v>46164</v>
      </c>
      <c r="P54" s="72">
        <v>46191</v>
      </c>
      <c r="Q54" s="74">
        <f t="shared" ref="Q54:Q59" si="209">N54+42</f>
        <v>46206</v>
      </c>
      <c r="R54" s="68">
        <f t="shared" ref="R54:R59" si="210">Q54</f>
        <v>46206</v>
      </c>
      <c r="S54" s="74">
        <v>46209</v>
      </c>
      <c r="T54" s="74">
        <f t="shared" ref="T54:T59" si="211">Q54+14</f>
        <v>46220</v>
      </c>
      <c r="U54" s="72">
        <f t="shared" ref="U54:U59" si="212">T54</f>
        <v>46220</v>
      </c>
      <c r="V54" s="72"/>
      <c r="X54" s="183" t="str">
        <f t="shared" ca="1" si="9"/>
        <v>Completed</v>
      </c>
      <c r="Y54" s="183" t="str">
        <f t="shared" ca="1" si="10"/>
        <v>Completed</v>
      </c>
      <c r="Z54" s="183" t="str">
        <f t="shared" ca="1" si="11"/>
        <v>Completed</v>
      </c>
      <c r="AA54" s="184" t="str">
        <f t="shared" ca="1" si="12"/>
        <v>Overdue</v>
      </c>
    </row>
    <row r="55" spans="1:27" s="64" customFormat="1" ht="11.5" x14ac:dyDescent="0.25">
      <c r="A55" s="133" t="s">
        <v>61</v>
      </c>
      <c r="B55" s="133" t="s">
        <v>62</v>
      </c>
      <c r="C55" s="134" t="s">
        <v>63</v>
      </c>
      <c r="D55" s="135" t="s">
        <v>263</v>
      </c>
      <c r="E55" s="136" t="s">
        <v>246</v>
      </c>
      <c r="F55" s="137">
        <f t="shared" si="203"/>
        <v>1</v>
      </c>
      <c r="G55" s="137">
        <f t="shared" si="204"/>
        <v>1</v>
      </c>
      <c r="H55" s="137">
        <f t="shared" si="205"/>
        <v>1</v>
      </c>
      <c r="I55" s="137">
        <f t="shared" si="206"/>
        <v>0</v>
      </c>
      <c r="J55" s="138">
        <v>1.5</v>
      </c>
      <c r="K55" s="107">
        <v>46142</v>
      </c>
      <c r="L55" s="68">
        <f t="shared" si="2"/>
        <v>46142</v>
      </c>
      <c r="M55" s="72">
        <v>46164</v>
      </c>
      <c r="N55" s="74">
        <f t="shared" si="207"/>
        <v>46184</v>
      </c>
      <c r="O55" s="74">
        <f t="shared" si="208"/>
        <v>46184</v>
      </c>
      <c r="P55" s="72">
        <v>46191</v>
      </c>
      <c r="Q55" s="74">
        <f t="shared" si="209"/>
        <v>46226</v>
      </c>
      <c r="R55" s="74">
        <f t="shared" si="210"/>
        <v>46226</v>
      </c>
      <c r="S55" s="74">
        <v>46220</v>
      </c>
      <c r="T55" s="74">
        <f t="shared" si="211"/>
        <v>46240</v>
      </c>
      <c r="U55" s="74">
        <f t="shared" si="212"/>
        <v>46240</v>
      </c>
      <c r="V55" s="139">
        <v>46233</v>
      </c>
      <c r="X55" s="183" t="str">
        <f t="shared" ca="1" si="9"/>
        <v>Completed</v>
      </c>
      <c r="Y55" s="183" t="str">
        <f t="shared" ca="1" si="10"/>
        <v>Completed</v>
      </c>
      <c r="Z55" s="183" t="str">
        <f t="shared" ca="1" si="11"/>
        <v>Completed</v>
      </c>
      <c r="AA55" s="184" t="str">
        <f t="shared" ca="1" si="12"/>
        <v>Completed</v>
      </c>
    </row>
    <row r="56" spans="1:27" s="64" customFormat="1" ht="19" x14ac:dyDescent="0.25">
      <c r="A56" s="133" t="s">
        <v>61</v>
      </c>
      <c r="B56" s="133" t="s">
        <v>62</v>
      </c>
      <c r="C56" s="134" t="s">
        <v>63</v>
      </c>
      <c r="D56" s="135" t="s">
        <v>264</v>
      </c>
      <c r="E56" s="136" t="s">
        <v>247</v>
      </c>
      <c r="F56" s="137">
        <f t="shared" si="203"/>
        <v>1</v>
      </c>
      <c r="G56" s="137">
        <f t="shared" si="204"/>
        <v>1</v>
      </c>
      <c r="H56" s="137">
        <f t="shared" si="205"/>
        <v>0.79999999999999993</v>
      </c>
      <c r="I56" s="137">
        <f t="shared" si="206"/>
        <v>-0.20000000000000007</v>
      </c>
      <c r="J56" s="89">
        <v>1.5</v>
      </c>
      <c r="K56" s="107">
        <v>46122</v>
      </c>
      <c r="L56" s="68">
        <f t="shared" si="2"/>
        <v>46122</v>
      </c>
      <c r="M56" s="72">
        <v>46122</v>
      </c>
      <c r="N56" s="74">
        <f t="shared" si="207"/>
        <v>46164</v>
      </c>
      <c r="O56" s="68">
        <f t="shared" si="208"/>
        <v>46164</v>
      </c>
      <c r="P56" s="72">
        <v>46191</v>
      </c>
      <c r="Q56" s="74">
        <f t="shared" si="209"/>
        <v>46206</v>
      </c>
      <c r="R56" s="68">
        <f t="shared" si="210"/>
        <v>46206</v>
      </c>
      <c r="S56" s="74">
        <v>46209</v>
      </c>
      <c r="T56" s="74">
        <f t="shared" si="211"/>
        <v>46220</v>
      </c>
      <c r="U56" s="72">
        <f t="shared" si="212"/>
        <v>46220</v>
      </c>
      <c r="V56" s="139"/>
      <c r="X56" s="183" t="str">
        <f t="shared" ca="1" si="9"/>
        <v>Completed</v>
      </c>
      <c r="Y56" s="183" t="str">
        <f t="shared" ca="1" si="10"/>
        <v>Completed</v>
      </c>
      <c r="Z56" s="183" t="str">
        <f t="shared" ca="1" si="11"/>
        <v>Completed</v>
      </c>
      <c r="AA56" s="184" t="str">
        <f t="shared" ca="1" si="12"/>
        <v>Overdue</v>
      </c>
    </row>
    <row r="57" spans="1:27" s="64" customFormat="1" ht="19" x14ac:dyDescent="0.25">
      <c r="A57" s="133" t="s">
        <v>61</v>
      </c>
      <c r="B57" s="133" t="s">
        <v>62</v>
      </c>
      <c r="C57" s="134" t="s">
        <v>63</v>
      </c>
      <c r="D57" s="135" t="s">
        <v>265</v>
      </c>
      <c r="E57" s="136" t="s">
        <v>248</v>
      </c>
      <c r="F57" s="137">
        <f t="shared" si="203"/>
        <v>1</v>
      </c>
      <c r="G57" s="137">
        <f t="shared" si="204"/>
        <v>1</v>
      </c>
      <c r="H57" s="137">
        <f t="shared" si="205"/>
        <v>1</v>
      </c>
      <c r="I57" s="137">
        <f t="shared" si="206"/>
        <v>0</v>
      </c>
      <c r="J57" s="138">
        <v>1.5</v>
      </c>
      <c r="K57" s="107">
        <v>46142</v>
      </c>
      <c r="L57" s="68">
        <f t="shared" si="2"/>
        <v>46142</v>
      </c>
      <c r="M57" s="72">
        <v>46164</v>
      </c>
      <c r="N57" s="74">
        <f t="shared" si="207"/>
        <v>46184</v>
      </c>
      <c r="O57" s="74">
        <f t="shared" si="208"/>
        <v>46184</v>
      </c>
      <c r="P57" s="72">
        <v>46191</v>
      </c>
      <c r="Q57" s="74">
        <f t="shared" si="209"/>
        <v>46226</v>
      </c>
      <c r="R57" s="74">
        <f t="shared" si="210"/>
        <v>46226</v>
      </c>
      <c r="S57" s="74">
        <v>46220</v>
      </c>
      <c r="T57" s="74">
        <f t="shared" si="211"/>
        <v>46240</v>
      </c>
      <c r="U57" s="74">
        <f t="shared" si="212"/>
        <v>46240</v>
      </c>
      <c r="V57" s="139">
        <v>46233</v>
      </c>
      <c r="X57" s="183" t="str">
        <f t="shared" ca="1" si="9"/>
        <v>Completed</v>
      </c>
      <c r="Y57" s="183" t="str">
        <f t="shared" ca="1" si="10"/>
        <v>Completed</v>
      </c>
      <c r="Z57" s="183" t="str">
        <f t="shared" ca="1" si="11"/>
        <v>Completed</v>
      </c>
      <c r="AA57" s="184" t="str">
        <f t="shared" ca="1" si="12"/>
        <v>Completed</v>
      </c>
    </row>
    <row r="58" spans="1:27" s="64" customFormat="1" ht="11.5" x14ac:dyDescent="0.25">
      <c r="A58" s="70" t="s">
        <v>61</v>
      </c>
      <c r="B58" s="70" t="s">
        <v>62</v>
      </c>
      <c r="C58" s="65" t="s">
        <v>63</v>
      </c>
      <c r="D58" s="82" t="s">
        <v>266</v>
      </c>
      <c r="E58" s="132" t="s">
        <v>249</v>
      </c>
      <c r="F58" s="66">
        <f t="shared" si="203"/>
        <v>1</v>
      </c>
      <c r="G58" s="66">
        <f t="shared" si="204"/>
        <v>1</v>
      </c>
      <c r="H58" s="66">
        <f t="shared" si="205"/>
        <v>0.79999999999999993</v>
      </c>
      <c r="I58" s="66">
        <f t="shared" si="206"/>
        <v>-0.20000000000000007</v>
      </c>
      <c r="J58" s="89">
        <v>1.5</v>
      </c>
      <c r="K58" s="74">
        <v>46136</v>
      </c>
      <c r="L58" s="68">
        <f t="shared" si="2"/>
        <v>46136</v>
      </c>
      <c r="M58" s="72">
        <v>46135</v>
      </c>
      <c r="N58" s="74">
        <f t="shared" si="207"/>
        <v>46178</v>
      </c>
      <c r="O58" s="68">
        <f t="shared" si="208"/>
        <v>46178</v>
      </c>
      <c r="P58" s="72">
        <v>46191</v>
      </c>
      <c r="Q58" s="74">
        <f t="shared" si="209"/>
        <v>46220</v>
      </c>
      <c r="R58" s="68">
        <f t="shared" si="210"/>
        <v>46220</v>
      </c>
      <c r="S58" s="74">
        <v>46209</v>
      </c>
      <c r="T58" s="74">
        <f t="shared" si="211"/>
        <v>46234</v>
      </c>
      <c r="U58" s="72">
        <f t="shared" si="212"/>
        <v>46234</v>
      </c>
      <c r="V58" s="72"/>
      <c r="X58" s="183" t="str">
        <f t="shared" ca="1" si="9"/>
        <v>Completed</v>
      </c>
      <c r="Y58" s="183" t="str">
        <f t="shared" ca="1" si="10"/>
        <v>Completed</v>
      </c>
      <c r="Z58" s="183" t="str">
        <f t="shared" ca="1" si="11"/>
        <v>Completed</v>
      </c>
      <c r="AA58" s="184" t="str">
        <f t="shared" ca="1" si="12"/>
        <v>Overdue</v>
      </c>
    </row>
    <row r="59" spans="1:27" s="64" customFormat="1" ht="11.5" x14ac:dyDescent="0.25">
      <c r="A59" s="70" t="s">
        <v>61</v>
      </c>
      <c r="B59" s="70" t="s">
        <v>62</v>
      </c>
      <c r="C59" s="65" t="s">
        <v>63</v>
      </c>
      <c r="D59" s="82" t="s">
        <v>267</v>
      </c>
      <c r="E59" s="132" t="s">
        <v>250</v>
      </c>
      <c r="F59" s="66">
        <f t="shared" si="203"/>
        <v>1</v>
      </c>
      <c r="G59" s="66">
        <f t="shared" si="204"/>
        <v>1</v>
      </c>
      <c r="H59" s="66">
        <f t="shared" si="205"/>
        <v>1</v>
      </c>
      <c r="I59" s="66">
        <f t="shared" si="206"/>
        <v>0</v>
      </c>
      <c r="J59" s="138">
        <v>1.5</v>
      </c>
      <c r="K59" s="74">
        <v>46142</v>
      </c>
      <c r="L59" s="68">
        <f t="shared" si="2"/>
        <v>46142</v>
      </c>
      <c r="M59" s="72">
        <v>46171</v>
      </c>
      <c r="N59" s="74">
        <f t="shared" si="207"/>
        <v>46184</v>
      </c>
      <c r="O59" s="74">
        <f t="shared" si="208"/>
        <v>46184</v>
      </c>
      <c r="P59" s="72">
        <v>46191</v>
      </c>
      <c r="Q59" s="74">
        <f t="shared" si="209"/>
        <v>46226</v>
      </c>
      <c r="R59" s="74">
        <f t="shared" si="210"/>
        <v>46226</v>
      </c>
      <c r="S59" s="74">
        <v>46237</v>
      </c>
      <c r="T59" s="74">
        <f t="shared" si="211"/>
        <v>46240</v>
      </c>
      <c r="U59" s="74">
        <f t="shared" si="212"/>
        <v>46240</v>
      </c>
      <c r="V59" s="72">
        <v>46247</v>
      </c>
      <c r="X59" s="183" t="str">
        <f t="shared" ca="1" si="9"/>
        <v>Completed</v>
      </c>
      <c r="Y59" s="183" t="str">
        <f t="shared" ca="1" si="10"/>
        <v>Completed</v>
      </c>
      <c r="Z59" s="183" t="str">
        <f t="shared" ca="1" si="11"/>
        <v>Completed</v>
      </c>
      <c r="AA59" s="184" t="str">
        <f t="shared" ca="1" si="12"/>
        <v>Completed</v>
      </c>
    </row>
    <row r="60" spans="1:27" s="64" customFormat="1" ht="11.5" x14ac:dyDescent="0.25">
      <c r="A60" s="70" t="s">
        <v>61</v>
      </c>
      <c r="B60" s="70" t="s">
        <v>58</v>
      </c>
      <c r="C60" s="65" t="s">
        <v>63</v>
      </c>
      <c r="D60" s="82" t="s">
        <v>475</v>
      </c>
      <c r="E60" s="80" t="s">
        <v>222</v>
      </c>
      <c r="F60" s="66">
        <f t="shared" ref="F60:F75" si="213">(COUNTIFS(K60,"&lt;="&amp;$D$1)*50%)+(COUNTIFS(N60,"&lt;="&amp;$D$1)*20%)+(COUNTIFS(Q60,"&lt;="&amp;$D$1)*10%)+(COUNTIFS(T60,"&lt;="&amp;$D$1)*20%)</f>
        <v>0</v>
      </c>
      <c r="G60" s="66">
        <f t="shared" ref="G60:G75" si="214">(COUNTIFS(L60,"&lt;="&amp;$D$1)*50%)+(COUNTIFS(O60,"&lt;="&amp;$D$1)*20%)+(COUNTIFS(R60,"&lt;="&amp;$D$1)*10%)+(COUNTIFS(U60,"&lt;="&amp;$D$1)*20%)</f>
        <v>0</v>
      </c>
      <c r="H60" s="66">
        <f t="shared" ref="H60:H75" si="215">(COUNTIFS(M60,"&lt;="&amp;$D$1)*50%)+(COUNTIFS(P60,"&lt;="&amp;$D$1)*20%)+(COUNTIFS(S60,"&lt;="&amp;$D$1)*10%)+(COUNTIFS(V60,"&lt;="&amp;$D$1)*20%)</f>
        <v>0</v>
      </c>
      <c r="I60" s="66">
        <f t="shared" ref="I60:I75" si="216">H60-F60</f>
        <v>0</v>
      </c>
      <c r="J60" s="67">
        <v>0.25</v>
      </c>
      <c r="K60" s="74"/>
      <c r="L60" s="74"/>
      <c r="M60" s="72"/>
      <c r="N60" s="74"/>
      <c r="O60" s="74"/>
      <c r="P60" s="72"/>
      <c r="Q60" s="74"/>
      <c r="R60" s="74"/>
      <c r="S60" s="74"/>
      <c r="T60" s="74"/>
      <c r="U60" s="74"/>
      <c r="V60" s="72"/>
      <c r="X60" s="183" t="str">
        <f t="shared" ca="1" si="9"/>
        <v/>
      </c>
      <c r="Y60" s="183" t="str">
        <f t="shared" ca="1" si="10"/>
        <v/>
      </c>
      <c r="Z60" s="183" t="str">
        <f t="shared" ca="1" si="11"/>
        <v/>
      </c>
      <c r="AA60" s="184" t="str">
        <f t="shared" ca="1" si="12"/>
        <v/>
      </c>
    </row>
    <row r="61" spans="1:27" s="64" customFormat="1" ht="11.5" x14ac:dyDescent="0.25">
      <c r="A61" s="70" t="s">
        <v>61</v>
      </c>
      <c r="B61" s="70" t="s">
        <v>58</v>
      </c>
      <c r="C61" s="65" t="s">
        <v>63</v>
      </c>
      <c r="D61" s="82" t="s">
        <v>476</v>
      </c>
      <c r="E61" s="80" t="s">
        <v>233</v>
      </c>
      <c r="F61" s="66">
        <f t="shared" si="213"/>
        <v>0</v>
      </c>
      <c r="G61" s="66">
        <f t="shared" si="214"/>
        <v>0</v>
      </c>
      <c r="H61" s="66">
        <f t="shared" si="215"/>
        <v>0</v>
      </c>
      <c r="I61" s="66">
        <f t="shared" si="216"/>
        <v>0</v>
      </c>
      <c r="J61" s="89">
        <v>0.25</v>
      </c>
      <c r="K61" s="74"/>
      <c r="L61" s="74"/>
      <c r="M61" s="72"/>
      <c r="N61" s="74"/>
      <c r="O61" s="74"/>
      <c r="P61" s="72"/>
      <c r="Q61" s="74"/>
      <c r="R61" s="74"/>
      <c r="S61" s="74"/>
      <c r="T61" s="74"/>
      <c r="U61" s="74"/>
      <c r="V61" s="72"/>
      <c r="X61" s="183" t="str">
        <f t="shared" ca="1" si="9"/>
        <v/>
      </c>
      <c r="Y61" s="183" t="str">
        <f t="shared" ca="1" si="10"/>
        <v/>
      </c>
      <c r="Z61" s="183" t="str">
        <f t="shared" ca="1" si="11"/>
        <v/>
      </c>
      <c r="AA61" s="184" t="str">
        <f t="shared" ca="1" si="12"/>
        <v/>
      </c>
    </row>
    <row r="62" spans="1:27" s="64" customFormat="1" ht="11.5" x14ac:dyDescent="0.25">
      <c r="A62" s="70" t="s">
        <v>61</v>
      </c>
      <c r="B62" s="70" t="s">
        <v>58</v>
      </c>
      <c r="C62" s="65" t="s">
        <v>63</v>
      </c>
      <c r="D62" s="82" t="s">
        <v>477</v>
      </c>
      <c r="E62" s="80" t="s">
        <v>223</v>
      </c>
      <c r="F62" s="66">
        <f t="shared" si="213"/>
        <v>0</v>
      </c>
      <c r="G62" s="66">
        <f t="shared" si="214"/>
        <v>0</v>
      </c>
      <c r="H62" s="66">
        <f t="shared" si="215"/>
        <v>0</v>
      </c>
      <c r="I62" s="66">
        <f t="shared" si="216"/>
        <v>0</v>
      </c>
      <c r="J62" s="67">
        <v>0.25</v>
      </c>
      <c r="K62" s="74"/>
      <c r="L62" s="74"/>
      <c r="M62" s="72"/>
      <c r="N62" s="74"/>
      <c r="O62" s="74"/>
      <c r="P62" s="72"/>
      <c r="Q62" s="74"/>
      <c r="R62" s="74"/>
      <c r="S62" s="74"/>
      <c r="T62" s="74"/>
      <c r="U62" s="74"/>
      <c r="V62" s="72"/>
      <c r="X62" s="183" t="str">
        <f t="shared" ca="1" si="9"/>
        <v/>
      </c>
      <c r="Y62" s="183" t="str">
        <f t="shared" ca="1" si="10"/>
        <v/>
      </c>
      <c r="Z62" s="183" t="str">
        <f t="shared" ca="1" si="11"/>
        <v/>
      </c>
      <c r="AA62" s="184" t="str">
        <f t="shared" ca="1" si="12"/>
        <v/>
      </c>
    </row>
    <row r="63" spans="1:27" s="64" customFormat="1" ht="11.5" x14ac:dyDescent="0.25">
      <c r="A63" s="70" t="s">
        <v>61</v>
      </c>
      <c r="B63" s="70" t="s">
        <v>58</v>
      </c>
      <c r="C63" s="65" t="s">
        <v>63</v>
      </c>
      <c r="D63" s="82" t="s">
        <v>478</v>
      </c>
      <c r="E63" s="80" t="s">
        <v>235</v>
      </c>
      <c r="F63" s="66">
        <f t="shared" si="213"/>
        <v>0</v>
      </c>
      <c r="G63" s="66">
        <f t="shared" si="214"/>
        <v>0</v>
      </c>
      <c r="H63" s="66">
        <f t="shared" si="215"/>
        <v>0</v>
      </c>
      <c r="I63" s="66">
        <f t="shared" si="216"/>
        <v>0</v>
      </c>
      <c r="J63" s="89">
        <v>0.25</v>
      </c>
      <c r="K63" s="74"/>
      <c r="L63" s="74"/>
      <c r="M63" s="72"/>
      <c r="N63" s="74"/>
      <c r="O63" s="74"/>
      <c r="P63" s="72"/>
      <c r="Q63" s="74"/>
      <c r="R63" s="74"/>
      <c r="S63" s="74"/>
      <c r="T63" s="74"/>
      <c r="U63" s="74"/>
      <c r="V63" s="72"/>
      <c r="X63" s="183" t="str">
        <f t="shared" ca="1" si="9"/>
        <v/>
      </c>
      <c r="Y63" s="183" t="str">
        <f t="shared" ca="1" si="10"/>
        <v/>
      </c>
      <c r="Z63" s="183" t="str">
        <f t="shared" ca="1" si="11"/>
        <v/>
      </c>
      <c r="AA63" s="184" t="str">
        <f t="shared" ca="1" si="12"/>
        <v/>
      </c>
    </row>
    <row r="64" spans="1:27" s="64" customFormat="1" ht="11.5" x14ac:dyDescent="0.25">
      <c r="A64" s="70" t="s">
        <v>61</v>
      </c>
      <c r="B64" s="70" t="s">
        <v>58</v>
      </c>
      <c r="C64" s="65" t="s">
        <v>63</v>
      </c>
      <c r="D64" s="82" t="s">
        <v>479</v>
      </c>
      <c r="E64" s="80" t="s">
        <v>224</v>
      </c>
      <c r="F64" s="66">
        <f t="shared" si="213"/>
        <v>0</v>
      </c>
      <c r="G64" s="66">
        <f t="shared" si="214"/>
        <v>0</v>
      </c>
      <c r="H64" s="66">
        <f t="shared" si="215"/>
        <v>0</v>
      </c>
      <c r="I64" s="66">
        <f t="shared" si="216"/>
        <v>0</v>
      </c>
      <c r="J64" s="67">
        <v>0.25</v>
      </c>
      <c r="K64" s="74"/>
      <c r="L64" s="74"/>
      <c r="M64" s="72"/>
      <c r="N64" s="74"/>
      <c r="O64" s="74"/>
      <c r="P64" s="72"/>
      <c r="Q64" s="74"/>
      <c r="R64" s="74"/>
      <c r="S64" s="74"/>
      <c r="T64" s="74"/>
      <c r="U64" s="74"/>
      <c r="V64" s="72"/>
      <c r="X64" s="183" t="str">
        <f t="shared" ca="1" si="9"/>
        <v/>
      </c>
      <c r="Y64" s="183" t="str">
        <f t="shared" ca="1" si="10"/>
        <v/>
      </c>
      <c r="Z64" s="183" t="str">
        <f t="shared" ca="1" si="11"/>
        <v/>
      </c>
      <c r="AA64" s="184" t="str">
        <f t="shared" ca="1" si="12"/>
        <v/>
      </c>
    </row>
    <row r="65" spans="1:27" s="64" customFormat="1" ht="11.5" x14ac:dyDescent="0.25">
      <c r="A65" s="70" t="s">
        <v>61</v>
      </c>
      <c r="B65" s="70" t="s">
        <v>58</v>
      </c>
      <c r="C65" s="65" t="s">
        <v>63</v>
      </c>
      <c r="D65" s="82" t="s">
        <v>480</v>
      </c>
      <c r="E65" s="80" t="s">
        <v>236</v>
      </c>
      <c r="F65" s="66">
        <f t="shared" si="213"/>
        <v>0</v>
      </c>
      <c r="G65" s="66">
        <f t="shared" si="214"/>
        <v>0</v>
      </c>
      <c r="H65" s="66">
        <f t="shared" si="215"/>
        <v>0</v>
      </c>
      <c r="I65" s="66">
        <f t="shared" si="216"/>
        <v>0</v>
      </c>
      <c r="J65" s="89">
        <v>0.25</v>
      </c>
      <c r="K65" s="74"/>
      <c r="L65" s="74"/>
      <c r="M65" s="72"/>
      <c r="N65" s="74"/>
      <c r="O65" s="74"/>
      <c r="P65" s="72"/>
      <c r="Q65" s="74"/>
      <c r="R65" s="74"/>
      <c r="S65" s="74"/>
      <c r="T65" s="74"/>
      <c r="U65" s="74"/>
      <c r="V65" s="72"/>
      <c r="X65" s="183" t="str">
        <f t="shared" ca="1" si="9"/>
        <v/>
      </c>
      <c r="Y65" s="183" t="str">
        <f t="shared" ca="1" si="10"/>
        <v/>
      </c>
      <c r="Z65" s="183" t="str">
        <f t="shared" ca="1" si="11"/>
        <v/>
      </c>
      <c r="AA65" s="184" t="str">
        <f t="shared" ca="1" si="12"/>
        <v/>
      </c>
    </row>
    <row r="66" spans="1:27" s="64" customFormat="1" ht="11.5" x14ac:dyDescent="0.25">
      <c r="A66" s="70" t="s">
        <v>61</v>
      </c>
      <c r="B66" s="70" t="s">
        <v>58</v>
      </c>
      <c r="C66" s="65" t="s">
        <v>63</v>
      </c>
      <c r="D66" s="82" t="s">
        <v>481</v>
      </c>
      <c r="E66" s="80" t="s">
        <v>225</v>
      </c>
      <c r="F66" s="66">
        <f t="shared" si="213"/>
        <v>0</v>
      </c>
      <c r="G66" s="66">
        <f t="shared" si="214"/>
        <v>0</v>
      </c>
      <c r="H66" s="66">
        <f t="shared" si="215"/>
        <v>0</v>
      </c>
      <c r="I66" s="66">
        <f t="shared" si="216"/>
        <v>0</v>
      </c>
      <c r="J66" s="67">
        <v>0.25</v>
      </c>
      <c r="K66" s="74"/>
      <c r="L66" s="74"/>
      <c r="M66" s="72"/>
      <c r="N66" s="74"/>
      <c r="O66" s="74"/>
      <c r="P66" s="72"/>
      <c r="Q66" s="74"/>
      <c r="R66" s="74"/>
      <c r="S66" s="74"/>
      <c r="T66" s="74"/>
      <c r="U66" s="74"/>
      <c r="V66" s="72"/>
      <c r="X66" s="183" t="str">
        <f t="shared" ca="1" si="9"/>
        <v/>
      </c>
      <c r="Y66" s="183" t="str">
        <f t="shared" ca="1" si="10"/>
        <v/>
      </c>
      <c r="Z66" s="183" t="str">
        <f t="shared" ca="1" si="11"/>
        <v/>
      </c>
      <c r="AA66" s="184" t="str">
        <f t="shared" ca="1" si="12"/>
        <v/>
      </c>
    </row>
    <row r="67" spans="1:27" s="64" customFormat="1" ht="11.5" x14ac:dyDescent="0.25">
      <c r="A67" s="70" t="s">
        <v>61</v>
      </c>
      <c r="B67" s="70" t="s">
        <v>58</v>
      </c>
      <c r="C67" s="65" t="s">
        <v>63</v>
      </c>
      <c r="D67" s="82" t="s">
        <v>482</v>
      </c>
      <c r="E67" s="80" t="s">
        <v>226</v>
      </c>
      <c r="F67" s="66">
        <f t="shared" si="213"/>
        <v>0</v>
      </c>
      <c r="G67" s="66">
        <f t="shared" si="214"/>
        <v>0</v>
      </c>
      <c r="H67" s="66">
        <f t="shared" si="215"/>
        <v>0</v>
      </c>
      <c r="I67" s="66">
        <f t="shared" si="216"/>
        <v>0</v>
      </c>
      <c r="J67" s="89">
        <v>0.25</v>
      </c>
      <c r="K67" s="74"/>
      <c r="L67" s="74"/>
      <c r="M67" s="72"/>
      <c r="N67" s="74"/>
      <c r="O67" s="74"/>
      <c r="P67" s="72"/>
      <c r="Q67" s="74"/>
      <c r="R67" s="74"/>
      <c r="S67" s="74"/>
      <c r="T67" s="74"/>
      <c r="U67" s="74"/>
      <c r="V67" s="72"/>
      <c r="X67" s="183" t="str">
        <f t="shared" ca="1" si="9"/>
        <v/>
      </c>
      <c r="Y67" s="183" t="str">
        <f t="shared" ca="1" si="10"/>
        <v/>
      </c>
      <c r="Z67" s="183" t="str">
        <f t="shared" ca="1" si="11"/>
        <v/>
      </c>
      <c r="AA67" s="184" t="str">
        <f t="shared" ca="1" si="12"/>
        <v/>
      </c>
    </row>
    <row r="68" spans="1:27" s="64" customFormat="1" ht="11.5" x14ac:dyDescent="0.25">
      <c r="A68" s="70" t="s">
        <v>61</v>
      </c>
      <c r="B68" s="70" t="s">
        <v>58</v>
      </c>
      <c r="C68" s="65" t="s">
        <v>63</v>
      </c>
      <c r="D68" s="82" t="s">
        <v>483</v>
      </c>
      <c r="E68" s="80" t="s">
        <v>227</v>
      </c>
      <c r="F68" s="66">
        <f t="shared" si="213"/>
        <v>0</v>
      </c>
      <c r="G68" s="66">
        <f t="shared" si="214"/>
        <v>0</v>
      </c>
      <c r="H68" s="66">
        <f t="shared" si="215"/>
        <v>0</v>
      </c>
      <c r="I68" s="66">
        <f t="shared" si="216"/>
        <v>0</v>
      </c>
      <c r="J68" s="67">
        <v>0.25</v>
      </c>
      <c r="K68" s="74"/>
      <c r="L68" s="74"/>
      <c r="M68" s="72"/>
      <c r="N68" s="74"/>
      <c r="O68" s="74"/>
      <c r="P68" s="72"/>
      <c r="Q68" s="74"/>
      <c r="R68" s="74"/>
      <c r="S68" s="74"/>
      <c r="T68" s="74"/>
      <c r="U68" s="74"/>
      <c r="V68" s="72"/>
      <c r="X68" s="183" t="str">
        <f t="shared" ca="1" si="9"/>
        <v/>
      </c>
      <c r="Y68" s="183" t="str">
        <f t="shared" ca="1" si="10"/>
        <v/>
      </c>
      <c r="Z68" s="183" t="str">
        <f t="shared" ca="1" si="11"/>
        <v/>
      </c>
      <c r="AA68" s="184" t="str">
        <f t="shared" ca="1" si="12"/>
        <v/>
      </c>
    </row>
    <row r="69" spans="1:27" s="64" customFormat="1" ht="11.5" x14ac:dyDescent="0.25">
      <c r="A69" s="70" t="s">
        <v>61</v>
      </c>
      <c r="B69" s="70" t="s">
        <v>58</v>
      </c>
      <c r="C69" s="65" t="s">
        <v>63</v>
      </c>
      <c r="D69" s="82" t="s">
        <v>484</v>
      </c>
      <c r="E69" s="80" t="s">
        <v>237</v>
      </c>
      <c r="F69" s="66">
        <f t="shared" si="213"/>
        <v>0</v>
      </c>
      <c r="G69" s="66">
        <f t="shared" si="214"/>
        <v>0</v>
      </c>
      <c r="H69" s="66">
        <f t="shared" si="215"/>
        <v>0</v>
      </c>
      <c r="I69" s="66">
        <f t="shared" si="216"/>
        <v>0</v>
      </c>
      <c r="J69" s="89">
        <v>0.25</v>
      </c>
      <c r="K69" s="74"/>
      <c r="L69" s="74"/>
      <c r="M69" s="72"/>
      <c r="N69" s="74"/>
      <c r="O69" s="74"/>
      <c r="P69" s="72"/>
      <c r="Q69" s="74"/>
      <c r="R69" s="74"/>
      <c r="S69" s="74"/>
      <c r="T69" s="74"/>
      <c r="U69" s="74"/>
      <c r="V69" s="72"/>
      <c r="X69" s="183" t="str">
        <f t="shared" ca="1" si="9"/>
        <v/>
      </c>
      <c r="Y69" s="183" t="str">
        <f t="shared" ca="1" si="10"/>
        <v/>
      </c>
      <c r="Z69" s="183" t="str">
        <f t="shared" ca="1" si="11"/>
        <v/>
      </c>
      <c r="AA69" s="184" t="str">
        <f t="shared" ca="1" si="12"/>
        <v/>
      </c>
    </row>
    <row r="70" spans="1:27" s="64" customFormat="1" ht="11.5" x14ac:dyDescent="0.25">
      <c r="A70" s="70" t="s">
        <v>61</v>
      </c>
      <c r="B70" s="70" t="s">
        <v>58</v>
      </c>
      <c r="C70" s="65" t="s">
        <v>63</v>
      </c>
      <c r="D70" s="82" t="s">
        <v>485</v>
      </c>
      <c r="E70" s="80" t="s">
        <v>228</v>
      </c>
      <c r="F70" s="66">
        <f t="shared" si="213"/>
        <v>0</v>
      </c>
      <c r="G70" s="66">
        <f t="shared" si="214"/>
        <v>0</v>
      </c>
      <c r="H70" s="66">
        <f t="shared" si="215"/>
        <v>0</v>
      </c>
      <c r="I70" s="66">
        <f t="shared" si="216"/>
        <v>0</v>
      </c>
      <c r="J70" s="67">
        <v>0.25</v>
      </c>
      <c r="K70" s="74"/>
      <c r="L70" s="74"/>
      <c r="M70" s="72"/>
      <c r="N70" s="74"/>
      <c r="O70" s="74"/>
      <c r="P70" s="72"/>
      <c r="Q70" s="74"/>
      <c r="R70" s="74"/>
      <c r="S70" s="74"/>
      <c r="T70" s="74"/>
      <c r="U70" s="74"/>
      <c r="V70" s="72"/>
      <c r="X70" s="183" t="str">
        <f t="shared" ca="1" si="9"/>
        <v/>
      </c>
      <c r="Y70" s="183" t="str">
        <f t="shared" ca="1" si="10"/>
        <v/>
      </c>
      <c r="Z70" s="183" t="str">
        <f t="shared" ca="1" si="11"/>
        <v/>
      </c>
      <c r="AA70" s="184" t="str">
        <f t="shared" ca="1" si="12"/>
        <v/>
      </c>
    </row>
    <row r="71" spans="1:27" s="64" customFormat="1" ht="11.5" x14ac:dyDescent="0.25">
      <c r="A71" s="70" t="s">
        <v>61</v>
      </c>
      <c r="B71" s="70" t="s">
        <v>58</v>
      </c>
      <c r="C71" s="65" t="s">
        <v>63</v>
      </c>
      <c r="D71" s="82" t="s">
        <v>486</v>
      </c>
      <c r="E71" s="80" t="s">
        <v>229</v>
      </c>
      <c r="F71" s="66">
        <f t="shared" si="213"/>
        <v>0</v>
      </c>
      <c r="G71" s="66">
        <f t="shared" si="214"/>
        <v>0</v>
      </c>
      <c r="H71" s="66">
        <f t="shared" si="215"/>
        <v>0</v>
      </c>
      <c r="I71" s="66">
        <f t="shared" si="216"/>
        <v>0</v>
      </c>
      <c r="J71" s="89">
        <v>0.25</v>
      </c>
      <c r="K71" s="74"/>
      <c r="L71" s="74"/>
      <c r="M71" s="72"/>
      <c r="N71" s="74"/>
      <c r="O71" s="74"/>
      <c r="P71" s="72"/>
      <c r="Q71" s="74"/>
      <c r="R71" s="74"/>
      <c r="S71" s="74"/>
      <c r="T71" s="74"/>
      <c r="U71" s="74"/>
      <c r="V71" s="72"/>
      <c r="X71" s="183" t="str">
        <f t="shared" ca="1" si="9"/>
        <v/>
      </c>
      <c r="Y71" s="183" t="str">
        <f t="shared" ca="1" si="10"/>
        <v/>
      </c>
      <c r="Z71" s="183" t="str">
        <f t="shared" ca="1" si="11"/>
        <v/>
      </c>
      <c r="AA71" s="184" t="str">
        <f t="shared" ca="1" si="12"/>
        <v/>
      </c>
    </row>
    <row r="72" spans="1:27" s="64" customFormat="1" ht="11.5" x14ac:dyDescent="0.25">
      <c r="A72" s="70" t="s">
        <v>61</v>
      </c>
      <c r="B72" s="70" t="s">
        <v>58</v>
      </c>
      <c r="C72" s="65" t="s">
        <v>63</v>
      </c>
      <c r="D72" s="82" t="s">
        <v>487</v>
      </c>
      <c r="E72" s="80" t="s">
        <v>230</v>
      </c>
      <c r="F72" s="66">
        <f t="shared" si="213"/>
        <v>0</v>
      </c>
      <c r="G72" s="66">
        <f t="shared" si="214"/>
        <v>0</v>
      </c>
      <c r="H72" s="66">
        <f t="shared" si="215"/>
        <v>0</v>
      </c>
      <c r="I72" s="66">
        <f t="shared" si="216"/>
        <v>0</v>
      </c>
      <c r="J72" s="67">
        <v>0.25</v>
      </c>
      <c r="K72" s="74"/>
      <c r="L72" s="74"/>
      <c r="M72" s="72"/>
      <c r="N72" s="74"/>
      <c r="O72" s="74"/>
      <c r="P72" s="72"/>
      <c r="Q72" s="74"/>
      <c r="R72" s="74"/>
      <c r="S72" s="74"/>
      <c r="T72" s="74"/>
      <c r="U72" s="74"/>
      <c r="V72" s="72"/>
      <c r="X72" s="183" t="str">
        <f t="shared" ca="1" si="9"/>
        <v/>
      </c>
      <c r="Y72" s="183" t="str">
        <f t="shared" ca="1" si="10"/>
        <v/>
      </c>
      <c r="Z72" s="183" t="str">
        <f t="shared" ca="1" si="11"/>
        <v/>
      </c>
      <c r="AA72" s="184" t="str">
        <f t="shared" ca="1" si="12"/>
        <v/>
      </c>
    </row>
    <row r="73" spans="1:27" s="64" customFormat="1" ht="11.5" x14ac:dyDescent="0.25">
      <c r="A73" s="70" t="s">
        <v>61</v>
      </c>
      <c r="B73" s="70" t="s">
        <v>58</v>
      </c>
      <c r="C73" s="65" t="s">
        <v>63</v>
      </c>
      <c r="D73" s="82" t="s">
        <v>488</v>
      </c>
      <c r="E73" s="80" t="s">
        <v>234</v>
      </c>
      <c r="F73" s="66">
        <f t="shared" si="213"/>
        <v>0</v>
      </c>
      <c r="G73" s="66">
        <f t="shared" si="214"/>
        <v>0</v>
      </c>
      <c r="H73" s="66">
        <f t="shared" si="215"/>
        <v>0</v>
      </c>
      <c r="I73" s="66">
        <f t="shared" si="216"/>
        <v>0</v>
      </c>
      <c r="J73" s="89">
        <v>0.25</v>
      </c>
      <c r="K73" s="74"/>
      <c r="L73" s="74"/>
      <c r="M73" s="72"/>
      <c r="N73" s="74"/>
      <c r="O73" s="74"/>
      <c r="P73" s="72"/>
      <c r="Q73" s="74"/>
      <c r="R73" s="74"/>
      <c r="S73" s="74"/>
      <c r="T73" s="74"/>
      <c r="U73" s="74"/>
      <c r="V73" s="72"/>
      <c r="X73" s="183" t="str">
        <f t="shared" ca="1" si="9"/>
        <v/>
      </c>
      <c r="Y73" s="183" t="str">
        <f t="shared" ca="1" si="10"/>
        <v/>
      </c>
      <c r="Z73" s="183" t="str">
        <f t="shared" ca="1" si="11"/>
        <v/>
      </c>
      <c r="AA73" s="184" t="str">
        <f t="shared" ca="1" si="12"/>
        <v/>
      </c>
    </row>
    <row r="74" spans="1:27" s="64" customFormat="1" ht="11.5" x14ac:dyDescent="0.25">
      <c r="A74" s="70" t="s">
        <v>61</v>
      </c>
      <c r="B74" s="70" t="s">
        <v>58</v>
      </c>
      <c r="C74" s="65" t="s">
        <v>63</v>
      </c>
      <c r="D74" s="82" t="s">
        <v>489</v>
      </c>
      <c r="E74" s="80" t="s">
        <v>231</v>
      </c>
      <c r="F74" s="66">
        <f t="shared" si="213"/>
        <v>0</v>
      </c>
      <c r="G74" s="66">
        <f t="shared" si="214"/>
        <v>0</v>
      </c>
      <c r="H74" s="66">
        <f t="shared" si="215"/>
        <v>0</v>
      </c>
      <c r="I74" s="66">
        <f t="shared" si="216"/>
        <v>0</v>
      </c>
      <c r="J74" s="67">
        <v>0.25</v>
      </c>
      <c r="K74" s="74"/>
      <c r="L74" s="74"/>
      <c r="M74" s="72"/>
      <c r="N74" s="74"/>
      <c r="O74" s="74"/>
      <c r="P74" s="72"/>
      <c r="Q74" s="74"/>
      <c r="R74" s="74"/>
      <c r="S74" s="74"/>
      <c r="T74" s="74"/>
      <c r="U74" s="74"/>
      <c r="V74" s="72"/>
      <c r="X74" s="183" t="str">
        <f t="shared" ca="1" si="9"/>
        <v/>
      </c>
      <c r="Y74" s="183" t="str">
        <f t="shared" ca="1" si="10"/>
        <v/>
      </c>
      <c r="Z74" s="183" t="str">
        <f t="shared" ca="1" si="11"/>
        <v/>
      </c>
      <c r="AA74" s="184" t="str">
        <f t="shared" ca="1" si="12"/>
        <v/>
      </c>
    </row>
    <row r="75" spans="1:27" s="64" customFormat="1" ht="11.5" x14ac:dyDescent="0.25">
      <c r="A75" s="70" t="s">
        <v>61</v>
      </c>
      <c r="B75" s="70" t="s">
        <v>58</v>
      </c>
      <c r="C75" s="65" t="s">
        <v>63</v>
      </c>
      <c r="D75" s="82" t="s">
        <v>490</v>
      </c>
      <c r="E75" s="80" t="s">
        <v>232</v>
      </c>
      <c r="F75" s="66">
        <f t="shared" si="213"/>
        <v>0</v>
      </c>
      <c r="G75" s="66">
        <f t="shared" si="214"/>
        <v>0</v>
      </c>
      <c r="H75" s="66">
        <f t="shared" si="215"/>
        <v>0</v>
      </c>
      <c r="I75" s="66">
        <f t="shared" si="216"/>
        <v>0</v>
      </c>
      <c r="J75" s="89">
        <v>0.25</v>
      </c>
      <c r="K75" s="74"/>
      <c r="L75" s="74"/>
      <c r="M75" s="72"/>
      <c r="N75" s="74"/>
      <c r="O75" s="74"/>
      <c r="P75" s="72"/>
      <c r="Q75" s="74"/>
      <c r="R75" s="74"/>
      <c r="S75" s="74"/>
      <c r="T75" s="74"/>
      <c r="U75" s="74"/>
      <c r="V75" s="72"/>
      <c r="X75" s="183" t="str">
        <f t="shared" ca="1" si="9"/>
        <v/>
      </c>
      <c r="Y75" s="183" t="str">
        <f t="shared" ca="1" si="10"/>
        <v/>
      </c>
      <c r="Z75" s="183" t="str">
        <f t="shared" ca="1" si="11"/>
        <v/>
      </c>
      <c r="AA75" s="184" t="str">
        <f t="shared" ca="1" si="12"/>
        <v/>
      </c>
    </row>
    <row r="76" spans="1:27" s="64" customFormat="1" ht="11.5" x14ac:dyDescent="0.25">
      <c r="A76" s="117"/>
      <c r="B76" s="117"/>
      <c r="C76" s="117"/>
      <c r="D76" s="118"/>
      <c r="E76" s="119"/>
      <c r="F76" s="120"/>
      <c r="G76" s="120"/>
      <c r="H76" s="120"/>
      <c r="I76" s="120"/>
      <c r="J76" s="121"/>
      <c r="K76" s="122"/>
      <c r="L76" s="122"/>
      <c r="M76" s="123"/>
      <c r="N76" s="122"/>
      <c r="O76" s="122"/>
      <c r="P76" s="123"/>
      <c r="Q76" s="122"/>
      <c r="R76" s="122"/>
      <c r="S76" s="123"/>
      <c r="T76" s="122"/>
      <c r="U76" s="122"/>
      <c r="V76" s="123"/>
      <c r="X76" s="183" t="str">
        <f t="shared" ca="1" si="9"/>
        <v/>
      </c>
      <c r="Y76" s="183" t="str">
        <f t="shared" ca="1" si="10"/>
        <v/>
      </c>
      <c r="Z76" s="183" t="str">
        <f t="shared" ca="1" si="11"/>
        <v/>
      </c>
      <c r="AA76" s="184" t="str">
        <f t="shared" ca="1" si="12"/>
        <v/>
      </c>
    </row>
    <row r="77" spans="1:27" s="64" customFormat="1" ht="11.5" x14ac:dyDescent="0.25">
      <c r="A77" s="70" t="s">
        <v>61</v>
      </c>
      <c r="B77" s="70" t="s">
        <v>62</v>
      </c>
      <c r="C77" s="65" t="s">
        <v>92</v>
      </c>
      <c r="D77" s="82" t="s">
        <v>271</v>
      </c>
      <c r="E77" s="65" t="s">
        <v>93</v>
      </c>
      <c r="F77" s="66">
        <f t="shared" ref="F77:H79" si="217">(COUNTIFS(K77,"&lt;="&amp;$D$1)*50%)+(COUNTIFS(N77,"&lt;="&amp;$D$1)*20%)+(COUNTIFS(Q77,"&lt;="&amp;$D$1)*10%)+(COUNTIFS(T77,"&lt;="&amp;$D$1)*20%)</f>
        <v>1</v>
      </c>
      <c r="G77" s="66">
        <f t="shared" si="217"/>
        <v>1</v>
      </c>
      <c r="H77" s="66">
        <f t="shared" si="217"/>
        <v>1</v>
      </c>
      <c r="I77" s="66">
        <f t="shared" si="1"/>
        <v>0</v>
      </c>
      <c r="J77" s="81">
        <v>0.05</v>
      </c>
      <c r="K77" s="68">
        <v>46157</v>
      </c>
      <c r="L77" s="68">
        <f t="shared" si="2"/>
        <v>46157</v>
      </c>
      <c r="M77" s="72">
        <v>46135</v>
      </c>
      <c r="N77" s="72">
        <f t="shared" si="3"/>
        <v>46199</v>
      </c>
      <c r="O77" s="68">
        <f t="shared" si="4"/>
        <v>46199</v>
      </c>
      <c r="P77" s="72">
        <v>46185</v>
      </c>
      <c r="Q77" s="72">
        <f t="shared" si="5"/>
        <v>46241</v>
      </c>
      <c r="R77" s="72">
        <f t="shared" si="6"/>
        <v>46241</v>
      </c>
      <c r="S77" s="72">
        <v>46185</v>
      </c>
      <c r="T77" s="72">
        <f t="shared" si="7"/>
        <v>46255</v>
      </c>
      <c r="U77" s="72">
        <f t="shared" si="8"/>
        <v>46255</v>
      </c>
      <c r="V77" s="72">
        <v>46192</v>
      </c>
      <c r="X77" s="183" t="str">
        <f t="shared" ca="1" si="9"/>
        <v>Completed</v>
      </c>
      <c r="Y77" s="183" t="str">
        <f t="shared" ca="1" si="10"/>
        <v>Completed</v>
      </c>
      <c r="Z77" s="183" t="str">
        <f t="shared" ca="1" si="11"/>
        <v>Completed</v>
      </c>
      <c r="AA77" s="184" t="str">
        <f t="shared" ca="1" si="12"/>
        <v>Completed</v>
      </c>
    </row>
    <row r="78" spans="1:27" s="64" customFormat="1" ht="11.5" x14ac:dyDescent="0.25">
      <c r="A78" s="70" t="s">
        <v>61</v>
      </c>
      <c r="B78" s="70" t="s">
        <v>62</v>
      </c>
      <c r="C78" s="65" t="s">
        <v>92</v>
      </c>
      <c r="D78" s="82" t="s">
        <v>272</v>
      </c>
      <c r="E78" s="65" t="s">
        <v>94</v>
      </c>
      <c r="F78" s="66">
        <f t="shared" si="217"/>
        <v>1</v>
      </c>
      <c r="G78" s="66">
        <f t="shared" si="217"/>
        <v>1</v>
      </c>
      <c r="H78" s="66">
        <f t="shared" si="217"/>
        <v>1</v>
      </c>
      <c r="I78" s="66">
        <f t="shared" si="1"/>
        <v>0</v>
      </c>
      <c r="J78" s="81">
        <v>0.05</v>
      </c>
      <c r="K78" s="68">
        <v>46157</v>
      </c>
      <c r="L78" s="72">
        <f t="shared" si="2"/>
        <v>46157</v>
      </c>
      <c r="M78" s="72">
        <v>46135</v>
      </c>
      <c r="N78" s="72">
        <f t="shared" si="3"/>
        <v>46199</v>
      </c>
      <c r="O78" s="72">
        <f t="shared" si="4"/>
        <v>46199</v>
      </c>
      <c r="P78" s="72">
        <v>46185</v>
      </c>
      <c r="Q78" s="72">
        <f t="shared" si="5"/>
        <v>46241</v>
      </c>
      <c r="R78" s="72">
        <f t="shared" si="6"/>
        <v>46241</v>
      </c>
      <c r="S78" s="72">
        <v>46185</v>
      </c>
      <c r="T78" s="72">
        <f t="shared" si="7"/>
        <v>46255</v>
      </c>
      <c r="U78" s="72">
        <f t="shared" si="8"/>
        <v>46255</v>
      </c>
      <c r="V78" s="72">
        <v>46192</v>
      </c>
      <c r="X78" s="183" t="str">
        <f t="shared" ca="1" si="9"/>
        <v>Completed</v>
      </c>
      <c r="Y78" s="183" t="str">
        <f t="shared" ca="1" si="10"/>
        <v>Completed</v>
      </c>
      <c r="Z78" s="183" t="str">
        <f t="shared" ca="1" si="11"/>
        <v>Completed</v>
      </c>
      <c r="AA78" s="184" t="str">
        <f t="shared" ca="1" si="12"/>
        <v>Completed</v>
      </c>
    </row>
    <row r="79" spans="1:27" s="64" customFormat="1" ht="11.5" x14ac:dyDescent="0.25">
      <c r="A79" s="70" t="s">
        <v>61</v>
      </c>
      <c r="B79" s="70" t="s">
        <v>62</v>
      </c>
      <c r="C79" s="65" t="s">
        <v>92</v>
      </c>
      <c r="D79" s="73" t="s">
        <v>273</v>
      </c>
      <c r="E79" s="65" t="s">
        <v>95</v>
      </c>
      <c r="F79" s="66">
        <f t="shared" si="217"/>
        <v>1</v>
      </c>
      <c r="G79" s="66">
        <f t="shared" si="217"/>
        <v>1</v>
      </c>
      <c r="H79" s="66">
        <f t="shared" si="217"/>
        <v>1</v>
      </c>
      <c r="I79" s="66">
        <f t="shared" si="1"/>
        <v>0</v>
      </c>
      <c r="J79" s="81">
        <v>0.1</v>
      </c>
      <c r="K79" s="68">
        <v>46157</v>
      </c>
      <c r="L79" s="72">
        <f t="shared" si="2"/>
        <v>46157</v>
      </c>
      <c r="M79" s="72">
        <v>46135</v>
      </c>
      <c r="N79" s="72">
        <f t="shared" si="3"/>
        <v>46199</v>
      </c>
      <c r="O79" s="72">
        <f t="shared" si="4"/>
        <v>46199</v>
      </c>
      <c r="P79" s="72">
        <v>46185</v>
      </c>
      <c r="Q79" s="72">
        <f t="shared" si="5"/>
        <v>46241</v>
      </c>
      <c r="R79" s="72">
        <f t="shared" si="6"/>
        <v>46241</v>
      </c>
      <c r="S79" s="72">
        <v>46185</v>
      </c>
      <c r="T79" s="72">
        <f t="shared" si="7"/>
        <v>46255</v>
      </c>
      <c r="U79" s="72">
        <f t="shared" si="8"/>
        <v>46255</v>
      </c>
      <c r="V79" s="72">
        <v>46192</v>
      </c>
      <c r="X79" s="183" t="str">
        <f t="shared" ca="1" si="9"/>
        <v>Completed</v>
      </c>
      <c r="Y79" s="183" t="str">
        <f t="shared" ca="1" si="10"/>
        <v>Completed</v>
      </c>
      <c r="Z79" s="183" t="str">
        <f t="shared" ca="1" si="11"/>
        <v>Completed</v>
      </c>
      <c r="AA79" s="184" t="str">
        <f t="shared" ca="1" si="12"/>
        <v>Completed</v>
      </c>
    </row>
    <row r="80" spans="1:27" s="64" customFormat="1" ht="11.5" x14ac:dyDescent="0.25">
      <c r="A80" s="70" t="s">
        <v>61</v>
      </c>
      <c r="B80" s="70" t="s">
        <v>62</v>
      </c>
      <c r="C80" s="65" t="s">
        <v>92</v>
      </c>
      <c r="D80" s="73" t="s">
        <v>274</v>
      </c>
      <c r="E80" s="65" t="s">
        <v>96</v>
      </c>
      <c r="F80" s="66">
        <f t="shared" ref="F80:F92" si="218">(COUNTIFS(K80,"&lt;="&amp;$D$1)*50%)+(COUNTIFS(N80,"&lt;="&amp;$D$1)*20%)+(COUNTIFS(Q80,"&lt;="&amp;$D$1)*10%)+(COUNTIFS(T80,"&lt;="&amp;$D$1)*20%)</f>
        <v>1</v>
      </c>
      <c r="G80" s="66">
        <f t="shared" ref="G80:G92" si="219">(COUNTIFS(L80,"&lt;="&amp;$D$1)*50%)+(COUNTIFS(O80,"&lt;="&amp;$D$1)*20%)+(COUNTIFS(R80,"&lt;="&amp;$D$1)*10%)+(COUNTIFS(U80,"&lt;="&amp;$D$1)*20%)</f>
        <v>1</v>
      </c>
      <c r="H80" s="66">
        <f t="shared" ref="H80:H92" si="220">(COUNTIFS(M80,"&lt;="&amp;$D$1)*50%)+(COUNTIFS(P80,"&lt;="&amp;$D$1)*20%)+(COUNTIFS(S80,"&lt;="&amp;$D$1)*10%)+(COUNTIFS(V80,"&lt;="&amp;$D$1)*20%)</f>
        <v>1</v>
      </c>
      <c r="I80" s="66">
        <f t="shared" ref="I80:I92" si="221">H80-F80</f>
        <v>0</v>
      </c>
      <c r="J80" s="81">
        <v>0.15</v>
      </c>
      <c r="K80" s="68">
        <v>46157</v>
      </c>
      <c r="L80" s="72">
        <f t="shared" si="2"/>
        <v>46157</v>
      </c>
      <c r="M80" s="72">
        <v>46135</v>
      </c>
      <c r="N80" s="72">
        <f t="shared" si="3"/>
        <v>46199</v>
      </c>
      <c r="O80" s="72">
        <f t="shared" si="4"/>
        <v>46199</v>
      </c>
      <c r="P80" s="72">
        <v>46191</v>
      </c>
      <c r="Q80" s="72">
        <f t="shared" si="5"/>
        <v>46241</v>
      </c>
      <c r="R80" s="72">
        <f t="shared" si="6"/>
        <v>46241</v>
      </c>
      <c r="S80" s="72">
        <v>46241</v>
      </c>
      <c r="T80" s="72">
        <f t="shared" si="7"/>
        <v>46255</v>
      </c>
      <c r="U80" s="72">
        <f t="shared" si="8"/>
        <v>46255</v>
      </c>
      <c r="V80" s="76">
        <v>46255</v>
      </c>
      <c r="X80" s="183" t="str">
        <f t="shared" ca="1" si="9"/>
        <v>Completed</v>
      </c>
      <c r="Y80" s="183" t="str">
        <f t="shared" ca="1" si="10"/>
        <v>Completed</v>
      </c>
      <c r="Z80" s="183" t="str">
        <f t="shared" ca="1" si="11"/>
        <v>Completed</v>
      </c>
      <c r="AA80" s="184" t="str">
        <f t="shared" ca="1" si="12"/>
        <v>Completed</v>
      </c>
    </row>
    <row r="81" spans="1:27" s="64" customFormat="1" ht="11.5" x14ac:dyDescent="0.25">
      <c r="A81" s="70" t="s">
        <v>61</v>
      </c>
      <c r="B81" s="70" t="s">
        <v>62</v>
      </c>
      <c r="C81" s="65" t="s">
        <v>92</v>
      </c>
      <c r="D81" s="82" t="s">
        <v>275</v>
      </c>
      <c r="E81" s="65" t="s">
        <v>97</v>
      </c>
      <c r="F81" s="66">
        <f t="shared" si="218"/>
        <v>1</v>
      </c>
      <c r="G81" s="66">
        <f t="shared" si="219"/>
        <v>1</v>
      </c>
      <c r="H81" s="66">
        <f t="shared" si="220"/>
        <v>1</v>
      </c>
      <c r="I81" s="66">
        <f t="shared" si="221"/>
        <v>0</v>
      </c>
      <c r="J81" s="81">
        <v>0.15</v>
      </c>
      <c r="K81" s="68">
        <v>46157</v>
      </c>
      <c r="L81" s="72">
        <f t="shared" si="2"/>
        <v>46157</v>
      </c>
      <c r="M81" s="72">
        <v>46135</v>
      </c>
      <c r="N81" s="72">
        <f t="shared" si="3"/>
        <v>46199</v>
      </c>
      <c r="O81" s="72">
        <f t="shared" si="4"/>
        <v>46199</v>
      </c>
      <c r="P81" s="72">
        <v>46185</v>
      </c>
      <c r="Q81" s="72">
        <f t="shared" si="5"/>
        <v>46241</v>
      </c>
      <c r="R81" s="72">
        <f t="shared" si="6"/>
        <v>46241</v>
      </c>
      <c r="S81" s="72">
        <v>46185</v>
      </c>
      <c r="T81" s="72">
        <f t="shared" si="7"/>
        <v>46255</v>
      </c>
      <c r="U81" s="72">
        <f t="shared" si="8"/>
        <v>46255</v>
      </c>
      <c r="V81" s="72">
        <v>46192</v>
      </c>
      <c r="X81" s="183" t="str">
        <f t="shared" ref="X81:X145" ca="1" si="222">IF(OR(M81&lt;&gt;""),"Completed",
IF(L81="","",IF(L81&lt;TODAY(),"Overdue",
IF(AND(L81&gt;=TODAY()-WEEKDAY(TODAY(),2)+1,L81&lt;=TODAY()-WEEKDAY(TODAY(),2)+7),"Follow-This Week",
IF(AND(L81&gt;=TODAY()-WEEKDAY(TODAY(),2)+8,L81&lt;=TODAY()-WEEKDAY(TODAY(),2)+14),"Follow-Next Week","")))))</f>
        <v>Completed</v>
      </c>
      <c r="Y81" s="183" t="str">
        <f t="shared" ref="Y81:Y145" ca="1" si="223">IF(OR(P81&lt;&gt;""),"Completed",IF(O81="","",
IF(O81&lt;TODAY(),"Overdue",
IF(AND(O81&gt;=TODAY()-WEEKDAY(TODAY(),2)+1,O81&lt;=TODAY()-WEEKDAY(TODAY(),2)+7),"Follow-This Week",
IF(AND(O81&gt;=TODAY()-WEEKDAY(TODAY(),2)+8,O81&lt;=TODAY()-WEEKDAY(TODAY(),2)+14),"Follow-Next Week","")))))</f>
        <v>Completed</v>
      </c>
      <c r="Z81" s="183" t="str">
        <f t="shared" ref="Z81:Z145" ca="1" si="224">IF(OR(S81&lt;&gt;""),"Completed",IF(R81="","",
IF(R81&lt;TODAY(),"Overdue",
IF(AND(R81&gt;=TODAY()-WEEKDAY(TODAY(),2)+1,R81&lt;=TODAY()-WEEKDAY(TODAY(),2)+7),"Follow-This Week",
IF(AND(R81&gt;=TODAY()-WEEKDAY(TODAY(),2)+8,R81&lt;=TODAY()-WEEKDAY(TODAY(),2)+14),"Follow-Next Week","")))))</f>
        <v>Completed</v>
      </c>
      <c r="AA81" s="184" t="str">
        <f t="shared" ref="AA81:AA145" ca="1" si="225">IF(OR(V81&lt;&gt;""),"Completed",IF(U81="","",
IF(U81&lt;TODAY(),"Overdue",
IF(AND(U81&gt;=TODAY()-WEEKDAY(TODAY(),2)+1,U81&lt;=TODAY()-WEEKDAY(TODAY(),2)+7),"Follow-This Week",
IF(AND(U81&gt;=TODAY()-WEEKDAY(TODAY(),2)+8,U81&lt;=TODAY()-WEEKDAY(TODAY(),2)+14),"Follow-Next Week","")))))</f>
        <v>Completed</v>
      </c>
    </row>
    <row r="82" spans="1:27" s="64" customFormat="1" ht="11.5" x14ac:dyDescent="0.25">
      <c r="A82" s="70" t="s">
        <v>61</v>
      </c>
      <c r="B82" s="70" t="s">
        <v>62</v>
      </c>
      <c r="C82" s="65" t="s">
        <v>92</v>
      </c>
      <c r="D82" s="82" t="s">
        <v>276</v>
      </c>
      <c r="E82" s="65" t="s">
        <v>98</v>
      </c>
      <c r="F82" s="66">
        <f t="shared" si="218"/>
        <v>1</v>
      </c>
      <c r="G82" s="66">
        <f t="shared" si="219"/>
        <v>1</v>
      </c>
      <c r="H82" s="66">
        <f t="shared" si="220"/>
        <v>1</v>
      </c>
      <c r="I82" s="66">
        <f t="shared" si="221"/>
        <v>0</v>
      </c>
      <c r="J82" s="81">
        <v>0.15</v>
      </c>
      <c r="K82" s="68">
        <v>46157</v>
      </c>
      <c r="L82" s="72">
        <f t="shared" si="2"/>
        <v>46157</v>
      </c>
      <c r="M82" s="72">
        <v>46135</v>
      </c>
      <c r="N82" s="72">
        <f t="shared" si="3"/>
        <v>46199</v>
      </c>
      <c r="O82" s="72">
        <f t="shared" si="4"/>
        <v>46199</v>
      </c>
      <c r="P82" s="72">
        <v>46191</v>
      </c>
      <c r="Q82" s="72">
        <f t="shared" si="5"/>
        <v>46241</v>
      </c>
      <c r="R82" s="72">
        <f t="shared" si="6"/>
        <v>46241</v>
      </c>
      <c r="S82" s="72">
        <v>46241</v>
      </c>
      <c r="T82" s="72">
        <f t="shared" si="7"/>
        <v>46255</v>
      </c>
      <c r="U82" s="72">
        <f t="shared" si="8"/>
        <v>46255</v>
      </c>
      <c r="V82" s="76">
        <v>46255</v>
      </c>
      <c r="X82" s="183" t="str">
        <f t="shared" ca="1" si="222"/>
        <v>Completed</v>
      </c>
      <c r="Y82" s="183" t="str">
        <f t="shared" ca="1" si="223"/>
        <v>Completed</v>
      </c>
      <c r="Z82" s="183" t="str">
        <f t="shared" ca="1" si="224"/>
        <v>Completed</v>
      </c>
      <c r="AA82" s="184" t="str">
        <f t="shared" ca="1" si="225"/>
        <v>Completed</v>
      </c>
    </row>
    <row r="83" spans="1:27" s="64" customFormat="1" ht="11.5" x14ac:dyDescent="0.25">
      <c r="A83" s="70" t="s">
        <v>61</v>
      </c>
      <c r="B83" s="70" t="s">
        <v>62</v>
      </c>
      <c r="C83" s="65" t="s">
        <v>92</v>
      </c>
      <c r="D83" s="73" t="s">
        <v>277</v>
      </c>
      <c r="E83" s="65" t="s">
        <v>99</v>
      </c>
      <c r="F83" s="66">
        <f t="shared" si="218"/>
        <v>1</v>
      </c>
      <c r="G83" s="66">
        <f t="shared" si="219"/>
        <v>1</v>
      </c>
      <c r="H83" s="66">
        <f t="shared" si="220"/>
        <v>1</v>
      </c>
      <c r="I83" s="66">
        <f t="shared" si="221"/>
        <v>0</v>
      </c>
      <c r="J83" s="81">
        <v>0.15</v>
      </c>
      <c r="K83" s="68">
        <v>46157</v>
      </c>
      <c r="L83" s="72">
        <f t="shared" si="2"/>
        <v>46157</v>
      </c>
      <c r="M83" s="72">
        <v>46135</v>
      </c>
      <c r="N83" s="72">
        <f t="shared" si="3"/>
        <v>46199</v>
      </c>
      <c r="O83" s="72">
        <f t="shared" si="4"/>
        <v>46199</v>
      </c>
      <c r="P83" s="72">
        <v>46185</v>
      </c>
      <c r="Q83" s="72">
        <f t="shared" si="5"/>
        <v>46241</v>
      </c>
      <c r="R83" s="72">
        <f t="shared" si="6"/>
        <v>46241</v>
      </c>
      <c r="S83" s="72">
        <v>46185</v>
      </c>
      <c r="T83" s="72">
        <f t="shared" si="7"/>
        <v>46255</v>
      </c>
      <c r="U83" s="72">
        <f t="shared" si="8"/>
        <v>46255</v>
      </c>
      <c r="V83" s="72">
        <v>46192</v>
      </c>
      <c r="X83" s="183" t="str">
        <f t="shared" ca="1" si="222"/>
        <v>Completed</v>
      </c>
      <c r="Y83" s="183" t="str">
        <f t="shared" ca="1" si="223"/>
        <v>Completed</v>
      </c>
      <c r="Z83" s="183" t="str">
        <f t="shared" ca="1" si="224"/>
        <v>Completed</v>
      </c>
      <c r="AA83" s="184" t="str">
        <f t="shared" ca="1" si="225"/>
        <v>Completed</v>
      </c>
    </row>
    <row r="84" spans="1:27" s="64" customFormat="1" ht="11.5" x14ac:dyDescent="0.25">
      <c r="A84" s="70" t="s">
        <v>61</v>
      </c>
      <c r="B84" s="70" t="s">
        <v>62</v>
      </c>
      <c r="C84" s="65" t="s">
        <v>92</v>
      </c>
      <c r="D84" s="73" t="s">
        <v>278</v>
      </c>
      <c r="E84" s="65" t="s">
        <v>100</v>
      </c>
      <c r="F84" s="66">
        <f t="shared" si="218"/>
        <v>1</v>
      </c>
      <c r="G84" s="66">
        <f t="shared" si="219"/>
        <v>1</v>
      </c>
      <c r="H84" s="66">
        <f t="shared" si="220"/>
        <v>1</v>
      </c>
      <c r="I84" s="66">
        <f t="shared" si="221"/>
        <v>0</v>
      </c>
      <c r="J84" s="81">
        <v>0.15</v>
      </c>
      <c r="K84" s="68">
        <v>46157</v>
      </c>
      <c r="L84" s="72">
        <f t="shared" si="2"/>
        <v>46157</v>
      </c>
      <c r="M84" s="72">
        <v>46135</v>
      </c>
      <c r="N84" s="72">
        <f t="shared" si="3"/>
        <v>46199</v>
      </c>
      <c r="O84" s="72">
        <f t="shared" si="4"/>
        <v>46199</v>
      </c>
      <c r="P84" s="72">
        <v>46185</v>
      </c>
      <c r="Q84" s="72">
        <f t="shared" si="5"/>
        <v>46241</v>
      </c>
      <c r="R84" s="72">
        <f t="shared" si="6"/>
        <v>46241</v>
      </c>
      <c r="S84" s="72">
        <v>46185</v>
      </c>
      <c r="T84" s="72">
        <f t="shared" si="7"/>
        <v>46255</v>
      </c>
      <c r="U84" s="72">
        <f t="shared" si="8"/>
        <v>46255</v>
      </c>
      <c r="V84" s="72">
        <v>46192</v>
      </c>
      <c r="X84" s="183" t="str">
        <f t="shared" ca="1" si="222"/>
        <v>Completed</v>
      </c>
      <c r="Y84" s="183" t="str">
        <f t="shared" ca="1" si="223"/>
        <v>Completed</v>
      </c>
      <c r="Z84" s="183" t="str">
        <f t="shared" ca="1" si="224"/>
        <v>Completed</v>
      </c>
      <c r="AA84" s="184" t="str">
        <f t="shared" ca="1" si="225"/>
        <v>Completed</v>
      </c>
    </row>
    <row r="85" spans="1:27" s="64" customFormat="1" ht="11.5" x14ac:dyDescent="0.25">
      <c r="A85" s="70" t="s">
        <v>61</v>
      </c>
      <c r="B85" s="70" t="s">
        <v>62</v>
      </c>
      <c r="C85" s="65" t="s">
        <v>92</v>
      </c>
      <c r="D85" s="82" t="s">
        <v>279</v>
      </c>
      <c r="E85" s="65" t="s">
        <v>101</v>
      </c>
      <c r="F85" s="66">
        <f t="shared" si="218"/>
        <v>1</v>
      </c>
      <c r="G85" s="66">
        <f t="shared" si="219"/>
        <v>1</v>
      </c>
      <c r="H85" s="66">
        <f t="shared" si="220"/>
        <v>1</v>
      </c>
      <c r="I85" s="66">
        <f t="shared" si="221"/>
        <v>0</v>
      </c>
      <c r="J85" s="81">
        <v>0.15</v>
      </c>
      <c r="K85" s="68">
        <v>46157</v>
      </c>
      <c r="L85" s="72">
        <f t="shared" si="2"/>
        <v>46157</v>
      </c>
      <c r="M85" s="72">
        <v>46135</v>
      </c>
      <c r="N85" s="72">
        <f t="shared" si="3"/>
        <v>46199</v>
      </c>
      <c r="O85" s="72">
        <f t="shared" si="4"/>
        <v>46199</v>
      </c>
      <c r="P85" s="72">
        <v>46191</v>
      </c>
      <c r="Q85" s="72">
        <f t="shared" si="5"/>
        <v>46241</v>
      </c>
      <c r="R85" s="72">
        <f t="shared" si="6"/>
        <v>46241</v>
      </c>
      <c r="S85" s="72">
        <v>46241</v>
      </c>
      <c r="T85" s="72">
        <f t="shared" si="7"/>
        <v>46255</v>
      </c>
      <c r="U85" s="72">
        <f t="shared" si="8"/>
        <v>46255</v>
      </c>
      <c r="V85" s="76">
        <v>46255</v>
      </c>
      <c r="X85" s="183" t="str">
        <f t="shared" ca="1" si="222"/>
        <v>Completed</v>
      </c>
      <c r="Y85" s="183" t="str">
        <f t="shared" ca="1" si="223"/>
        <v>Completed</v>
      </c>
      <c r="Z85" s="183" t="str">
        <f t="shared" ca="1" si="224"/>
        <v>Completed</v>
      </c>
      <c r="AA85" s="184" t="str">
        <f t="shared" ca="1" si="225"/>
        <v>Completed</v>
      </c>
    </row>
    <row r="86" spans="1:27" s="64" customFormat="1" ht="11.5" x14ac:dyDescent="0.25">
      <c r="A86" s="70" t="s">
        <v>61</v>
      </c>
      <c r="B86" s="70" t="s">
        <v>62</v>
      </c>
      <c r="C86" s="65" t="s">
        <v>92</v>
      </c>
      <c r="D86" s="82" t="s">
        <v>280</v>
      </c>
      <c r="E86" s="65" t="s">
        <v>102</v>
      </c>
      <c r="F86" s="66">
        <f t="shared" si="218"/>
        <v>1</v>
      </c>
      <c r="G86" s="66">
        <f t="shared" si="219"/>
        <v>1</v>
      </c>
      <c r="H86" s="66">
        <f t="shared" si="220"/>
        <v>1</v>
      </c>
      <c r="I86" s="66">
        <f t="shared" si="221"/>
        <v>0</v>
      </c>
      <c r="J86" s="81">
        <v>0.15</v>
      </c>
      <c r="K86" s="68">
        <v>46157</v>
      </c>
      <c r="L86" s="72">
        <f t="shared" si="2"/>
        <v>46157</v>
      </c>
      <c r="M86" s="72">
        <v>46135</v>
      </c>
      <c r="N86" s="72">
        <f t="shared" si="3"/>
        <v>46199</v>
      </c>
      <c r="O86" s="72">
        <f t="shared" si="4"/>
        <v>46199</v>
      </c>
      <c r="P86" s="72">
        <v>46185</v>
      </c>
      <c r="Q86" s="72">
        <f t="shared" si="5"/>
        <v>46241</v>
      </c>
      <c r="R86" s="72">
        <f t="shared" si="6"/>
        <v>46241</v>
      </c>
      <c r="S86" s="72">
        <v>46185</v>
      </c>
      <c r="T86" s="72">
        <f t="shared" si="7"/>
        <v>46255</v>
      </c>
      <c r="U86" s="72">
        <f t="shared" si="8"/>
        <v>46255</v>
      </c>
      <c r="V86" s="76">
        <v>46198</v>
      </c>
      <c r="X86" s="183" t="str">
        <f t="shared" ca="1" si="222"/>
        <v>Completed</v>
      </c>
      <c r="Y86" s="183" t="str">
        <f t="shared" ca="1" si="223"/>
        <v>Completed</v>
      </c>
      <c r="Z86" s="183" t="str">
        <f t="shared" ca="1" si="224"/>
        <v>Completed</v>
      </c>
      <c r="AA86" s="184" t="str">
        <f t="shared" ca="1" si="225"/>
        <v>Completed</v>
      </c>
    </row>
    <row r="87" spans="1:27" s="64" customFormat="1" ht="11.5" x14ac:dyDescent="0.25">
      <c r="A87" s="70" t="s">
        <v>61</v>
      </c>
      <c r="B87" s="70" t="s">
        <v>62</v>
      </c>
      <c r="C87" s="65" t="s">
        <v>92</v>
      </c>
      <c r="D87" s="73" t="s">
        <v>281</v>
      </c>
      <c r="E87" s="65" t="s">
        <v>103</v>
      </c>
      <c r="F87" s="66">
        <f t="shared" si="218"/>
        <v>1</v>
      </c>
      <c r="G87" s="66">
        <f t="shared" si="219"/>
        <v>1</v>
      </c>
      <c r="H87" s="66">
        <f t="shared" si="220"/>
        <v>1</v>
      </c>
      <c r="I87" s="66">
        <f t="shared" si="221"/>
        <v>0</v>
      </c>
      <c r="J87" s="81">
        <v>0.15</v>
      </c>
      <c r="K87" s="68">
        <v>46157</v>
      </c>
      <c r="L87" s="72">
        <f t="shared" si="2"/>
        <v>46157</v>
      </c>
      <c r="M87" s="72">
        <v>46135</v>
      </c>
      <c r="N87" s="72">
        <f t="shared" si="3"/>
        <v>46199</v>
      </c>
      <c r="O87" s="72">
        <f t="shared" si="4"/>
        <v>46199</v>
      </c>
      <c r="P87" s="72">
        <v>46191</v>
      </c>
      <c r="Q87" s="72">
        <f t="shared" si="5"/>
        <v>46241</v>
      </c>
      <c r="R87" s="72">
        <f t="shared" si="6"/>
        <v>46241</v>
      </c>
      <c r="S87" s="72">
        <v>46241</v>
      </c>
      <c r="T87" s="72">
        <f t="shared" si="7"/>
        <v>46255</v>
      </c>
      <c r="U87" s="72">
        <f t="shared" si="8"/>
        <v>46255</v>
      </c>
      <c r="V87" s="76">
        <v>46255</v>
      </c>
      <c r="X87" s="183" t="str">
        <f t="shared" ca="1" si="222"/>
        <v>Completed</v>
      </c>
      <c r="Y87" s="183" t="str">
        <f t="shared" ca="1" si="223"/>
        <v>Completed</v>
      </c>
      <c r="Z87" s="183" t="str">
        <f t="shared" ca="1" si="224"/>
        <v>Completed</v>
      </c>
      <c r="AA87" s="184" t="str">
        <f t="shared" ca="1" si="225"/>
        <v>Completed</v>
      </c>
    </row>
    <row r="88" spans="1:27" s="64" customFormat="1" ht="11.5" x14ac:dyDescent="0.25">
      <c r="A88" s="70" t="s">
        <v>61</v>
      </c>
      <c r="B88" s="70" t="s">
        <v>62</v>
      </c>
      <c r="C88" s="65" t="s">
        <v>92</v>
      </c>
      <c r="D88" s="73" t="s">
        <v>282</v>
      </c>
      <c r="E88" s="65" t="s">
        <v>104</v>
      </c>
      <c r="F88" s="66">
        <f t="shared" si="218"/>
        <v>1</v>
      </c>
      <c r="G88" s="66">
        <f t="shared" si="219"/>
        <v>1</v>
      </c>
      <c r="H88" s="66">
        <f t="shared" si="220"/>
        <v>0.79999999999999993</v>
      </c>
      <c r="I88" s="66">
        <f t="shared" si="221"/>
        <v>-0.20000000000000007</v>
      </c>
      <c r="J88" s="81">
        <v>0.15</v>
      </c>
      <c r="K88" s="68">
        <v>46157</v>
      </c>
      <c r="L88" s="72">
        <f t="shared" si="2"/>
        <v>46157</v>
      </c>
      <c r="M88" s="72">
        <v>46135</v>
      </c>
      <c r="N88" s="72">
        <f t="shared" si="3"/>
        <v>46199</v>
      </c>
      <c r="O88" s="72">
        <f t="shared" si="4"/>
        <v>46199</v>
      </c>
      <c r="P88" s="72">
        <v>46191</v>
      </c>
      <c r="Q88" s="72">
        <f t="shared" si="5"/>
        <v>46241</v>
      </c>
      <c r="R88" s="72">
        <f t="shared" si="6"/>
        <v>46241</v>
      </c>
      <c r="S88" s="72">
        <v>46241</v>
      </c>
      <c r="T88" s="72">
        <f t="shared" si="7"/>
        <v>46255</v>
      </c>
      <c r="U88" s="72">
        <f t="shared" si="8"/>
        <v>46255</v>
      </c>
      <c r="V88" s="76"/>
      <c r="X88" s="183" t="str">
        <f t="shared" ca="1" si="222"/>
        <v>Completed</v>
      </c>
      <c r="Y88" s="183" t="str">
        <f t="shared" ca="1" si="223"/>
        <v>Completed</v>
      </c>
      <c r="Z88" s="183" t="str">
        <f t="shared" ca="1" si="224"/>
        <v>Completed</v>
      </c>
      <c r="AA88" s="184" t="str">
        <f t="shared" ca="1" si="225"/>
        <v>Overdue</v>
      </c>
    </row>
    <row r="89" spans="1:27" s="64" customFormat="1" ht="11.5" x14ac:dyDescent="0.25">
      <c r="A89" s="70" t="s">
        <v>61</v>
      </c>
      <c r="B89" s="70" t="s">
        <v>62</v>
      </c>
      <c r="C89" s="65" t="s">
        <v>92</v>
      </c>
      <c r="D89" s="82" t="s">
        <v>283</v>
      </c>
      <c r="E89" s="65" t="s">
        <v>105</v>
      </c>
      <c r="F89" s="66">
        <f t="shared" si="218"/>
        <v>1</v>
      </c>
      <c r="G89" s="66">
        <f t="shared" si="219"/>
        <v>1</v>
      </c>
      <c r="H89" s="66">
        <f t="shared" si="220"/>
        <v>1</v>
      </c>
      <c r="I89" s="66">
        <f t="shared" si="221"/>
        <v>0</v>
      </c>
      <c r="J89" s="81">
        <v>0.15</v>
      </c>
      <c r="K89" s="68">
        <v>46157</v>
      </c>
      <c r="L89" s="72">
        <f t="shared" si="2"/>
        <v>46157</v>
      </c>
      <c r="M89" s="72">
        <v>46135</v>
      </c>
      <c r="N89" s="72">
        <f t="shared" si="3"/>
        <v>46199</v>
      </c>
      <c r="O89" s="72">
        <f t="shared" si="4"/>
        <v>46199</v>
      </c>
      <c r="P89" s="72">
        <v>46241</v>
      </c>
      <c r="Q89" s="72">
        <f t="shared" si="5"/>
        <v>46241</v>
      </c>
      <c r="R89" s="72">
        <f t="shared" si="6"/>
        <v>46241</v>
      </c>
      <c r="S89" s="72">
        <v>46255</v>
      </c>
      <c r="T89" s="72">
        <f t="shared" si="7"/>
        <v>46255</v>
      </c>
      <c r="U89" s="72">
        <f t="shared" si="8"/>
        <v>46255</v>
      </c>
      <c r="V89" s="76">
        <v>46255</v>
      </c>
      <c r="X89" s="183" t="str">
        <f t="shared" ca="1" si="222"/>
        <v>Completed</v>
      </c>
      <c r="Y89" s="183" t="str">
        <f t="shared" ca="1" si="223"/>
        <v>Completed</v>
      </c>
      <c r="Z89" s="183" t="str">
        <f t="shared" ca="1" si="224"/>
        <v>Completed</v>
      </c>
      <c r="AA89" s="184" t="str">
        <f t="shared" ca="1" si="225"/>
        <v>Completed</v>
      </c>
    </row>
    <row r="90" spans="1:27" s="64" customFormat="1" ht="11" customHeight="1" x14ac:dyDescent="0.25">
      <c r="A90" s="70" t="s">
        <v>61</v>
      </c>
      <c r="B90" s="70" t="s">
        <v>62</v>
      </c>
      <c r="C90" s="65" t="s">
        <v>92</v>
      </c>
      <c r="D90" s="82" t="s">
        <v>284</v>
      </c>
      <c r="E90" s="65" t="s">
        <v>106</v>
      </c>
      <c r="F90" s="66">
        <f t="shared" si="218"/>
        <v>1</v>
      </c>
      <c r="G90" s="66">
        <f t="shared" si="219"/>
        <v>1</v>
      </c>
      <c r="H90" s="66">
        <f t="shared" si="220"/>
        <v>1</v>
      </c>
      <c r="I90" s="66">
        <f t="shared" si="221"/>
        <v>0</v>
      </c>
      <c r="J90" s="81">
        <v>0.15</v>
      </c>
      <c r="K90" s="68">
        <v>46157</v>
      </c>
      <c r="L90" s="72">
        <f t="shared" si="2"/>
        <v>46157</v>
      </c>
      <c r="M90" s="72">
        <v>46135</v>
      </c>
      <c r="N90" s="72">
        <f t="shared" si="3"/>
        <v>46199</v>
      </c>
      <c r="O90" s="72">
        <f t="shared" si="4"/>
        <v>46199</v>
      </c>
      <c r="P90" s="72">
        <v>46185</v>
      </c>
      <c r="Q90" s="72">
        <f t="shared" si="5"/>
        <v>46241</v>
      </c>
      <c r="R90" s="72">
        <f t="shared" si="6"/>
        <v>46241</v>
      </c>
      <c r="S90" s="72">
        <v>46185</v>
      </c>
      <c r="T90" s="72">
        <f t="shared" si="7"/>
        <v>46255</v>
      </c>
      <c r="U90" s="72">
        <f t="shared" si="8"/>
        <v>46255</v>
      </c>
      <c r="V90" s="72">
        <v>46192</v>
      </c>
      <c r="X90" s="183" t="str">
        <f t="shared" ca="1" si="222"/>
        <v>Completed</v>
      </c>
      <c r="Y90" s="183" t="str">
        <f t="shared" ca="1" si="223"/>
        <v>Completed</v>
      </c>
      <c r="Z90" s="183" t="str">
        <f t="shared" ca="1" si="224"/>
        <v>Completed</v>
      </c>
      <c r="AA90" s="184" t="str">
        <f t="shared" ca="1" si="225"/>
        <v>Completed</v>
      </c>
    </row>
    <row r="91" spans="1:27" s="64" customFormat="1" ht="11" customHeight="1" x14ac:dyDescent="0.25">
      <c r="A91" s="70" t="s">
        <v>61</v>
      </c>
      <c r="B91" s="70" t="s">
        <v>62</v>
      </c>
      <c r="C91" s="65" t="s">
        <v>92</v>
      </c>
      <c r="D91" s="73" t="s">
        <v>285</v>
      </c>
      <c r="E91" s="65" t="s">
        <v>107</v>
      </c>
      <c r="F91" s="66">
        <f t="shared" si="218"/>
        <v>1</v>
      </c>
      <c r="G91" s="66">
        <f t="shared" si="219"/>
        <v>1</v>
      </c>
      <c r="H91" s="66">
        <f t="shared" si="220"/>
        <v>1</v>
      </c>
      <c r="I91" s="66">
        <f t="shared" si="221"/>
        <v>0</v>
      </c>
      <c r="J91" s="81">
        <v>0.15</v>
      </c>
      <c r="K91" s="68">
        <v>46157</v>
      </c>
      <c r="L91" s="72">
        <f t="shared" si="2"/>
        <v>46157</v>
      </c>
      <c r="M91" s="72">
        <v>46135</v>
      </c>
      <c r="N91" s="72">
        <f t="shared" si="3"/>
        <v>46199</v>
      </c>
      <c r="O91" s="72">
        <f t="shared" si="4"/>
        <v>46199</v>
      </c>
      <c r="P91" s="72">
        <v>46185</v>
      </c>
      <c r="Q91" s="72">
        <f t="shared" si="5"/>
        <v>46241</v>
      </c>
      <c r="R91" s="72">
        <f t="shared" si="6"/>
        <v>46241</v>
      </c>
      <c r="S91" s="72">
        <v>46185</v>
      </c>
      <c r="T91" s="72">
        <f t="shared" si="7"/>
        <v>46255</v>
      </c>
      <c r="U91" s="72">
        <f t="shared" si="8"/>
        <v>46255</v>
      </c>
      <c r="V91" s="76">
        <v>46198</v>
      </c>
      <c r="X91" s="183" t="str">
        <f t="shared" ca="1" si="222"/>
        <v>Completed</v>
      </c>
      <c r="Y91" s="183" t="str">
        <f t="shared" ca="1" si="223"/>
        <v>Completed</v>
      </c>
      <c r="Z91" s="183" t="str">
        <f t="shared" ca="1" si="224"/>
        <v>Completed</v>
      </c>
      <c r="AA91" s="184" t="str">
        <f t="shared" ca="1" si="225"/>
        <v>Completed</v>
      </c>
    </row>
    <row r="92" spans="1:27" s="64" customFormat="1" ht="11" customHeight="1" x14ac:dyDescent="0.25">
      <c r="A92" s="70" t="s">
        <v>61</v>
      </c>
      <c r="B92" s="70" t="s">
        <v>62</v>
      </c>
      <c r="C92" s="65" t="s">
        <v>92</v>
      </c>
      <c r="D92" s="73" t="s">
        <v>286</v>
      </c>
      <c r="E92" s="65" t="s">
        <v>108</v>
      </c>
      <c r="F92" s="66">
        <f t="shared" si="218"/>
        <v>1</v>
      </c>
      <c r="G92" s="66">
        <f t="shared" si="219"/>
        <v>1</v>
      </c>
      <c r="H92" s="66">
        <f t="shared" si="220"/>
        <v>0.7</v>
      </c>
      <c r="I92" s="66">
        <f t="shared" si="221"/>
        <v>-0.30000000000000004</v>
      </c>
      <c r="J92" s="81">
        <v>0.15</v>
      </c>
      <c r="K92" s="68">
        <v>46157</v>
      </c>
      <c r="L92" s="72">
        <f t="shared" si="2"/>
        <v>46157</v>
      </c>
      <c r="M92" s="72">
        <v>46135</v>
      </c>
      <c r="N92" s="72">
        <f t="shared" si="3"/>
        <v>46199</v>
      </c>
      <c r="O92" s="72">
        <f t="shared" si="4"/>
        <v>46199</v>
      </c>
      <c r="P92" s="72">
        <v>46241</v>
      </c>
      <c r="Q92" s="72">
        <f t="shared" si="5"/>
        <v>46241</v>
      </c>
      <c r="R92" s="72">
        <f t="shared" si="6"/>
        <v>46241</v>
      </c>
      <c r="S92" s="72"/>
      <c r="T92" s="72">
        <f t="shared" si="7"/>
        <v>46255</v>
      </c>
      <c r="U92" s="72">
        <f t="shared" si="8"/>
        <v>46255</v>
      </c>
      <c r="V92" s="76"/>
      <c r="X92" s="183" t="str">
        <f t="shared" ca="1" si="222"/>
        <v>Completed</v>
      </c>
      <c r="Y92" s="183" t="str">
        <f t="shared" ca="1" si="223"/>
        <v>Completed</v>
      </c>
      <c r="Z92" s="183" t="str">
        <f t="shared" ca="1" si="224"/>
        <v>Overdue</v>
      </c>
      <c r="AA92" s="184" t="str">
        <f t="shared" ca="1" si="225"/>
        <v>Overdue</v>
      </c>
    </row>
    <row r="93" spans="1:27" s="64" customFormat="1" ht="11.5" x14ac:dyDescent="0.25">
      <c r="A93" s="70" t="s">
        <v>61</v>
      </c>
      <c r="B93" s="70" t="s">
        <v>62</v>
      </c>
      <c r="C93" s="70" t="s">
        <v>92</v>
      </c>
      <c r="D93" s="75" t="s">
        <v>287</v>
      </c>
      <c r="E93" s="75" t="s">
        <v>109</v>
      </c>
      <c r="F93" s="116">
        <f t="shared" ref="F93:G108" si="226">(COUNTIFS(K93,"&lt;="&amp;$D$1)*50%)+(COUNTIFS(N93,"&lt;="&amp;$D$1)*20%)+(COUNTIFS(Q93,"&lt;="&amp;$D$1)*10%)+(COUNTIFS(T93,"&lt;="&amp;$D$1)*20%)</f>
        <v>1</v>
      </c>
      <c r="G93" s="116">
        <f>(COUNTIFS(L93,"&lt;="&amp;$D$1)*50%)+(COUNTIFS(O93,"&lt;="&amp;$D$1)*20%)+(COUNTIFS(R93,"&lt;="&amp;$D$1)*10%)+(COUNTIFS(U93,"&lt;="&amp;$D$1)*20%)</f>
        <v>1</v>
      </c>
      <c r="H93" s="116">
        <f t="shared" ref="G93:H115" si="227">(COUNTIFS(M93,"&lt;="&amp;$D$1)*50%)+(COUNTIFS(P93,"&lt;="&amp;$D$1)*20%)+(COUNTIFS(S93,"&lt;="&amp;$D$1)*10%)+(COUNTIFS(V93,"&lt;="&amp;$D$1)*20%)</f>
        <v>0.7</v>
      </c>
      <c r="I93" s="116">
        <f t="shared" ref="I93:I153" si="228">H93-F93</f>
        <v>-0.30000000000000004</v>
      </c>
      <c r="J93" s="81">
        <v>0.15</v>
      </c>
      <c r="K93" s="68">
        <v>46157</v>
      </c>
      <c r="L93" s="72">
        <f t="shared" si="2"/>
        <v>46157</v>
      </c>
      <c r="M93" s="72">
        <v>46135</v>
      </c>
      <c r="N93" s="72">
        <f t="shared" si="3"/>
        <v>46199</v>
      </c>
      <c r="O93" s="72">
        <f t="shared" si="4"/>
        <v>46199</v>
      </c>
      <c r="P93" s="72">
        <v>46241</v>
      </c>
      <c r="Q93" s="72">
        <f t="shared" si="5"/>
        <v>46241</v>
      </c>
      <c r="R93" s="72">
        <f t="shared" si="6"/>
        <v>46241</v>
      </c>
      <c r="S93" s="74"/>
      <c r="T93" s="72">
        <f t="shared" si="7"/>
        <v>46255</v>
      </c>
      <c r="U93" s="72">
        <f t="shared" si="8"/>
        <v>46255</v>
      </c>
      <c r="V93" s="72"/>
      <c r="X93" s="183" t="str">
        <f t="shared" ca="1" si="222"/>
        <v>Completed</v>
      </c>
      <c r="Y93" s="183" t="str">
        <f t="shared" ca="1" si="223"/>
        <v>Completed</v>
      </c>
      <c r="Z93" s="183" t="str">
        <f t="shared" ca="1" si="224"/>
        <v>Overdue</v>
      </c>
      <c r="AA93" s="184" t="str">
        <f t="shared" ca="1" si="225"/>
        <v>Overdue</v>
      </c>
    </row>
    <row r="94" spans="1:27" s="64" customFormat="1" ht="11.5" x14ac:dyDescent="0.25">
      <c r="A94" s="70" t="s">
        <v>61</v>
      </c>
      <c r="B94" s="70" t="s">
        <v>62</v>
      </c>
      <c r="C94" s="70" t="s">
        <v>92</v>
      </c>
      <c r="D94" s="75" t="s">
        <v>288</v>
      </c>
      <c r="E94" s="75" t="s">
        <v>110</v>
      </c>
      <c r="F94" s="116">
        <f t="shared" si="226"/>
        <v>1</v>
      </c>
      <c r="G94" s="116">
        <f t="shared" si="226"/>
        <v>1</v>
      </c>
      <c r="H94" s="116">
        <f t="shared" si="227"/>
        <v>1</v>
      </c>
      <c r="I94" s="116">
        <f t="shared" si="228"/>
        <v>0</v>
      </c>
      <c r="J94" s="81">
        <v>0.15</v>
      </c>
      <c r="K94" s="68">
        <v>46157</v>
      </c>
      <c r="L94" s="72">
        <f t="shared" ref="L94:L166" si="229">K94</f>
        <v>46157</v>
      </c>
      <c r="M94" s="72">
        <v>46135</v>
      </c>
      <c r="N94" s="72">
        <f t="shared" ref="N94:N166" si="230">K94+42</f>
        <v>46199</v>
      </c>
      <c r="O94" s="72">
        <f t="shared" ref="O94:O166" si="231">N94</f>
        <v>46199</v>
      </c>
      <c r="P94" s="72">
        <v>46185</v>
      </c>
      <c r="Q94" s="72">
        <f t="shared" ref="Q94:Q166" si="232">N94+42</f>
        <v>46241</v>
      </c>
      <c r="R94" s="72">
        <f t="shared" ref="R94:R166" si="233">Q94</f>
        <v>46241</v>
      </c>
      <c r="S94" s="72">
        <v>46185</v>
      </c>
      <c r="T94" s="72">
        <f t="shared" ref="T94:T166" si="234">Q94+14</f>
        <v>46255</v>
      </c>
      <c r="U94" s="72">
        <f t="shared" ref="U94:U166" si="235">T94</f>
        <v>46255</v>
      </c>
      <c r="V94" s="76">
        <v>46198</v>
      </c>
      <c r="X94" s="183" t="str">
        <f t="shared" ca="1" si="222"/>
        <v>Completed</v>
      </c>
      <c r="Y94" s="183" t="str">
        <f t="shared" ca="1" si="223"/>
        <v>Completed</v>
      </c>
      <c r="Z94" s="183" t="str">
        <f t="shared" ca="1" si="224"/>
        <v>Completed</v>
      </c>
      <c r="AA94" s="184" t="str">
        <f t="shared" ca="1" si="225"/>
        <v>Completed</v>
      </c>
    </row>
    <row r="95" spans="1:27" s="64" customFormat="1" ht="11.5" x14ac:dyDescent="0.25">
      <c r="A95" s="70" t="s">
        <v>61</v>
      </c>
      <c r="B95" s="70" t="s">
        <v>62</v>
      </c>
      <c r="C95" s="70" t="s">
        <v>92</v>
      </c>
      <c r="D95" s="75" t="s">
        <v>289</v>
      </c>
      <c r="E95" s="75" t="s">
        <v>111</v>
      </c>
      <c r="F95" s="116">
        <f t="shared" si="226"/>
        <v>1</v>
      </c>
      <c r="G95" s="116">
        <f t="shared" si="226"/>
        <v>1</v>
      </c>
      <c r="H95" s="116">
        <f t="shared" si="227"/>
        <v>1</v>
      </c>
      <c r="I95" s="116">
        <f t="shared" si="228"/>
        <v>0</v>
      </c>
      <c r="J95" s="81">
        <v>0.15</v>
      </c>
      <c r="K95" s="68">
        <v>46157</v>
      </c>
      <c r="L95" s="72">
        <f t="shared" si="229"/>
        <v>46157</v>
      </c>
      <c r="M95" s="72">
        <v>46135</v>
      </c>
      <c r="N95" s="72">
        <f t="shared" si="230"/>
        <v>46199</v>
      </c>
      <c r="O95" s="72">
        <f t="shared" si="231"/>
        <v>46199</v>
      </c>
      <c r="P95" s="72">
        <v>46185</v>
      </c>
      <c r="Q95" s="72">
        <f t="shared" si="232"/>
        <v>46241</v>
      </c>
      <c r="R95" s="72">
        <f t="shared" si="233"/>
        <v>46241</v>
      </c>
      <c r="S95" s="72">
        <v>46185</v>
      </c>
      <c r="T95" s="72">
        <f t="shared" si="234"/>
        <v>46255</v>
      </c>
      <c r="U95" s="72">
        <f t="shared" si="235"/>
        <v>46255</v>
      </c>
      <c r="V95" s="76">
        <v>46198</v>
      </c>
      <c r="X95" s="183" t="str">
        <f t="shared" ca="1" si="222"/>
        <v>Completed</v>
      </c>
      <c r="Y95" s="183" t="str">
        <f t="shared" ca="1" si="223"/>
        <v>Completed</v>
      </c>
      <c r="Z95" s="183" t="str">
        <f t="shared" ca="1" si="224"/>
        <v>Completed</v>
      </c>
      <c r="AA95" s="184" t="str">
        <f t="shared" ca="1" si="225"/>
        <v>Completed</v>
      </c>
    </row>
    <row r="96" spans="1:27" s="64" customFormat="1" ht="11.5" x14ac:dyDescent="0.25">
      <c r="A96" s="70" t="s">
        <v>61</v>
      </c>
      <c r="B96" s="70" t="s">
        <v>62</v>
      </c>
      <c r="C96" s="70" t="s">
        <v>92</v>
      </c>
      <c r="D96" s="75" t="s">
        <v>461</v>
      </c>
      <c r="E96" s="75" t="s">
        <v>462</v>
      </c>
      <c r="F96" s="116">
        <f t="shared" si="226"/>
        <v>1</v>
      </c>
      <c r="G96" s="116">
        <f t="shared" si="226"/>
        <v>1</v>
      </c>
      <c r="H96" s="116">
        <f t="shared" si="227"/>
        <v>1</v>
      </c>
      <c r="I96" s="116">
        <f t="shared" si="228"/>
        <v>0</v>
      </c>
      <c r="J96" s="81">
        <v>0.15</v>
      </c>
      <c r="K96" s="68">
        <v>46157</v>
      </c>
      <c r="L96" s="72">
        <f t="shared" si="229"/>
        <v>46157</v>
      </c>
      <c r="M96" s="72">
        <v>46135</v>
      </c>
      <c r="N96" s="72">
        <f t="shared" si="230"/>
        <v>46199</v>
      </c>
      <c r="O96" s="72">
        <f t="shared" si="231"/>
        <v>46199</v>
      </c>
      <c r="P96" s="72">
        <v>46185</v>
      </c>
      <c r="Q96" s="72">
        <f t="shared" si="232"/>
        <v>46241</v>
      </c>
      <c r="R96" s="72">
        <f t="shared" si="233"/>
        <v>46241</v>
      </c>
      <c r="S96" s="72">
        <v>46185</v>
      </c>
      <c r="T96" s="72">
        <f t="shared" si="234"/>
        <v>46255</v>
      </c>
      <c r="U96" s="72">
        <f t="shared" si="235"/>
        <v>46255</v>
      </c>
      <c r="V96" s="72">
        <v>46192</v>
      </c>
      <c r="X96" s="183" t="str">
        <f t="shared" ca="1" si="222"/>
        <v>Completed</v>
      </c>
      <c r="Y96" s="183" t="str">
        <f t="shared" ca="1" si="223"/>
        <v>Completed</v>
      </c>
      <c r="Z96" s="183" t="str">
        <f t="shared" ca="1" si="224"/>
        <v>Completed</v>
      </c>
      <c r="AA96" s="184" t="str">
        <f t="shared" ca="1" si="225"/>
        <v>Completed</v>
      </c>
    </row>
    <row r="97" spans="1:27" s="64" customFormat="1" ht="11.5" x14ac:dyDescent="0.25">
      <c r="A97" s="70" t="s">
        <v>61</v>
      </c>
      <c r="B97" s="70" t="s">
        <v>62</v>
      </c>
      <c r="C97" s="70" t="s">
        <v>92</v>
      </c>
      <c r="D97" s="75" t="s">
        <v>290</v>
      </c>
      <c r="E97" s="75" t="s">
        <v>112</v>
      </c>
      <c r="F97" s="116">
        <f t="shared" si="226"/>
        <v>0.5</v>
      </c>
      <c r="G97" s="116">
        <f t="shared" si="226"/>
        <v>0.5</v>
      </c>
      <c r="H97" s="116">
        <f t="shared" si="227"/>
        <v>0.5</v>
      </c>
      <c r="I97" s="116">
        <f t="shared" si="228"/>
        <v>0</v>
      </c>
      <c r="J97" s="81">
        <v>0.05</v>
      </c>
      <c r="K97" s="72">
        <v>46234</v>
      </c>
      <c r="L97" s="72">
        <f t="shared" si="229"/>
        <v>46234</v>
      </c>
      <c r="M97" s="72">
        <v>46248</v>
      </c>
      <c r="N97" s="72">
        <f t="shared" si="230"/>
        <v>46276</v>
      </c>
      <c r="O97" s="72">
        <f t="shared" si="231"/>
        <v>46276</v>
      </c>
      <c r="P97" s="74"/>
      <c r="Q97" s="72">
        <f t="shared" si="232"/>
        <v>46318</v>
      </c>
      <c r="R97" s="72">
        <f t="shared" si="233"/>
        <v>46318</v>
      </c>
      <c r="S97" s="74"/>
      <c r="T97" s="72">
        <f t="shared" si="234"/>
        <v>46332</v>
      </c>
      <c r="U97" s="72">
        <f t="shared" si="235"/>
        <v>46332</v>
      </c>
      <c r="V97" s="72"/>
      <c r="X97" s="183" t="str">
        <f t="shared" ca="1" si="222"/>
        <v>Completed</v>
      </c>
      <c r="Y97" s="183" t="str">
        <f t="shared" ca="1" si="223"/>
        <v>Follow-Next Week</v>
      </c>
      <c r="Z97" s="183" t="str">
        <f t="shared" ca="1" si="224"/>
        <v/>
      </c>
      <c r="AA97" s="184" t="str">
        <f t="shared" ca="1" si="225"/>
        <v/>
      </c>
    </row>
    <row r="98" spans="1:27" s="64" customFormat="1" ht="11.5" x14ac:dyDescent="0.25">
      <c r="A98" s="70" t="s">
        <v>61</v>
      </c>
      <c r="B98" s="70" t="s">
        <v>62</v>
      </c>
      <c r="C98" s="70" t="s">
        <v>92</v>
      </c>
      <c r="D98" s="75" t="s">
        <v>291</v>
      </c>
      <c r="E98" s="75" t="s">
        <v>113</v>
      </c>
      <c r="F98" s="116">
        <f t="shared" si="226"/>
        <v>0.5</v>
      </c>
      <c r="G98" s="116">
        <f t="shared" si="226"/>
        <v>0.5</v>
      </c>
      <c r="H98" s="116">
        <f t="shared" si="227"/>
        <v>0.5</v>
      </c>
      <c r="I98" s="116">
        <f t="shared" si="228"/>
        <v>0</v>
      </c>
      <c r="J98" s="81">
        <v>0.05</v>
      </c>
      <c r="K98" s="72">
        <v>46234</v>
      </c>
      <c r="L98" s="72">
        <f t="shared" si="229"/>
        <v>46234</v>
      </c>
      <c r="M98" s="72">
        <v>46248</v>
      </c>
      <c r="N98" s="72">
        <f t="shared" si="230"/>
        <v>46276</v>
      </c>
      <c r="O98" s="72">
        <f t="shared" si="231"/>
        <v>46276</v>
      </c>
      <c r="P98" s="74"/>
      <c r="Q98" s="72">
        <f t="shared" si="232"/>
        <v>46318</v>
      </c>
      <c r="R98" s="72">
        <f t="shared" si="233"/>
        <v>46318</v>
      </c>
      <c r="S98" s="74"/>
      <c r="T98" s="72">
        <f t="shared" si="234"/>
        <v>46332</v>
      </c>
      <c r="U98" s="72">
        <f t="shared" si="235"/>
        <v>46332</v>
      </c>
      <c r="V98" s="72"/>
      <c r="X98" s="183" t="str">
        <f t="shared" ca="1" si="222"/>
        <v>Completed</v>
      </c>
      <c r="Y98" s="183" t="str">
        <f t="shared" ca="1" si="223"/>
        <v>Follow-Next Week</v>
      </c>
      <c r="Z98" s="183" t="str">
        <f t="shared" ca="1" si="224"/>
        <v/>
      </c>
      <c r="AA98" s="184" t="str">
        <f t="shared" ca="1" si="225"/>
        <v/>
      </c>
    </row>
    <row r="99" spans="1:27" s="64" customFormat="1" ht="11.5" x14ac:dyDescent="0.25">
      <c r="A99" s="70" t="s">
        <v>61</v>
      </c>
      <c r="B99" s="70" t="s">
        <v>62</v>
      </c>
      <c r="C99" s="70" t="s">
        <v>92</v>
      </c>
      <c r="D99" s="75" t="s">
        <v>408</v>
      </c>
      <c r="E99" s="75" t="s">
        <v>409</v>
      </c>
      <c r="F99" s="116">
        <f t="shared" ref="F99" si="236">(COUNTIFS(K99,"&lt;="&amp;$D$1)*50%)+(COUNTIFS(N99,"&lt;="&amp;$D$1)*20%)+(COUNTIFS(Q99,"&lt;="&amp;$D$1)*10%)+(COUNTIFS(T99,"&lt;="&amp;$D$1)*20%)</f>
        <v>0.5</v>
      </c>
      <c r="G99" s="116">
        <f t="shared" ref="G99" si="237">(COUNTIFS(L99,"&lt;="&amp;$D$1)*50%)+(COUNTIFS(O99,"&lt;="&amp;$D$1)*20%)+(COUNTIFS(R99,"&lt;="&amp;$D$1)*10%)+(COUNTIFS(U99,"&lt;="&amp;$D$1)*20%)</f>
        <v>0.5</v>
      </c>
      <c r="H99" s="116">
        <f t="shared" ref="H99" si="238">(COUNTIFS(M99,"&lt;="&amp;$D$1)*50%)+(COUNTIFS(P99,"&lt;="&amp;$D$1)*20%)+(COUNTIFS(S99,"&lt;="&amp;$D$1)*10%)+(COUNTIFS(V99,"&lt;="&amp;$D$1)*20%)</f>
        <v>0.5</v>
      </c>
      <c r="I99" s="116">
        <f t="shared" ref="I99" si="239">H99-F99</f>
        <v>0</v>
      </c>
      <c r="J99" s="81">
        <v>0.05</v>
      </c>
      <c r="K99" s="72">
        <v>46234</v>
      </c>
      <c r="L99" s="72">
        <f t="shared" ref="L99" si="240">K99</f>
        <v>46234</v>
      </c>
      <c r="M99" s="72">
        <v>46248</v>
      </c>
      <c r="N99" s="72">
        <f t="shared" ref="N99" si="241">K99+42</f>
        <v>46276</v>
      </c>
      <c r="O99" s="72">
        <f t="shared" ref="O99" si="242">N99</f>
        <v>46276</v>
      </c>
      <c r="P99" s="74"/>
      <c r="Q99" s="72">
        <f t="shared" ref="Q99" si="243">N99+42</f>
        <v>46318</v>
      </c>
      <c r="R99" s="72">
        <f t="shared" ref="R99" si="244">Q99</f>
        <v>46318</v>
      </c>
      <c r="S99" s="74"/>
      <c r="T99" s="72">
        <f t="shared" ref="T99" si="245">Q99+14</f>
        <v>46332</v>
      </c>
      <c r="U99" s="72">
        <f t="shared" ref="U99" si="246">T99</f>
        <v>46332</v>
      </c>
      <c r="V99" s="72"/>
      <c r="X99" s="183" t="str">
        <f t="shared" ca="1" si="222"/>
        <v>Completed</v>
      </c>
      <c r="Y99" s="183" t="str">
        <f t="shared" ca="1" si="223"/>
        <v>Follow-Next Week</v>
      </c>
      <c r="Z99" s="183" t="str">
        <f t="shared" ca="1" si="224"/>
        <v/>
      </c>
      <c r="AA99" s="184" t="str">
        <f t="shared" ca="1" si="225"/>
        <v/>
      </c>
    </row>
    <row r="100" spans="1:27" s="64" customFormat="1" ht="11.5" x14ac:dyDescent="0.25">
      <c r="A100" s="70" t="s">
        <v>61</v>
      </c>
      <c r="B100" s="70" t="s">
        <v>62</v>
      </c>
      <c r="C100" s="70" t="s">
        <v>92</v>
      </c>
      <c r="D100" s="75" t="s">
        <v>292</v>
      </c>
      <c r="E100" s="75" t="s">
        <v>114</v>
      </c>
      <c r="F100" s="116">
        <f t="shared" si="226"/>
        <v>0.5</v>
      </c>
      <c r="G100" s="116">
        <f t="shared" si="226"/>
        <v>0.5</v>
      </c>
      <c r="H100" s="116">
        <f t="shared" si="227"/>
        <v>0.7</v>
      </c>
      <c r="I100" s="116">
        <f t="shared" si="228"/>
        <v>0.19999999999999996</v>
      </c>
      <c r="J100" s="81">
        <v>0.15</v>
      </c>
      <c r="K100" s="72">
        <v>46234</v>
      </c>
      <c r="L100" s="72">
        <f t="shared" si="229"/>
        <v>46234</v>
      </c>
      <c r="M100" s="72">
        <v>46150</v>
      </c>
      <c r="N100" s="72">
        <f t="shared" si="230"/>
        <v>46276</v>
      </c>
      <c r="O100" s="72">
        <f t="shared" si="231"/>
        <v>46276</v>
      </c>
      <c r="P100" s="74">
        <v>46227</v>
      </c>
      <c r="Q100" s="72">
        <f t="shared" si="232"/>
        <v>46318</v>
      </c>
      <c r="R100" s="72">
        <f t="shared" si="233"/>
        <v>46318</v>
      </c>
      <c r="S100" s="74"/>
      <c r="T100" s="72">
        <f t="shared" si="234"/>
        <v>46332</v>
      </c>
      <c r="U100" s="72">
        <f t="shared" si="235"/>
        <v>46332</v>
      </c>
      <c r="V100" s="72"/>
      <c r="X100" s="183" t="str">
        <f t="shared" ca="1" si="222"/>
        <v>Completed</v>
      </c>
      <c r="Y100" s="183" t="str">
        <f t="shared" ca="1" si="223"/>
        <v>Completed</v>
      </c>
      <c r="Z100" s="183" t="str">
        <f t="shared" ca="1" si="224"/>
        <v/>
      </c>
      <c r="AA100" s="184" t="str">
        <f t="shared" ca="1" si="225"/>
        <v/>
      </c>
    </row>
    <row r="101" spans="1:27" s="64" customFormat="1" ht="11.5" x14ac:dyDescent="0.25">
      <c r="A101" s="70" t="s">
        <v>61</v>
      </c>
      <c r="B101" s="70" t="s">
        <v>62</v>
      </c>
      <c r="C101" s="70" t="s">
        <v>92</v>
      </c>
      <c r="D101" s="75" t="s">
        <v>293</v>
      </c>
      <c r="E101" s="75" t="s">
        <v>115</v>
      </c>
      <c r="F101" s="116">
        <f t="shared" si="226"/>
        <v>1</v>
      </c>
      <c r="G101" s="116">
        <f t="shared" si="226"/>
        <v>1</v>
      </c>
      <c r="H101" s="116">
        <f t="shared" si="227"/>
        <v>0.7</v>
      </c>
      <c r="I101" s="116">
        <f t="shared" si="228"/>
        <v>-0.30000000000000004</v>
      </c>
      <c r="J101" s="81">
        <v>0.15</v>
      </c>
      <c r="K101" s="72">
        <v>46171</v>
      </c>
      <c r="L101" s="72">
        <f t="shared" si="229"/>
        <v>46171</v>
      </c>
      <c r="M101" s="72">
        <v>46150</v>
      </c>
      <c r="N101" s="72">
        <f t="shared" si="230"/>
        <v>46213</v>
      </c>
      <c r="O101" s="72">
        <f t="shared" si="231"/>
        <v>46213</v>
      </c>
      <c r="P101" s="74">
        <v>46227</v>
      </c>
      <c r="Q101" s="72">
        <f t="shared" si="232"/>
        <v>46255</v>
      </c>
      <c r="R101" s="72">
        <f t="shared" si="233"/>
        <v>46255</v>
      </c>
      <c r="S101" s="74"/>
      <c r="T101" s="72">
        <f t="shared" si="234"/>
        <v>46269</v>
      </c>
      <c r="U101" s="72">
        <f t="shared" si="235"/>
        <v>46269</v>
      </c>
      <c r="V101" s="72"/>
      <c r="X101" s="183" t="str">
        <f t="shared" ca="1" si="222"/>
        <v>Completed</v>
      </c>
      <c r="Y101" s="183" t="str">
        <f t="shared" ca="1" si="223"/>
        <v>Completed</v>
      </c>
      <c r="Z101" s="183" t="str">
        <f t="shared" ca="1" si="224"/>
        <v>Overdue</v>
      </c>
      <c r="AA101" s="184" t="str">
        <f t="shared" ca="1" si="225"/>
        <v>Overdue</v>
      </c>
    </row>
    <row r="102" spans="1:27" s="64" customFormat="1" ht="11.5" x14ac:dyDescent="0.25">
      <c r="A102" s="70" t="s">
        <v>61</v>
      </c>
      <c r="B102" s="70" t="s">
        <v>62</v>
      </c>
      <c r="C102" s="70" t="s">
        <v>92</v>
      </c>
      <c r="D102" s="75" t="s">
        <v>294</v>
      </c>
      <c r="E102" s="75" t="s">
        <v>116</v>
      </c>
      <c r="F102" s="116">
        <f t="shared" si="226"/>
        <v>1</v>
      </c>
      <c r="G102" s="116">
        <f t="shared" si="226"/>
        <v>1</v>
      </c>
      <c r="H102" s="116">
        <f t="shared" si="227"/>
        <v>0.79999999999999993</v>
      </c>
      <c r="I102" s="116">
        <f t="shared" si="228"/>
        <v>-0.20000000000000007</v>
      </c>
      <c r="J102" s="81">
        <v>0.15</v>
      </c>
      <c r="K102" s="72">
        <v>46171</v>
      </c>
      <c r="L102" s="72">
        <f t="shared" si="229"/>
        <v>46171</v>
      </c>
      <c r="M102" s="72">
        <v>46150</v>
      </c>
      <c r="N102" s="72">
        <f t="shared" si="230"/>
        <v>46213</v>
      </c>
      <c r="O102" s="72">
        <f t="shared" si="231"/>
        <v>46213</v>
      </c>
      <c r="P102" s="74">
        <v>46227</v>
      </c>
      <c r="Q102" s="72">
        <f t="shared" si="232"/>
        <v>46255</v>
      </c>
      <c r="R102" s="72">
        <f t="shared" si="233"/>
        <v>46255</v>
      </c>
      <c r="S102" s="74">
        <v>46227</v>
      </c>
      <c r="T102" s="72">
        <f t="shared" si="234"/>
        <v>46269</v>
      </c>
      <c r="U102" s="72">
        <f t="shared" si="235"/>
        <v>46269</v>
      </c>
      <c r="V102" s="72"/>
      <c r="X102" s="183" t="str">
        <f t="shared" ca="1" si="222"/>
        <v>Completed</v>
      </c>
      <c r="Y102" s="183" t="str">
        <f t="shared" ca="1" si="223"/>
        <v>Completed</v>
      </c>
      <c r="Z102" s="183" t="str">
        <f t="shared" ca="1" si="224"/>
        <v>Completed</v>
      </c>
      <c r="AA102" s="184" t="str">
        <f t="shared" ca="1" si="225"/>
        <v>Overdue</v>
      </c>
    </row>
    <row r="103" spans="1:27" s="64" customFormat="1" ht="11.5" x14ac:dyDescent="0.25">
      <c r="A103" s="70" t="s">
        <v>61</v>
      </c>
      <c r="B103" s="70" t="s">
        <v>62</v>
      </c>
      <c r="C103" s="70" t="s">
        <v>92</v>
      </c>
      <c r="D103" s="75" t="s">
        <v>295</v>
      </c>
      <c r="E103" s="75" t="s">
        <v>117</v>
      </c>
      <c r="F103" s="116">
        <f t="shared" si="226"/>
        <v>1</v>
      </c>
      <c r="G103" s="116">
        <f t="shared" si="226"/>
        <v>1</v>
      </c>
      <c r="H103" s="116">
        <f t="shared" si="227"/>
        <v>0.7</v>
      </c>
      <c r="I103" s="116">
        <f t="shared" si="228"/>
        <v>-0.30000000000000004</v>
      </c>
      <c r="J103" s="81">
        <v>0.15</v>
      </c>
      <c r="K103" s="72">
        <v>46171</v>
      </c>
      <c r="L103" s="72">
        <f t="shared" si="229"/>
        <v>46171</v>
      </c>
      <c r="M103" s="72">
        <v>46150</v>
      </c>
      <c r="N103" s="72">
        <f t="shared" si="230"/>
        <v>46213</v>
      </c>
      <c r="O103" s="72">
        <f t="shared" si="231"/>
        <v>46213</v>
      </c>
      <c r="P103" s="74">
        <v>46227</v>
      </c>
      <c r="Q103" s="72">
        <f t="shared" si="232"/>
        <v>46255</v>
      </c>
      <c r="R103" s="72">
        <f t="shared" si="233"/>
        <v>46255</v>
      </c>
      <c r="S103" s="74"/>
      <c r="T103" s="72">
        <f t="shared" si="234"/>
        <v>46269</v>
      </c>
      <c r="U103" s="72">
        <f t="shared" si="235"/>
        <v>46269</v>
      </c>
      <c r="V103" s="72"/>
      <c r="X103" s="183" t="str">
        <f t="shared" ca="1" si="222"/>
        <v>Completed</v>
      </c>
      <c r="Y103" s="183" t="str">
        <f t="shared" ca="1" si="223"/>
        <v>Completed</v>
      </c>
      <c r="Z103" s="183" t="str">
        <f t="shared" ca="1" si="224"/>
        <v>Overdue</v>
      </c>
      <c r="AA103" s="184" t="str">
        <f t="shared" ca="1" si="225"/>
        <v>Overdue</v>
      </c>
    </row>
    <row r="104" spans="1:27" s="64" customFormat="1" ht="11.5" x14ac:dyDescent="0.25">
      <c r="A104" s="70" t="s">
        <v>61</v>
      </c>
      <c r="B104" s="70" t="s">
        <v>62</v>
      </c>
      <c r="C104" s="70" t="s">
        <v>92</v>
      </c>
      <c r="D104" s="75" t="s">
        <v>296</v>
      </c>
      <c r="E104" s="75" t="s">
        <v>118</v>
      </c>
      <c r="F104" s="116">
        <f t="shared" si="226"/>
        <v>1</v>
      </c>
      <c r="G104" s="116">
        <f t="shared" si="226"/>
        <v>1</v>
      </c>
      <c r="H104" s="116">
        <f t="shared" si="227"/>
        <v>0.7</v>
      </c>
      <c r="I104" s="116">
        <f t="shared" si="228"/>
        <v>-0.30000000000000004</v>
      </c>
      <c r="J104" s="81">
        <v>0.15</v>
      </c>
      <c r="K104" s="72">
        <v>46171</v>
      </c>
      <c r="L104" s="72">
        <f t="shared" si="229"/>
        <v>46171</v>
      </c>
      <c r="M104" s="72">
        <v>46150</v>
      </c>
      <c r="N104" s="72">
        <f t="shared" si="230"/>
        <v>46213</v>
      </c>
      <c r="O104" s="72">
        <f t="shared" si="231"/>
        <v>46213</v>
      </c>
      <c r="P104" s="74">
        <v>46227</v>
      </c>
      <c r="Q104" s="72">
        <f t="shared" si="232"/>
        <v>46255</v>
      </c>
      <c r="R104" s="72">
        <f t="shared" si="233"/>
        <v>46255</v>
      </c>
      <c r="S104" s="74"/>
      <c r="T104" s="72">
        <f t="shared" si="234"/>
        <v>46269</v>
      </c>
      <c r="U104" s="72">
        <f t="shared" si="235"/>
        <v>46269</v>
      </c>
      <c r="V104" s="72"/>
      <c r="X104" s="183" t="str">
        <f t="shared" ca="1" si="222"/>
        <v>Completed</v>
      </c>
      <c r="Y104" s="183" t="str">
        <f t="shared" ca="1" si="223"/>
        <v>Completed</v>
      </c>
      <c r="Z104" s="183" t="str">
        <f t="shared" ca="1" si="224"/>
        <v>Overdue</v>
      </c>
      <c r="AA104" s="184" t="str">
        <f t="shared" ca="1" si="225"/>
        <v>Overdue</v>
      </c>
    </row>
    <row r="105" spans="1:27" s="64" customFormat="1" ht="11.5" x14ac:dyDescent="0.25">
      <c r="A105" s="70" t="s">
        <v>61</v>
      </c>
      <c r="B105" s="70" t="s">
        <v>62</v>
      </c>
      <c r="C105" s="70" t="s">
        <v>92</v>
      </c>
      <c r="D105" s="75" t="s">
        <v>297</v>
      </c>
      <c r="E105" s="75" t="s">
        <v>119</v>
      </c>
      <c r="F105" s="116">
        <f t="shared" si="226"/>
        <v>1</v>
      </c>
      <c r="G105" s="116">
        <f t="shared" si="226"/>
        <v>1</v>
      </c>
      <c r="H105" s="116">
        <f t="shared" si="227"/>
        <v>0.7</v>
      </c>
      <c r="I105" s="116">
        <f t="shared" si="228"/>
        <v>-0.30000000000000004</v>
      </c>
      <c r="J105" s="81">
        <v>0.15</v>
      </c>
      <c r="K105" s="72">
        <v>46171</v>
      </c>
      <c r="L105" s="72">
        <f t="shared" si="229"/>
        <v>46171</v>
      </c>
      <c r="M105" s="72">
        <v>46150</v>
      </c>
      <c r="N105" s="72">
        <f t="shared" si="230"/>
        <v>46213</v>
      </c>
      <c r="O105" s="72">
        <f t="shared" si="231"/>
        <v>46213</v>
      </c>
      <c r="P105" s="74">
        <v>46227</v>
      </c>
      <c r="Q105" s="72">
        <f t="shared" si="232"/>
        <v>46255</v>
      </c>
      <c r="R105" s="72">
        <f t="shared" si="233"/>
        <v>46255</v>
      </c>
      <c r="S105" s="74"/>
      <c r="T105" s="72">
        <f t="shared" si="234"/>
        <v>46269</v>
      </c>
      <c r="U105" s="72">
        <f t="shared" si="235"/>
        <v>46269</v>
      </c>
      <c r="V105" s="72"/>
      <c r="X105" s="183" t="str">
        <f t="shared" ca="1" si="222"/>
        <v>Completed</v>
      </c>
      <c r="Y105" s="183" t="str">
        <f t="shared" ca="1" si="223"/>
        <v>Completed</v>
      </c>
      <c r="Z105" s="183" t="str">
        <f t="shared" ca="1" si="224"/>
        <v>Overdue</v>
      </c>
      <c r="AA105" s="184" t="str">
        <f t="shared" ca="1" si="225"/>
        <v>Overdue</v>
      </c>
    </row>
    <row r="106" spans="1:27" s="64" customFormat="1" ht="11.5" x14ac:dyDescent="0.25">
      <c r="A106" s="70" t="s">
        <v>61</v>
      </c>
      <c r="B106" s="70" t="s">
        <v>62</v>
      </c>
      <c r="C106" s="70" t="s">
        <v>92</v>
      </c>
      <c r="D106" s="75" t="s">
        <v>298</v>
      </c>
      <c r="E106" s="75" t="s">
        <v>120</v>
      </c>
      <c r="F106" s="116">
        <f t="shared" si="226"/>
        <v>1</v>
      </c>
      <c r="G106" s="116">
        <f t="shared" si="226"/>
        <v>1</v>
      </c>
      <c r="H106" s="116">
        <f t="shared" si="227"/>
        <v>0.7</v>
      </c>
      <c r="I106" s="116">
        <f t="shared" si="228"/>
        <v>-0.30000000000000004</v>
      </c>
      <c r="J106" s="81">
        <v>0.15</v>
      </c>
      <c r="K106" s="72">
        <v>46171</v>
      </c>
      <c r="L106" s="72">
        <f t="shared" si="229"/>
        <v>46171</v>
      </c>
      <c r="M106" s="72">
        <v>46150</v>
      </c>
      <c r="N106" s="72">
        <f t="shared" si="230"/>
        <v>46213</v>
      </c>
      <c r="O106" s="72">
        <f t="shared" si="231"/>
        <v>46213</v>
      </c>
      <c r="P106" s="74">
        <v>46227</v>
      </c>
      <c r="Q106" s="72">
        <f t="shared" si="232"/>
        <v>46255</v>
      </c>
      <c r="R106" s="72">
        <f t="shared" si="233"/>
        <v>46255</v>
      </c>
      <c r="S106" s="74"/>
      <c r="T106" s="72">
        <f t="shared" si="234"/>
        <v>46269</v>
      </c>
      <c r="U106" s="72">
        <f t="shared" si="235"/>
        <v>46269</v>
      </c>
      <c r="V106" s="72"/>
      <c r="X106" s="183" t="str">
        <f t="shared" ca="1" si="222"/>
        <v>Completed</v>
      </c>
      <c r="Y106" s="183" t="str">
        <f t="shared" ca="1" si="223"/>
        <v>Completed</v>
      </c>
      <c r="Z106" s="183" t="str">
        <f t="shared" ca="1" si="224"/>
        <v>Overdue</v>
      </c>
      <c r="AA106" s="184" t="str">
        <f t="shared" ca="1" si="225"/>
        <v>Overdue</v>
      </c>
    </row>
    <row r="107" spans="1:27" s="64" customFormat="1" ht="11.5" x14ac:dyDescent="0.25">
      <c r="A107" s="70" t="s">
        <v>61</v>
      </c>
      <c r="B107" s="70" t="s">
        <v>62</v>
      </c>
      <c r="C107" s="70" t="s">
        <v>92</v>
      </c>
      <c r="D107" s="75" t="s">
        <v>299</v>
      </c>
      <c r="E107" s="75" t="s">
        <v>121</v>
      </c>
      <c r="F107" s="116">
        <f t="shared" si="226"/>
        <v>1</v>
      </c>
      <c r="G107" s="116">
        <f t="shared" si="226"/>
        <v>1</v>
      </c>
      <c r="H107" s="116">
        <f t="shared" si="227"/>
        <v>0.7</v>
      </c>
      <c r="I107" s="116">
        <f t="shared" si="228"/>
        <v>-0.30000000000000004</v>
      </c>
      <c r="J107" s="81">
        <v>0.15</v>
      </c>
      <c r="K107" s="72">
        <v>46171</v>
      </c>
      <c r="L107" s="72">
        <f t="shared" si="229"/>
        <v>46171</v>
      </c>
      <c r="M107" s="72">
        <v>46150</v>
      </c>
      <c r="N107" s="74">
        <f t="shared" si="230"/>
        <v>46213</v>
      </c>
      <c r="O107" s="72">
        <f t="shared" si="231"/>
        <v>46213</v>
      </c>
      <c r="P107" s="74">
        <v>46227</v>
      </c>
      <c r="Q107" s="74">
        <f t="shared" si="232"/>
        <v>46255</v>
      </c>
      <c r="R107" s="72">
        <f t="shared" si="233"/>
        <v>46255</v>
      </c>
      <c r="S107" s="74"/>
      <c r="T107" s="72">
        <f t="shared" si="234"/>
        <v>46269</v>
      </c>
      <c r="U107" s="72">
        <f t="shared" si="235"/>
        <v>46269</v>
      </c>
      <c r="V107" s="72"/>
      <c r="X107" s="183" t="str">
        <f t="shared" ca="1" si="222"/>
        <v>Completed</v>
      </c>
      <c r="Y107" s="183" t="str">
        <f t="shared" ca="1" si="223"/>
        <v>Completed</v>
      </c>
      <c r="Z107" s="183" t="str">
        <f t="shared" ca="1" si="224"/>
        <v>Overdue</v>
      </c>
      <c r="AA107" s="184" t="str">
        <f t="shared" ca="1" si="225"/>
        <v>Overdue</v>
      </c>
    </row>
    <row r="108" spans="1:27" s="64" customFormat="1" ht="11.5" x14ac:dyDescent="0.25">
      <c r="A108" s="70" t="s">
        <v>61</v>
      </c>
      <c r="B108" s="70" t="s">
        <v>62</v>
      </c>
      <c r="C108" s="70" t="s">
        <v>92</v>
      </c>
      <c r="D108" s="75" t="s">
        <v>300</v>
      </c>
      <c r="E108" s="75" t="s">
        <v>122</v>
      </c>
      <c r="F108" s="116">
        <f t="shared" si="226"/>
        <v>0.79999999999999993</v>
      </c>
      <c r="G108" s="116">
        <f t="shared" si="226"/>
        <v>0.79999999999999993</v>
      </c>
      <c r="H108" s="116">
        <f t="shared" si="227"/>
        <v>0.7</v>
      </c>
      <c r="I108" s="116">
        <f t="shared" si="228"/>
        <v>-9.9999999999999978E-2</v>
      </c>
      <c r="J108" s="81">
        <v>0.15</v>
      </c>
      <c r="K108" s="72">
        <v>46178</v>
      </c>
      <c r="L108" s="72">
        <f t="shared" si="229"/>
        <v>46178</v>
      </c>
      <c r="M108" s="72">
        <v>46150</v>
      </c>
      <c r="N108" s="74">
        <f t="shared" si="230"/>
        <v>46220</v>
      </c>
      <c r="O108" s="72">
        <f t="shared" si="231"/>
        <v>46220</v>
      </c>
      <c r="P108" s="74">
        <v>46227</v>
      </c>
      <c r="Q108" s="74">
        <f t="shared" si="232"/>
        <v>46262</v>
      </c>
      <c r="R108" s="72">
        <f t="shared" si="233"/>
        <v>46262</v>
      </c>
      <c r="S108" s="74"/>
      <c r="T108" s="72">
        <f t="shared" si="234"/>
        <v>46276</v>
      </c>
      <c r="U108" s="72">
        <f t="shared" si="235"/>
        <v>46276</v>
      </c>
      <c r="V108" s="72"/>
      <c r="X108" s="183" t="str">
        <f t="shared" ca="1" si="222"/>
        <v>Completed</v>
      </c>
      <c r="Y108" s="183" t="str">
        <f t="shared" ca="1" si="223"/>
        <v>Completed</v>
      </c>
      <c r="Z108" s="183" t="str">
        <f t="shared" ca="1" si="224"/>
        <v>Overdue</v>
      </c>
      <c r="AA108" s="184" t="str">
        <f t="shared" ca="1" si="225"/>
        <v>Follow-Next Week</v>
      </c>
    </row>
    <row r="109" spans="1:27" s="64" customFormat="1" ht="11.5" x14ac:dyDescent="0.25">
      <c r="A109" s="70" t="s">
        <v>61</v>
      </c>
      <c r="B109" s="70" t="s">
        <v>62</v>
      </c>
      <c r="C109" s="70" t="s">
        <v>92</v>
      </c>
      <c r="D109" s="75" t="s">
        <v>301</v>
      </c>
      <c r="E109" s="75" t="s">
        <v>123</v>
      </c>
      <c r="F109" s="116">
        <f t="shared" ref="F109:H185" si="247">(COUNTIFS(K109,"&lt;="&amp;$D$1)*50%)+(COUNTIFS(N109,"&lt;="&amp;$D$1)*20%)+(COUNTIFS(Q109,"&lt;="&amp;$D$1)*10%)+(COUNTIFS(T109,"&lt;="&amp;$D$1)*20%)</f>
        <v>0.79999999999999993</v>
      </c>
      <c r="G109" s="116">
        <f t="shared" si="247"/>
        <v>0.79999999999999993</v>
      </c>
      <c r="H109" s="116">
        <f t="shared" si="227"/>
        <v>0.7</v>
      </c>
      <c r="I109" s="116">
        <f t="shared" si="228"/>
        <v>-9.9999999999999978E-2</v>
      </c>
      <c r="J109" s="81">
        <v>0.15</v>
      </c>
      <c r="K109" s="72">
        <v>46178</v>
      </c>
      <c r="L109" s="72">
        <f t="shared" si="229"/>
        <v>46178</v>
      </c>
      <c r="M109" s="72">
        <v>46150</v>
      </c>
      <c r="N109" s="74">
        <f t="shared" si="230"/>
        <v>46220</v>
      </c>
      <c r="O109" s="72">
        <f t="shared" si="231"/>
        <v>46220</v>
      </c>
      <c r="P109" s="74">
        <v>46227</v>
      </c>
      <c r="Q109" s="74">
        <f t="shared" si="232"/>
        <v>46262</v>
      </c>
      <c r="R109" s="72">
        <f t="shared" si="233"/>
        <v>46262</v>
      </c>
      <c r="S109" s="74"/>
      <c r="T109" s="72">
        <f t="shared" si="234"/>
        <v>46276</v>
      </c>
      <c r="U109" s="72">
        <f t="shared" si="235"/>
        <v>46276</v>
      </c>
      <c r="V109" s="72"/>
      <c r="X109" s="183" t="str">
        <f t="shared" ca="1" si="222"/>
        <v>Completed</v>
      </c>
      <c r="Y109" s="183" t="str">
        <f t="shared" ca="1" si="223"/>
        <v>Completed</v>
      </c>
      <c r="Z109" s="183" t="str">
        <f t="shared" ca="1" si="224"/>
        <v>Overdue</v>
      </c>
      <c r="AA109" s="184" t="str">
        <f t="shared" ca="1" si="225"/>
        <v>Follow-Next Week</v>
      </c>
    </row>
    <row r="110" spans="1:27" s="64" customFormat="1" ht="11.5" x14ac:dyDescent="0.25">
      <c r="A110" s="70" t="s">
        <v>61</v>
      </c>
      <c r="B110" s="70" t="s">
        <v>62</v>
      </c>
      <c r="C110" s="70" t="s">
        <v>92</v>
      </c>
      <c r="D110" s="75" t="s">
        <v>302</v>
      </c>
      <c r="E110" s="75" t="s">
        <v>124</v>
      </c>
      <c r="F110" s="116">
        <f t="shared" si="247"/>
        <v>0.79999999999999993</v>
      </c>
      <c r="G110" s="116">
        <f t="shared" si="247"/>
        <v>0.79999999999999993</v>
      </c>
      <c r="H110" s="116">
        <f t="shared" si="227"/>
        <v>0.7</v>
      </c>
      <c r="I110" s="116">
        <f t="shared" si="228"/>
        <v>-9.9999999999999978E-2</v>
      </c>
      <c r="J110" s="81">
        <v>0.15</v>
      </c>
      <c r="K110" s="72">
        <v>46178</v>
      </c>
      <c r="L110" s="72">
        <f t="shared" si="229"/>
        <v>46178</v>
      </c>
      <c r="M110" s="72">
        <v>46150</v>
      </c>
      <c r="N110" s="74">
        <f t="shared" si="230"/>
        <v>46220</v>
      </c>
      <c r="O110" s="72">
        <f t="shared" si="231"/>
        <v>46220</v>
      </c>
      <c r="P110" s="74">
        <v>46227</v>
      </c>
      <c r="Q110" s="74">
        <f t="shared" si="232"/>
        <v>46262</v>
      </c>
      <c r="R110" s="72">
        <f t="shared" si="233"/>
        <v>46262</v>
      </c>
      <c r="S110" s="74"/>
      <c r="T110" s="72">
        <f t="shared" si="234"/>
        <v>46276</v>
      </c>
      <c r="U110" s="72">
        <f t="shared" si="235"/>
        <v>46276</v>
      </c>
      <c r="V110" s="72"/>
      <c r="X110" s="183" t="str">
        <f t="shared" ca="1" si="222"/>
        <v>Completed</v>
      </c>
      <c r="Y110" s="183" t="str">
        <f t="shared" ca="1" si="223"/>
        <v>Completed</v>
      </c>
      <c r="Z110" s="183" t="str">
        <f t="shared" ca="1" si="224"/>
        <v>Overdue</v>
      </c>
      <c r="AA110" s="184" t="str">
        <f t="shared" ca="1" si="225"/>
        <v>Follow-Next Week</v>
      </c>
    </row>
    <row r="111" spans="1:27" s="64" customFormat="1" ht="11.5" x14ac:dyDescent="0.25">
      <c r="A111" s="70" t="s">
        <v>61</v>
      </c>
      <c r="B111" s="70" t="s">
        <v>62</v>
      </c>
      <c r="C111" s="70" t="s">
        <v>92</v>
      </c>
      <c r="D111" s="75" t="s">
        <v>303</v>
      </c>
      <c r="E111" s="75" t="s">
        <v>125</v>
      </c>
      <c r="F111" s="116">
        <f t="shared" si="247"/>
        <v>0.79999999999999993</v>
      </c>
      <c r="G111" s="116">
        <f t="shared" si="247"/>
        <v>0.79999999999999993</v>
      </c>
      <c r="H111" s="116">
        <f t="shared" si="227"/>
        <v>0.7</v>
      </c>
      <c r="I111" s="116">
        <f t="shared" si="228"/>
        <v>-9.9999999999999978E-2</v>
      </c>
      <c r="J111" s="81">
        <v>0.15</v>
      </c>
      <c r="K111" s="72">
        <v>46178</v>
      </c>
      <c r="L111" s="72">
        <f t="shared" si="229"/>
        <v>46178</v>
      </c>
      <c r="M111" s="72">
        <v>46150</v>
      </c>
      <c r="N111" s="74">
        <f t="shared" si="230"/>
        <v>46220</v>
      </c>
      <c r="O111" s="72">
        <f t="shared" si="231"/>
        <v>46220</v>
      </c>
      <c r="P111" s="74">
        <v>46227</v>
      </c>
      <c r="Q111" s="74">
        <f t="shared" si="232"/>
        <v>46262</v>
      </c>
      <c r="R111" s="72">
        <f t="shared" si="233"/>
        <v>46262</v>
      </c>
      <c r="S111" s="74"/>
      <c r="T111" s="72">
        <f t="shared" si="234"/>
        <v>46276</v>
      </c>
      <c r="U111" s="72">
        <f t="shared" si="235"/>
        <v>46276</v>
      </c>
      <c r="V111" s="72"/>
      <c r="X111" s="183" t="str">
        <f t="shared" ca="1" si="222"/>
        <v>Completed</v>
      </c>
      <c r="Y111" s="183" t="str">
        <f t="shared" ca="1" si="223"/>
        <v>Completed</v>
      </c>
      <c r="Z111" s="183" t="str">
        <f t="shared" ca="1" si="224"/>
        <v>Overdue</v>
      </c>
      <c r="AA111" s="184" t="str">
        <f t="shared" ca="1" si="225"/>
        <v>Follow-Next Week</v>
      </c>
    </row>
    <row r="112" spans="1:27" s="64" customFormat="1" ht="11.5" x14ac:dyDescent="0.25">
      <c r="A112" s="70" t="s">
        <v>61</v>
      </c>
      <c r="B112" s="70" t="s">
        <v>62</v>
      </c>
      <c r="C112" s="70" t="s">
        <v>92</v>
      </c>
      <c r="D112" s="75" t="s">
        <v>304</v>
      </c>
      <c r="E112" s="75" t="s">
        <v>126</v>
      </c>
      <c r="F112" s="116">
        <f t="shared" si="247"/>
        <v>0.79999999999999993</v>
      </c>
      <c r="G112" s="116">
        <f t="shared" si="247"/>
        <v>0.79999999999999993</v>
      </c>
      <c r="H112" s="116">
        <f t="shared" si="227"/>
        <v>0.7</v>
      </c>
      <c r="I112" s="116">
        <f t="shared" si="228"/>
        <v>-9.9999999999999978E-2</v>
      </c>
      <c r="J112" s="81">
        <v>0.15</v>
      </c>
      <c r="K112" s="72">
        <v>46178</v>
      </c>
      <c r="L112" s="72">
        <f t="shared" si="229"/>
        <v>46178</v>
      </c>
      <c r="M112" s="72">
        <v>46150</v>
      </c>
      <c r="N112" s="74">
        <f t="shared" si="230"/>
        <v>46220</v>
      </c>
      <c r="O112" s="72">
        <f t="shared" si="231"/>
        <v>46220</v>
      </c>
      <c r="P112" s="74">
        <v>46227</v>
      </c>
      <c r="Q112" s="74">
        <f t="shared" si="232"/>
        <v>46262</v>
      </c>
      <c r="R112" s="72">
        <f t="shared" si="233"/>
        <v>46262</v>
      </c>
      <c r="S112" s="74"/>
      <c r="T112" s="72">
        <f t="shared" si="234"/>
        <v>46276</v>
      </c>
      <c r="U112" s="72">
        <f t="shared" si="235"/>
        <v>46276</v>
      </c>
      <c r="V112" s="72"/>
      <c r="X112" s="183" t="str">
        <f t="shared" ca="1" si="222"/>
        <v>Completed</v>
      </c>
      <c r="Y112" s="183" t="str">
        <f t="shared" ca="1" si="223"/>
        <v>Completed</v>
      </c>
      <c r="Z112" s="183" t="str">
        <f t="shared" ca="1" si="224"/>
        <v>Overdue</v>
      </c>
      <c r="AA112" s="184" t="str">
        <f t="shared" ca="1" si="225"/>
        <v>Follow-Next Week</v>
      </c>
    </row>
    <row r="113" spans="1:27" s="64" customFormat="1" ht="11.5" x14ac:dyDescent="0.25">
      <c r="A113" s="70" t="s">
        <v>61</v>
      </c>
      <c r="B113" s="70" t="s">
        <v>62</v>
      </c>
      <c r="C113" s="70" t="s">
        <v>92</v>
      </c>
      <c r="D113" s="75" t="s">
        <v>305</v>
      </c>
      <c r="E113" s="75" t="s">
        <v>127</v>
      </c>
      <c r="F113" s="116">
        <f t="shared" si="247"/>
        <v>0.79999999999999993</v>
      </c>
      <c r="G113" s="116">
        <f t="shared" si="247"/>
        <v>0.79999999999999993</v>
      </c>
      <c r="H113" s="116">
        <f t="shared" si="227"/>
        <v>0.7</v>
      </c>
      <c r="I113" s="116">
        <f t="shared" si="228"/>
        <v>-9.9999999999999978E-2</v>
      </c>
      <c r="J113" s="81">
        <v>0.15</v>
      </c>
      <c r="K113" s="72">
        <v>46178</v>
      </c>
      <c r="L113" s="72">
        <f t="shared" si="229"/>
        <v>46178</v>
      </c>
      <c r="M113" s="72">
        <v>46150</v>
      </c>
      <c r="N113" s="74">
        <f t="shared" si="230"/>
        <v>46220</v>
      </c>
      <c r="O113" s="72">
        <f t="shared" si="231"/>
        <v>46220</v>
      </c>
      <c r="P113" s="74">
        <v>46227</v>
      </c>
      <c r="Q113" s="74">
        <f t="shared" si="232"/>
        <v>46262</v>
      </c>
      <c r="R113" s="72">
        <f t="shared" si="233"/>
        <v>46262</v>
      </c>
      <c r="S113" s="74"/>
      <c r="T113" s="72">
        <f t="shared" si="234"/>
        <v>46276</v>
      </c>
      <c r="U113" s="72">
        <f t="shared" si="235"/>
        <v>46276</v>
      </c>
      <c r="V113" s="72"/>
      <c r="X113" s="183" t="str">
        <f t="shared" ca="1" si="222"/>
        <v>Completed</v>
      </c>
      <c r="Y113" s="183" t="str">
        <f t="shared" ca="1" si="223"/>
        <v>Completed</v>
      </c>
      <c r="Z113" s="183" t="str">
        <f t="shared" ca="1" si="224"/>
        <v>Overdue</v>
      </c>
      <c r="AA113" s="184" t="str">
        <f t="shared" ca="1" si="225"/>
        <v>Follow-Next Week</v>
      </c>
    </row>
    <row r="114" spans="1:27" s="64" customFormat="1" ht="11.5" x14ac:dyDescent="0.25">
      <c r="A114" s="70" t="s">
        <v>61</v>
      </c>
      <c r="B114" s="70" t="s">
        <v>62</v>
      </c>
      <c r="C114" s="70" t="s">
        <v>92</v>
      </c>
      <c r="D114" s="75" t="s">
        <v>306</v>
      </c>
      <c r="E114" s="75" t="s">
        <v>128</v>
      </c>
      <c r="F114" s="116">
        <f t="shared" si="247"/>
        <v>0.79999999999999993</v>
      </c>
      <c r="G114" s="116">
        <f>(COUNTIFS(L114,"&lt;="&amp;$D$1)*50%)+(COUNTIFS(O114,"&lt;="&amp;$D$1)*20%)+(COUNTIFS(R114,"&lt;="&amp;$D$1)*10%)+(COUNTIFS(U114,"&lt;="&amp;$D$1)*20%)</f>
        <v>0.79999999999999993</v>
      </c>
      <c r="H114" s="116">
        <f t="shared" si="227"/>
        <v>0.7</v>
      </c>
      <c r="I114" s="116">
        <f t="shared" si="228"/>
        <v>-9.9999999999999978E-2</v>
      </c>
      <c r="J114" s="81">
        <v>0.15</v>
      </c>
      <c r="K114" s="72">
        <v>46178</v>
      </c>
      <c r="L114" s="72">
        <f t="shared" si="229"/>
        <v>46178</v>
      </c>
      <c r="M114" s="72">
        <v>46150</v>
      </c>
      <c r="N114" s="72">
        <f t="shared" si="230"/>
        <v>46220</v>
      </c>
      <c r="O114" s="72">
        <f t="shared" si="231"/>
        <v>46220</v>
      </c>
      <c r="P114" s="74">
        <v>46227</v>
      </c>
      <c r="Q114" s="72">
        <f t="shared" si="232"/>
        <v>46262</v>
      </c>
      <c r="R114" s="72">
        <f t="shared" si="233"/>
        <v>46262</v>
      </c>
      <c r="S114" s="74"/>
      <c r="T114" s="72">
        <f t="shared" si="234"/>
        <v>46276</v>
      </c>
      <c r="U114" s="72">
        <f t="shared" si="235"/>
        <v>46276</v>
      </c>
      <c r="V114" s="72"/>
      <c r="X114" s="183" t="str">
        <f t="shared" ca="1" si="222"/>
        <v>Completed</v>
      </c>
      <c r="Y114" s="183" t="str">
        <f t="shared" ca="1" si="223"/>
        <v>Completed</v>
      </c>
      <c r="Z114" s="183" t="str">
        <f t="shared" ca="1" si="224"/>
        <v>Overdue</v>
      </c>
      <c r="AA114" s="184" t="str">
        <f t="shared" ca="1" si="225"/>
        <v>Follow-Next Week</v>
      </c>
    </row>
    <row r="115" spans="1:27" s="64" customFormat="1" ht="11.5" x14ac:dyDescent="0.25">
      <c r="A115" s="70" t="s">
        <v>61</v>
      </c>
      <c r="B115" s="70" t="s">
        <v>62</v>
      </c>
      <c r="C115" s="70" t="s">
        <v>92</v>
      </c>
      <c r="D115" s="75" t="s">
        <v>307</v>
      </c>
      <c r="E115" s="75" t="s">
        <v>129</v>
      </c>
      <c r="F115" s="116">
        <f t="shared" si="247"/>
        <v>0.79999999999999993</v>
      </c>
      <c r="G115" s="116">
        <f t="shared" si="227"/>
        <v>0.79999999999999993</v>
      </c>
      <c r="H115" s="116">
        <f t="shared" si="227"/>
        <v>0.7</v>
      </c>
      <c r="I115" s="116">
        <f t="shared" si="228"/>
        <v>-9.9999999999999978E-2</v>
      </c>
      <c r="J115" s="81">
        <v>0.15</v>
      </c>
      <c r="K115" s="72">
        <v>46178</v>
      </c>
      <c r="L115" s="72">
        <f t="shared" si="229"/>
        <v>46178</v>
      </c>
      <c r="M115" s="72">
        <v>46150</v>
      </c>
      <c r="N115" s="72">
        <f t="shared" si="230"/>
        <v>46220</v>
      </c>
      <c r="O115" s="72">
        <f t="shared" si="231"/>
        <v>46220</v>
      </c>
      <c r="P115" s="74">
        <v>46227</v>
      </c>
      <c r="Q115" s="72">
        <f t="shared" si="232"/>
        <v>46262</v>
      </c>
      <c r="R115" s="72">
        <f t="shared" si="233"/>
        <v>46262</v>
      </c>
      <c r="S115" s="72"/>
      <c r="T115" s="72">
        <f t="shared" si="234"/>
        <v>46276</v>
      </c>
      <c r="U115" s="72">
        <f t="shared" si="235"/>
        <v>46276</v>
      </c>
      <c r="V115" s="72"/>
      <c r="X115" s="183" t="str">
        <f t="shared" ca="1" si="222"/>
        <v>Completed</v>
      </c>
      <c r="Y115" s="183" t="str">
        <f t="shared" ca="1" si="223"/>
        <v>Completed</v>
      </c>
      <c r="Z115" s="183" t="str">
        <f t="shared" ca="1" si="224"/>
        <v>Overdue</v>
      </c>
      <c r="AA115" s="184" t="str">
        <f t="shared" ca="1" si="225"/>
        <v>Follow-Next Week</v>
      </c>
    </row>
    <row r="116" spans="1:27" s="64" customFormat="1" ht="11.5" x14ac:dyDescent="0.25">
      <c r="A116" s="70" t="s">
        <v>61</v>
      </c>
      <c r="B116" s="70" t="s">
        <v>62</v>
      </c>
      <c r="C116" s="70" t="s">
        <v>92</v>
      </c>
      <c r="D116" s="75" t="s">
        <v>308</v>
      </c>
      <c r="E116" s="75" t="s">
        <v>130</v>
      </c>
      <c r="F116" s="116">
        <f t="shared" si="247"/>
        <v>0.79999999999999993</v>
      </c>
      <c r="G116" s="116">
        <f t="shared" si="247"/>
        <v>0.79999999999999993</v>
      </c>
      <c r="H116" s="116">
        <f t="shared" si="247"/>
        <v>0.7</v>
      </c>
      <c r="I116" s="116">
        <f t="shared" si="228"/>
        <v>-9.9999999999999978E-2</v>
      </c>
      <c r="J116" s="81">
        <v>0.15</v>
      </c>
      <c r="K116" s="72">
        <v>46178</v>
      </c>
      <c r="L116" s="72">
        <f t="shared" si="229"/>
        <v>46178</v>
      </c>
      <c r="M116" s="72">
        <v>46150</v>
      </c>
      <c r="N116" s="72">
        <f t="shared" si="230"/>
        <v>46220</v>
      </c>
      <c r="O116" s="72">
        <f t="shared" si="231"/>
        <v>46220</v>
      </c>
      <c r="P116" s="74">
        <v>46227</v>
      </c>
      <c r="Q116" s="72">
        <f t="shared" si="232"/>
        <v>46262</v>
      </c>
      <c r="R116" s="72">
        <f t="shared" si="233"/>
        <v>46262</v>
      </c>
      <c r="S116" s="72"/>
      <c r="T116" s="72">
        <f t="shared" si="234"/>
        <v>46276</v>
      </c>
      <c r="U116" s="72">
        <f t="shared" si="235"/>
        <v>46276</v>
      </c>
      <c r="V116" s="72"/>
      <c r="X116" s="183" t="str">
        <f t="shared" ca="1" si="222"/>
        <v>Completed</v>
      </c>
      <c r="Y116" s="183" t="str">
        <f t="shared" ca="1" si="223"/>
        <v>Completed</v>
      </c>
      <c r="Z116" s="183" t="str">
        <f t="shared" ca="1" si="224"/>
        <v>Overdue</v>
      </c>
      <c r="AA116" s="184" t="str">
        <f t="shared" ca="1" si="225"/>
        <v>Follow-Next Week</v>
      </c>
    </row>
    <row r="117" spans="1:27" s="64" customFormat="1" ht="11.5" x14ac:dyDescent="0.25">
      <c r="A117" s="70" t="s">
        <v>61</v>
      </c>
      <c r="B117" s="70" t="s">
        <v>62</v>
      </c>
      <c r="C117" s="70" t="s">
        <v>92</v>
      </c>
      <c r="D117" s="75" t="s">
        <v>309</v>
      </c>
      <c r="E117" s="75" t="s">
        <v>131</v>
      </c>
      <c r="F117" s="116">
        <f t="shared" ref="F117" si="248">(COUNTIFS(K117,"&lt;="&amp;$D$1)*50%)+(COUNTIFS(N117,"&lt;="&amp;$D$1)*20%)+(COUNTIFS(Q117,"&lt;="&amp;$D$1)*10%)+(COUNTIFS(T117,"&lt;="&amp;$D$1)*20%)</f>
        <v>0.79999999999999993</v>
      </c>
      <c r="G117" s="116">
        <f t="shared" ref="G117" si="249">(COUNTIFS(L117,"&lt;="&amp;$D$1)*50%)+(COUNTIFS(O117,"&lt;="&amp;$D$1)*20%)+(COUNTIFS(R117,"&lt;="&amp;$D$1)*10%)+(COUNTIFS(U117,"&lt;="&amp;$D$1)*20%)</f>
        <v>0.79999999999999993</v>
      </c>
      <c r="H117" s="116">
        <f t="shared" ref="H117" si="250">(COUNTIFS(M117,"&lt;="&amp;$D$1)*50%)+(COUNTIFS(P117,"&lt;="&amp;$D$1)*20%)+(COUNTIFS(S117,"&lt;="&amp;$D$1)*10%)+(COUNTIFS(V117,"&lt;="&amp;$D$1)*20%)</f>
        <v>0.7</v>
      </c>
      <c r="I117" s="116">
        <f t="shared" ref="I117" si="251">H117-F117</f>
        <v>-9.9999999999999978E-2</v>
      </c>
      <c r="J117" s="81">
        <v>0.15</v>
      </c>
      <c r="K117" s="72">
        <v>46178</v>
      </c>
      <c r="L117" s="72">
        <f t="shared" si="229"/>
        <v>46178</v>
      </c>
      <c r="M117" s="72">
        <v>46150</v>
      </c>
      <c r="N117" s="72">
        <f t="shared" si="230"/>
        <v>46220</v>
      </c>
      <c r="O117" s="72">
        <f t="shared" si="231"/>
        <v>46220</v>
      </c>
      <c r="P117" s="74">
        <v>46227</v>
      </c>
      <c r="Q117" s="72">
        <f t="shared" si="232"/>
        <v>46262</v>
      </c>
      <c r="R117" s="72">
        <f t="shared" si="233"/>
        <v>46262</v>
      </c>
      <c r="S117" s="72"/>
      <c r="T117" s="72">
        <f t="shared" si="234"/>
        <v>46276</v>
      </c>
      <c r="U117" s="72">
        <f t="shared" si="235"/>
        <v>46276</v>
      </c>
      <c r="V117" s="72"/>
      <c r="X117" s="183" t="str">
        <f t="shared" ca="1" si="222"/>
        <v>Completed</v>
      </c>
      <c r="Y117" s="183" t="str">
        <f t="shared" ca="1" si="223"/>
        <v>Completed</v>
      </c>
      <c r="Z117" s="183" t="str">
        <f t="shared" ca="1" si="224"/>
        <v>Overdue</v>
      </c>
      <c r="AA117" s="184" t="str">
        <f t="shared" ca="1" si="225"/>
        <v>Follow-Next Week</v>
      </c>
    </row>
    <row r="118" spans="1:27" s="64" customFormat="1" ht="11.5" x14ac:dyDescent="0.25">
      <c r="A118" s="70" t="s">
        <v>61</v>
      </c>
      <c r="B118" s="70" t="s">
        <v>62</v>
      </c>
      <c r="C118" s="70" t="s">
        <v>92</v>
      </c>
      <c r="D118" s="75" t="s">
        <v>310</v>
      </c>
      <c r="E118" s="75" t="s">
        <v>132</v>
      </c>
      <c r="F118" s="116">
        <f t="shared" si="247"/>
        <v>0.79999999999999993</v>
      </c>
      <c r="G118" s="116">
        <f t="shared" si="247"/>
        <v>0.79999999999999993</v>
      </c>
      <c r="H118" s="116">
        <f t="shared" si="247"/>
        <v>0.7</v>
      </c>
      <c r="I118" s="116">
        <f t="shared" si="228"/>
        <v>-9.9999999999999978E-2</v>
      </c>
      <c r="J118" s="81">
        <v>0.15</v>
      </c>
      <c r="K118" s="72">
        <v>46178</v>
      </c>
      <c r="L118" s="72">
        <f t="shared" si="229"/>
        <v>46178</v>
      </c>
      <c r="M118" s="72">
        <v>46150</v>
      </c>
      <c r="N118" s="72">
        <f t="shared" si="230"/>
        <v>46220</v>
      </c>
      <c r="O118" s="72">
        <f t="shared" si="231"/>
        <v>46220</v>
      </c>
      <c r="P118" s="74">
        <v>46227</v>
      </c>
      <c r="Q118" s="72">
        <f t="shared" si="232"/>
        <v>46262</v>
      </c>
      <c r="R118" s="72">
        <f t="shared" si="233"/>
        <v>46262</v>
      </c>
      <c r="S118" s="72"/>
      <c r="T118" s="72">
        <f t="shared" si="234"/>
        <v>46276</v>
      </c>
      <c r="U118" s="72">
        <f t="shared" si="235"/>
        <v>46276</v>
      </c>
      <c r="V118" s="72"/>
      <c r="X118" s="183" t="str">
        <f t="shared" ca="1" si="222"/>
        <v>Completed</v>
      </c>
      <c r="Y118" s="183" t="str">
        <f t="shared" ca="1" si="223"/>
        <v>Completed</v>
      </c>
      <c r="Z118" s="183" t="str">
        <f t="shared" ca="1" si="224"/>
        <v>Overdue</v>
      </c>
      <c r="AA118" s="184" t="str">
        <f t="shared" ca="1" si="225"/>
        <v>Follow-Next Week</v>
      </c>
    </row>
    <row r="119" spans="1:27" s="64" customFormat="1" ht="11.5" x14ac:dyDescent="0.25">
      <c r="A119" s="70" t="s">
        <v>61</v>
      </c>
      <c r="B119" s="70" t="s">
        <v>62</v>
      </c>
      <c r="C119" s="70" t="s">
        <v>92</v>
      </c>
      <c r="D119" s="75" t="s">
        <v>311</v>
      </c>
      <c r="E119" s="75" t="s">
        <v>133</v>
      </c>
      <c r="F119" s="116">
        <f t="shared" si="247"/>
        <v>0.79999999999999993</v>
      </c>
      <c r="G119" s="116">
        <f t="shared" si="247"/>
        <v>0.79999999999999993</v>
      </c>
      <c r="H119" s="116">
        <f t="shared" si="247"/>
        <v>0.7</v>
      </c>
      <c r="I119" s="116">
        <f t="shared" si="228"/>
        <v>-9.9999999999999978E-2</v>
      </c>
      <c r="J119" s="81">
        <v>0.15</v>
      </c>
      <c r="K119" s="72">
        <v>46178</v>
      </c>
      <c r="L119" s="72">
        <f t="shared" si="229"/>
        <v>46178</v>
      </c>
      <c r="M119" s="72">
        <v>46150</v>
      </c>
      <c r="N119" s="72">
        <f t="shared" si="230"/>
        <v>46220</v>
      </c>
      <c r="O119" s="72">
        <f t="shared" si="231"/>
        <v>46220</v>
      </c>
      <c r="P119" s="74">
        <v>46227</v>
      </c>
      <c r="Q119" s="72">
        <f t="shared" si="232"/>
        <v>46262</v>
      </c>
      <c r="R119" s="72">
        <f t="shared" si="233"/>
        <v>46262</v>
      </c>
      <c r="S119" s="72"/>
      <c r="T119" s="72">
        <f t="shared" si="234"/>
        <v>46276</v>
      </c>
      <c r="U119" s="72">
        <f t="shared" si="235"/>
        <v>46276</v>
      </c>
      <c r="V119" s="72"/>
      <c r="X119" s="183" t="str">
        <f t="shared" ca="1" si="222"/>
        <v>Completed</v>
      </c>
      <c r="Y119" s="183" t="str">
        <f t="shared" ca="1" si="223"/>
        <v>Completed</v>
      </c>
      <c r="Z119" s="183" t="str">
        <f t="shared" ca="1" si="224"/>
        <v>Overdue</v>
      </c>
      <c r="AA119" s="184" t="str">
        <f t="shared" ca="1" si="225"/>
        <v>Follow-Next Week</v>
      </c>
    </row>
    <row r="120" spans="1:27" s="64" customFormat="1" ht="11.5" x14ac:dyDescent="0.25">
      <c r="A120" s="70" t="s">
        <v>61</v>
      </c>
      <c r="B120" s="70" t="s">
        <v>62</v>
      </c>
      <c r="C120" s="70" t="s">
        <v>92</v>
      </c>
      <c r="D120" s="75" t="s">
        <v>312</v>
      </c>
      <c r="E120" s="75" t="s">
        <v>134</v>
      </c>
      <c r="F120" s="116">
        <f t="shared" si="247"/>
        <v>0.79999999999999993</v>
      </c>
      <c r="G120" s="116">
        <f t="shared" si="247"/>
        <v>0.79999999999999993</v>
      </c>
      <c r="H120" s="116">
        <f t="shared" si="247"/>
        <v>0.7</v>
      </c>
      <c r="I120" s="116">
        <f t="shared" si="228"/>
        <v>-9.9999999999999978E-2</v>
      </c>
      <c r="J120" s="81">
        <v>0.15</v>
      </c>
      <c r="K120" s="72">
        <v>46178</v>
      </c>
      <c r="L120" s="72">
        <f t="shared" si="229"/>
        <v>46178</v>
      </c>
      <c r="M120" s="72">
        <v>46150</v>
      </c>
      <c r="N120" s="72">
        <f t="shared" si="230"/>
        <v>46220</v>
      </c>
      <c r="O120" s="72">
        <f t="shared" si="231"/>
        <v>46220</v>
      </c>
      <c r="P120" s="74">
        <v>46227</v>
      </c>
      <c r="Q120" s="72">
        <f t="shared" si="232"/>
        <v>46262</v>
      </c>
      <c r="R120" s="72">
        <f t="shared" si="233"/>
        <v>46262</v>
      </c>
      <c r="S120" s="72"/>
      <c r="T120" s="72">
        <f t="shared" si="234"/>
        <v>46276</v>
      </c>
      <c r="U120" s="72">
        <f t="shared" si="235"/>
        <v>46276</v>
      </c>
      <c r="V120" s="72"/>
      <c r="X120" s="183" t="str">
        <f t="shared" ca="1" si="222"/>
        <v>Completed</v>
      </c>
      <c r="Y120" s="183" t="str">
        <f t="shared" ca="1" si="223"/>
        <v>Completed</v>
      </c>
      <c r="Z120" s="183" t="str">
        <f t="shared" ca="1" si="224"/>
        <v>Overdue</v>
      </c>
      <c r="AA120" s="184" t="str">
        <f t="shared" ca="1" si="225"/>
        <v>Follow-Next Week</v>
      </c>
    </row>
    <row r="121" spans="1:27" s="64" customFormat="1" ht="11.5" x14ac:dyDescent="0.25">
      <c r="A121" s="70" t="s">
        <v>61</v>
      </c>
      <c r="B121" s="70" t="s">
        <v>62</v>
      </c>
      <c r="C121" s="70" t="s">
        <v>92</v>
      </c>
      <c r="D121" s="75" t="s">
        <v>313</v>
      </c>
      <c r="E121" s="75" t="s">
        <v>135</v>
      </c>
      <c r="F121" s="116">
        <f t="shared" si="247"/>
        <v>0.79999999999999993</v>
      </c>
      <c r="G121" s="116">
        <f t="shared" si="247"/>
        <v>0.79999999999999993</v>
      </c>
      <c r="H121" s="116">
        <f t="shared" si="247"/>
        <v>0.7</v>
      </c>
      <c r="I121" s="116">
        <f t="shared" si="228"/>
        <v>-9.9999999999999978E-2</v>
      </c>
      <c r="J121" s="81">
        <v>0.15</v>
      </c>
      <c r="K121" s="72">
        <v>46178</v>
      </c>
      <c r="L121" s="72">
        <f t="shared" si="229"/>
        <v>46178</v>
      </c>
      <c r="M121" s="72">
        <v>46150</v>
      </c>
      <c r="N121" s="72">
        <f t="shared" si="230"/>
        <v>46220</v>
      </c>
      <c r="O121" s="72">
        <f t="shared" si="231"/>
        <v>46220</v>
      </c>
      <c r="P121" s="74">
        <v>46227</v>
      </c>
      <c r="Q121" s="72">
        <f t="shared" si="232"/>
        <v>46262</v>
      </c>
      <c r="R121" s="72">
        <f t="shared" si="233"/>
        <v>46262</v>
      </c>
      <c r="S121" s="72"/>
      <c r="T121" s="72">
        <f t="shared" si="234"/>
        <v>46276</v>
      </c>
      <c r="U121" s="72">
        <f t="shared" si="235"/>
        <v>46276</v>
      </c>
      <c r="V121" s="72"/>
      <c r="X121" s="183" t="str">
        <f t="shared" ca="1" si="222"/>
        <v>Completed</v>
      </c>
      <c r="Y121" s="183" t="str">
        <f t="shared" ca="1" si="223"/>
        <v>Completed</v>
      </c>
      <c r="Z121" s="183" t="str">
        <f t="shared" ca="1" si="224"/>
        <v>Overdue</v>
      </c>
      <c r="AA121" s="184" t="str">
        <f t="shared" ca="1" si="225"/>
        <v>Follow-Next Week</v>
      </c>
    </row>
    <row r="122" spans="1:27" s="64" customFormat="1" ht="11.5" x14ac:dyDescent="0.25">
      <c r="A122" s="70" t="s">
        <v>61</v>
      </c>
      <c r="B122" s="70" t="s">
        <v>62</v>
      </c>
      <c r="C122" s="70" t="s">
        <v>92</v>
      </c>
      <c r="D122" s="75" t="s">
        <v>314</v>
      </c>
      <c r="E122" s="75" t="s">
        <v>136</v>
      </c>
      <c r="F122" s="116">
        <f t="shared" si="247"/>
        <v>0.79999999999999993</v>
      </c>
      <c r="G122" s="116">
        <f t="shared" si="247"/>
        <v>0.79999999999999993</v>
      </c>
      <c r="H122" s="116">
        <f t="shared" si="247"/>
        <v>0.7</v>
      </c>
      <c r="I122" s="116">
        <f t="shared" si="228"/>
        <v>-9.9999999999999978E-2</v>
      </c>
      <c r="J122" s="81">
        <v>0.15</v>
      </c>
      <c r="K122" s="72">
        <v>46178</v>
      </c>
      <c r="L122" s="72">
        <f t="shared" si="229"/>
        <v>46178</v>
      </c>
      <c r="M122" s="72">
        <v>46150</v>
      </c>
      <c r="N122" s="72">
        <f t="shared" si="230"/>
        <v>46220</v>
      </c>
      <c r="O122" s="72">
        <f t="shared" si="231"/>
        <v>46220</v>
      </c>
      <c r="P122" s="74">
        <v>46227</v>
      </c>
      <c r="Q122" s="72">
        <f t="shared" si="232"/>
        <v>46262</v>
      </c>
      <c r="R122" s="72">
        <f t="shared" si="233"/>
        <v>46262</v>
      </c>
      <c r="S122" s="72"/>
      <c r="T122" s="72">
        <f t="shared" si="234"/>
        <v>46276</v>
      </c>
      <c r="U122" s="72">
        <f t="shared" si="235"/>
        <v>46276</v>
      </c>
      <c r="V122" s="72"/>
      <c r="X122" s="183" t="str">
        <f t="shared" ca="1" si="222"/>
        <v>Completed</v>
      </c>
      <c r="Y122" s="183" t="str">
        <f t="shared" ca="1" si="223"/>
        <v>Completed</v>
      </c>
      <c r="Z122" s="183" t="str">
        <f t="shared" ca="1" si="224"/>
        <v>Overdue</v>
      </c>
      <c r="AA122" s="184" t="str">
        <f t="shared" ca="1" si="225"/>
        <v>Follow-Next Week</v>
      </c>
    </row>
    <row r="123" spans="1:27" s="64" customFormat="1" ht="11.5" x14ac:dyDescent="0.25">
      <c r="A123" s="70" t="s">
        <v>61</v>
      </c>
      <c r="B123" s="70" t="s">
        <v>62</v>
      </c>
      <c r="C123" s="70" t="s">
        <v>92</v>
      </c>
      <c r="D123" s="75" t="s">
        <v>315</v>
      </c>
      <c r="E123" s="75" t="s">
        <v>137</v>
      </c>
      <c r="F123" s="116">
        <f t="shared" si="247"/>
        <v>0.79999999999999993</v>
      </c>
      <c r="G123" s="116">
        <f t="shared" si="247"/>
        <v>0.79999999999999993</v>
      </c>
      <c r="H123" s="116">
        <f t="shared" si="247"/>
        <v>0.7</v>
      </c>
      <c r="I123" s="116">
        <f t="shared" si="228"/>
        <v>-9.9999999999999978E-2</v>
      </c>
      <c r="J123" s="81">
        <v>0.15</v>
      </c>
      <c r="K123" s="72">
        <v>46178</v>
      </c>
      <c r="L123" s="72">
        <f t="shared" si="229"/>
        <v>46178</v>
      </c>
      <c r="M123" s="72">
        <v>46150</v>
      </c>
      <c r="N123" s="72">
        <f t="shared" si="230"/>
        <v>46220</v>
      </c>
      <c r="O123" s="72">
        <f t="shared" si="231"/>
        <v>46220</v>
      </c>
      <c r="P123" s="74">
        <v>46227</v>
      </c>
      <c r="Q123" s="72">
        <f t="shared" si="232"/>
        <v>46262</v>
      </c>
      <c r="R123" s="72">
        <f t="shared" si="233"/>
        <v>46262</v>
      </c>
      <c r="S123" s="72"/>
      <c r="T123" s="72">
        <f t="shared" si="234"/>
        <v>46276</v>
      </c>
      <c r="U123" s="72">
        <f t="shared" si="235"/>
        <v>46276</v>
      </c>
      <c r="V123" s="72"/>
      <c r="X123" s="183" t="str">
        <f t="shared" ca="1" si="222"/>
        <v>Completed</v>
      </c>
      <c r="Y123" s="183" t="str">
        <f t="shared" ca="1" si="223"/>
        <v>Completed</v>
      </c>
      <c r="Z123" s="183" t="str">
        <f t="shared" ca="1" si="224"/>
        <v>Overdue</v>
      </c>
      <c r="AA123" s="184" t="str">
        <f t="shared" ca="1" si="225"/>
        <v>Follow-Next Week</v>
      </c>
    </row>
    <row r="124" spans="1:27" s="64" customFormat="1" ht="11.5" x14ac:dyDescent="0.25">
      <c r="A124" s="70" t="s">
        <v>61</v>
      </c>
      <c r="B124" s="70" t="s">
        <v>62</v>
      </c>
      <c r="C124" s="70" t="s">
        <v>92</v>
      </c>
      <c r="D124" s="75" t="s">
        <v>316</v>
      </c>
      <c r="E124" s="75" t="s">
        <v>138</v>
      </c>
      <c r="F124" s="116">
        <f t="shared" si="247"/>
        <v>0.79999999999999993</v>
      </c>
      <c r="G124" s="116">
        <f t="shared" si="247"/>
        <v>0.79999999999999993</v>
      </c>
      <c r="H124" s="116">
        <f t="shared" si="247"/>
        <v>0.7</v>
      </c>
      <c r="I124" s="116">
        <f t="shared" si="228"/>
        <v>-9.9999999999999978E-2</v>
      </c>
      <c r="J124" s="81">
        <v>0.15</v>
      </c>
      <c r="K124" s="72">
        <v>46178</v>
      </c>
      <c r="L124" s="72">
        <f t="shared" si="229"/>
        <v>46178</v>
      </c>
      <c r="M124" s="72">
        <v>46150</v>
      </c>
      <c r="N124" s="72">
        <f t="shared" si="230"/>
        <v>46220</v>
      </c>
      <c r="O124" s="72">
        <f t="shared" si="231"/>
        <v>46220</v>
      </c>
      <c r="P124" s="74">
        <v>46227</v>
      </c>
      <c r="Q124" s="72">
        <f t="shared" si="232"/>
        <v>46262</v>
      </c>
      <c r="R124" s="72">
        <f t="shared" si="233"/>
        <v>46262</v>
      </c>
      <c r="S124" s="72"/>
      <c r="T124" s="72">
        <f t="shared" si="234"/>
        <v>46276</v>
      </c>
      <c r="U124" s="72">
        <f t="shared" si="235"/>
        <v>46276</v>
      </c>
      <c r="V124" s="72"/>
      <c r="X124" s="183" t="str">
        <f t="shared" ca="1" si="222"/>
        <v>Completed</v>
      </c>
      <c r="Y124" s="183" t="str">
        <f t="shared" ca="1" si="223"/>
        <v>Completed</v>
      </c>
      <c r="Z124" s="183" t="str">
        <f t="shared" ca="1" si="224"/>
        <v>Overdue</v>
      </c>
      <c r="AA124" s="184" t="str">
        <f t="shared" ca="1" si="225"/>
        <v>Follow-Next Week</v>
      </c>
    </row>
    <row r="125" spans="1:27" s="64" customFormat="1" ht="11.5" x14ac:dyDescent="0.25">
      <c r="A125" s="70" t="s">
        <v>61</v>
      </c>
      <c r="B125" s="70" t="s">
        <v>62</v>
      </c>
      <c r="C125" s="70" t="s">
        <v>92</v>
      </c>
      <c r="D125" s="75" t="s">
        <v>317</v>
      </c>
      <c r="E125" s="75" t="s">
        <v>139</v>
      </c>
      <c r="F125" s="116">
        <f t="shared" si="247"/>
        <v>0.79999999999999993</v>
      </c>
      <c r="G125" s="116">
        <f t="shared" si="247"/>
        <v>0.79999999999999993</v>
      </c>
      <c r="H125" s="116">
        <f t="shared" si="247"/>
        <v>0.7</v>
      </c>
      <c r="I125" s="116">
        <f t="shared" si="228"/>
        <v>-9.9999999999999978E-2</v>
      </c>
      <c r="J125" s="81">
        <v>0.15</v>
      </c>
      <c r="K125" s="72">
        <v>46178</v>
      </c>
      <c r="L125" s="72">
        <f t="shared" si="229"/>
        <v>46178</v>
      </c>
      <c r="M125" s="72">
        <v>46150</v>
      </c>
      <c r="N125" s="72">
        <f t="shared" si="230"/>
        <v>46220</v>
      </c>
      <c r="O125" s="72">
        <f t="shared" si="231"/>
        <v>46220</v>
      </c>
      <c r="P125" s="74">
        <v>46227</v>
      </c>
      <c r="Q125" s="72">
        <f t="shared" si="232"/>
        <v>46262</v>
      </c>
      <c r="R125" s="72">
        <f t="shared" si="233"/>
        <v>46262</v>
      </c>
      <c r="S125" s="72"/>
      <c r="T125" s="72">
        <f t="shared" si="234"/>
        <v>46276</v>
      </c>
      <c r="U125" s="72">
        <f t="shared" si="235"/>
        <v>46276</v>
      </c>
      <c r="V125" s="72"/>
      <c r="X125" s="183" t="str">
        <f t="shared" ca="1" si="222"/>
        <v>Completed</v>
      </c>
      <c r="Y125" s="183" t="str">
        <f t="shared" ca="1" si="223"/>
        <v>Completed</v>
      </c>
      <c r="Z125" s="183" t="str">
        <f t="shared" ca="1" si="224"/>
        <v>Overdue</v>
      </c>
      <c r="AA125" s="184" t="str">
        <f t="shared" ca="1" si="225"/>
        <v>Follow-Next Week</v>
      </c>
    </row>
    <row r="126" spans="1:27" s="64" customFormat="1" ht="11.5" x14ac:dyDescent="0.25">
      <c r="A126" s="70" t="s">
        <v>61</v>
      </c>
      <c r="B126" s="70" t="s">
        <v>62</v>
      </c>
      <c r="C126" s="70" t="s">
        <v>92</v>
      </c>
      <c r="D126" s="75" t="s">
        <v>318</v>
      </c>
      <c r="E126" s="75" t="s">
        <v>140</v>
      </c>
      <c r="F126" s="116">
        <f t="shared" si="247"/>
        <v>0.79999999999999993</v>
      </c>
      <c r="G126" s="116">
        <f t="shared" si="247"/>
        <v>0.79999999999999993</v>
      </c>
      <c r="H126" s="116">
        <f t="shared" si="247"/>
        <v>0.7</v>
      </c>
      <c r="I126" s="116">
        <f t="shared" si="228"/>
        <v>-9.9999999999999978E-2</v>
      </c>
      <c r="J126" s="81">
        <v>0.15</v>
      </c>
      <c r="K126" s="72">
        <v>46178</v>
      </c>
      <c r="L126" s="72">
        <f t="shared" si="229"/>
        <v>46178</v>
      </c>
      <c r="M126" s="72">
        <v>46150</v>
      </c>
      <c r="N126" s="72">
        <f t="shared" si="230"/>
        <v>46220</v>
      </c>
      <c r="O126" s="72">
        <f t="shared" si="231"/>
        <v>46220</v>
      </c>
      <c r="P126" s="74">
        <v>46227</v>
      </c>
      <c r="Q126" s="72">
        <f t="shared" si="232"/>
        <v>46262</v>
      </c>
      <c r="R126" s="72">
        <f t="shared" si="233"/>
        <v>46262</v>
      </c>
      <c r="S126" s="72"/>
      <c r="T126" s="72">
        <f t="shared" si="234"/>
        <v>46276</v>
      </c>
      <c r="U126" s="72">
        <f t="shared" si="235"/>
        <v>46276</v>
      </c>
      <c r="V126" s="72"/>
      <c r="X126" s="183" t="str">
        <f t="shared" ca="1" si="222"/>
        <v>Completed</v>
      </c>
      <c r="Y126" s="183" t="str">
        <f t="shared" ca="1" si="223"/>
        <v>Completed</v>
      </c>
      <c r="Z126" s="183" t="str">
        <f t="shared" ca="1" si="224"/>
        <v>Overdue</v>
      </c>
      <c r="AA126" s="184" t="str">
        <f t="shared" ca="1" si="225"/>
        <v>Follow-Next Week</v>
      </c>
    </row>
    <row r="127" spans="1:27" s="64" customFormat="1" ht="11.5" x14ac:dyDescent="0.25">
      <c r="A127" s="70" t="s">
        <v>61</v>
      </c>
      <c r="B127" s="70" t="s">
        <v>62</v>
      </c>
      <c r="C127" s="70" t="s">
        <v>92</v>
      </c>
      <c r="D127" s="75" t="s">
        <v>319</v>
      </c>
      <c r="E127" s="75" t="s">
        <v>141</v>
      </c>
      <c r="F127" s="116">
        <f t="shared" si="247"/>
        <v>0.79999999999999993</v>
      </c>
      <c r="G127" s="116">
        <f t="shared" si="247"/>
        <v>0.79999999999999993</v>
      </c>
      <c r="H127" s="116">
        <f t="shared" si="247"/>
        <v>0.7</v>
      </c>
      <c r="I127" s="116">
        <f t="shared" si="228"/>
        <v>-9.9999999999999978E-2</v>
      </c>
      <c r="J127" s="81">
        <v>0.15</v>
      </c>
      <c r="K127" s="72">
        <v>46178</v>
      </c>
      <c r="L127" s="72">
        <f t="shared" si="229"/>
        <v>46178</v>
      </c>
      <c r="M127" s="72">
        <v>46150</v>
      </c>
      <c r="N127" s="72">
        <f t="shared" si="230"/>
        <v>46220</v>
      </c>
      <c r="O127" s="72">
        <f t="shared" si="231"/>
        <v>46220</v>
      </c>
      <c r="P127" s="74">
        <v>46227</v>
      </c>
      <c r="Q127" s="72">
        <f t="shared" si="232"/>
        <v>46262</v>
      </c>
      <c r="R127" s="72">
        <f t="shared" si="233"/>
        <v>46262</v>
      </c>
      <c r="S127" s="72"/>
      <c r="T127" s="72">
        <f t="shared" si="234"/>
        <v>46276</v>
      </c>
      <c r="U127" s="72">
        <f t="shared" si="235"/>
        <v>46276</v>
      </c>
      <c r="V127" s="72"/>
      <c r="X127" s="183" t="str">
        <f t="shared" ca="1" si="222"/>
        <v>Completed</v>
      </c>
      <c r="Y127" s="183" t="str">
        <f t="shared" ca="1" si="223"/>
        <v>Completed</v>
      </c>
      <c r="Z127" s="183" t="str">
        <f t="shared" ca="1" si="224"/>
        <v>Overdue</v>
      </c>
      <c r="AA127" s="184" t="str">
        <f t="shared" ca="1" si="225"/>
        <v>Follow-Next Week</v>
      </c>
    </row>
    <row r="128" spans="1:27" s="64" customFormat="1" ht="11.5" x14ac:dyDescent="0.25">
      <c r="A128" s="70" t="s">
        <v>61</v>
      </c>
      <c r="B128" s="70" t="s">
        <v>62</v>
      </c>
      <c r="C128" s="70" t="s">
        <v>92</v>
      </c>
      <c r="D128" s="75" t="s">
        <v>320</v>
      </c>
      <c r="E128" s="75" t="s">
        <v>142</v>
      </c>
      <c r="F128" s="116">
        <f t="shared" si="247"/>
        <v>0.79999999999999993</v>
      </c>
      <c r="G128" s="116">
        <f t="shared" si="247"/>
        <v>0.79999999999999993</v>
      </c>
      <c r="H128" s="116">
        <f t="shared" si="247"/>
        <v>0.7</v>
      </c>
      <c r="I128" s="116">
        <f t="shared" si="228"/>
        <v>-9.9999999999999978E-2</v>
      </c>
      <c r="J128" s="81">
        <v>0.15</v>
      </c>
      <c r="K128" s="72">
        <v>46178</v>
      </c>
      <c r="L128" s="72">
        <f t="shared" si="229"/>
        <v>46178</v>
      </c>
      <c r="M128" s="72">
        <v>46150</v>
      </c>
      <c r="N128" s="72">
        <f t="shared" si="230"/>
        <v>46220</v>
      </c>
      <c r="O128" s="72">
        <f t="shared" si="231"/>
        <v>46220</v>
      </c>
      <c r="P128" s="74">
        <v>46227</v>
      </c>
      <c r="Q128" s="72">
        <f t="shared" si="232"/>
        <v>46262</v>
      </c>
      <c r="R128" s="72">
        <f t="shared" si="233"/>
        <v>46262</v>
      </c>
      <c r="S128" s="72"/>
      <c r="T128" s="72">
        <f t="shared" si="234"/>
        <v>46276</v>
      </c>
      <c r="U128" s="72">
        <f t="shared" si="235"/>
        <v>46276</v>
      </c>
      <c r="V128" s="72"/>
      <c r="X128" s="183" t="str">
        <f t="shared" ca="1" si="222"/>
        <v>Completed</v>
      </c>
      <c r="Y128" s="183" t="str">
        <f t="shared" ca="1" si="223"/>
        <v>Completed</v>
      </c>
      <c r="Z128" s="183" t="str">
        <f t="shared" ca="1" si="224"/>
        <v>Overdue</v>
      </c>
      <c r="AA128" s="184" t="str">
        <f t="shared" ca="1" si="225"/>
        <v>Follow-Next Week</v>
      </c>
    </row>
    <row r="129" spans="1:27" s="64" customFormat="1" ht="11.5" x14ac:dyDescent="0.25">
      <c r="A129" s="70" t="s">
        <v>61</v>
      </c>
      <c r="B129" s="70" t="s">
        <v>62</v>
      </c>
      <c r="C129" s="70" t="s">
        <v>92</v>
      </c>
      <c r="D129" s="75" t="s">
        <v>321</v>
      </c>
      <c r="E129" s="75" t="s">
        <v>143</v>
      </c>
      <c r="F129" s="116">
        <f t="shared" si="247"/>
        <v>0.79999999999999993</v>
      </c>
      <c r="G129" s="116">
        <f t="shared" si="247"/>
        <v>0.79999999999999993</v>
      </c>
      <c r="H129" s="116">
        <f t="shared" si="247"/>
        <v>0.7</v>
      </c>
      <c r="I129" s="116">
        <f t="shared" si="228"/>
        <v>-9.9999999999999978E-2</v>
      </c>
      <c r="J129" s="81">
        <v>0.15</v>
      </c>
      <c r="K129" s="72">
        <v>46178</v>
      </c>
      <c r="L129" s="72">
        <f t="shared" si="229"/>
        <v>46178</v>
      </c>
      <c r="M129" s="72">
        <v>46150</v>
      </c>
      <c r="N129" s="72">
        <f t="shared" si="230"/>
        <v>46220</v>
      </c>
      <c r="O129" s="72">
        <f t="shared" si="231"/>
        <v>46220</v>
      </c>
      <c r="P129" s="74">
        <v>46227</v>
      </c>
      <c r="Q129" s="72">
        <f t="shared" si="232"/>
        <v>46262</v>
      </c>
      <c r="R129" s="72">
        <f t="shared" si="233"/>
        <v>46262</v>
      </c>
      <c r="S129" s="72"/>
      <c r="T129" s="72">
        <f t="shared" si="234"/>
        <v>46276</v>
      </c>
      <c r="U129" s="72">
        <f t="shared" si="235"/>
        <v>46276</v>
      </c>
      <c r="V129" s="72"/>
      <c r="X129" s="183" t="str">
        <f t="shared" ca="1" si="222"/>
        <v>Completed</v>
      </c>
      <c r="Y129" s="183" t="str">
        <f t="shared" ca="1" si="223"/>
        <v>Completed</v>
      </c>
      <c r="Z129" s="183" t="str">
        <f t="shared" ca="1" si="224"/>
        <v>Overdue</v>
      </c>
      <c r="AA129" s="184" t="str">
        <f t="shared" ca="1" si="225"/>
        <v>Follow-Next Week</v>
      </c>
    </row>
    <row r="130" spans="1:27" s="64" customFormat="1" ht="11.5" x14ac:dyDescent="0.25">
      <c r="A130" s="70" t="s">
        <v>61</v>
      </c>
      <c r="B130" s="70" t="s">
        <v>62</v>
      </c>
      <c r="C130" s="70" t="s">
        <v>92</v>
      </c>
      <c r="D130" s="75" t="s">
        <v>406</v>
      </c>
      <c r="E130" s="75" t="s">
        <v>407</v>
      </c>
      <c r="F130" s="116">
        <f t="shared" ref="F130" si="252">(COUNTIFS(K130,"&lt;="&amp;$D$1)*50%)+(COUNTIFS(N130,"&lt;="&amp;$D$1)*20%)+(COUNTIFS(Q130,"&lt;="&amp;$D$1)*10%)+(COUNTIFS(T130,"&lt;="&amp;$D$1)*20%)</f>
        <v>0.79999999999999993</v>
      </c>
      <c r="G130" s="116">
        <f t="shared" ref="G130" si="253">(COUNTIFS(L130,"&lt;="&amp;$D$1)*50%)+(COUNTIFS(O130,"&lt;="&amp;$D$1)*20%)+(COUNTIFS(R130,"&lt;="&amp;$D$1)*10%)+(COUNTIFS(U130,"&lt;="&amp;$D$1)*20%)</f>
        <v>0.79999999999999993</v>
      </c>
      <c r="H130" s="116">
        <f t="shared" ref="H130" si="254">(COUNTIFS(M130,"&lt;="&amp;$D$1)*50%)+(COUNTIFS(P130,"&lt;="&amp;$D$1)*20%)+(COUNTIFS(S130,"&lt;="&amp;$D$1)*10%)+(COUNTIFS(V130,"&lt;="&amp;$D$1)*20%)</f>
        <v>0.7</v>
      </c>
      <c r="I130" s="116">
        <f t="shared" ref="I130" si="255">H130-F130</f>
        <v>-9.9999999999999978E-2</v>
      </c>
      <c r="J130" s="81">
        <v>0.15</v>
      </c>
      <c r="K130" s="72">
        <v>46178</v>
      </c>
      <c r="L130" s="72">
        <f t="shared" ref="L130" si="256">K130</f>
        <v>46178</v>
      </c>
      <c r="M130" s="72">
        <v>46150</v>
      </c>
      <c r="N130" s="72">
        <f t="shared" ref="N130" si="257">K130+42</f>
        <v>46220</v>
      </c>
      <c r="O130" s="72">
        <f t="shared" ref="O130" si="258">N130</f>
        <v>46220</v>
      </c>
      <c r="P130" s="74">
        <v>46227</v>
      </c>
      <c r="Q130" s="72">
        <f t="shared" ref="Q130" si="259">N130+42</f>
        <v>46262</v>
      </c>
      <c r="R130" s="72">
        <f t="shared" ref="R130" si="260">Q130</f>
        <v>46262</v>
      </c>
      <c r="S130" s="72"/>
      <c r="T130" s="72">
        <f t="shared" ref="T130" si="261">Q130+14</f>
        <v>46276</v>
      </c>
      <c r="U130" s="72">
        <f t="shared" ref="U130" si="262">T130</f>
        <v>46276</v>
      </c>
      <c r="V130" s="72"/>
      <c r="X130" s="183" t="str">
        <f t="shared" ca="1" si="222"/>
        <v>Completed</v>
      </c>
      <c r="Y130" s="183" t="str">
        <f t="shared" ca="1" si="223"/>
        <v>Completed</v>
      </c>
      <c r="Z130" s="183" t="str">
        <f t="shared" ca="1" si="224"/>
        <v>Overdue</v>
      </c>
      <c r="AA130" s="184" t="str">
        <f t="shared" ca="1" si="225"/>
        <v>Follow-Next Week</v>
      </c>
    </row>
    <row r="131" spans="1:27" s="64" customFormat="1" ht="11.5" x14ac:dyDescent="0.25">
      <c r="A131" s="70" t="s">
        <v>61</v>
      </c>
      <c r="B131" s="70" t="s">
        <v>62</v>
      </c>
      <c r="C131" s="70" t="s">
        <v>92</v>
      </c>
      <c r="D131" s="75" t="s">
        <v>525</v>
      </c>
      <c r="E131" s="75" t="s">
        <v>526</v>
      </c>
      <c r="F131" s="116"/>
      <c r="G131" s="116"/>
      <c r="H131" s="116"/>
      <c r="I131" s="116"/>
      <c r="J131" s="81"/>
      <c r="K131" s="72">
        <v>46258</v>
      </c>
      <c r="L131" s="72">
        <f t="shared" ref="L131" si="263">K131</f>
        <v>46258</v>
      </c>
      <c r="M131" s="72">
        <v>46258</v>
      </c>
      <c r="N131" s="72">
        <f t="shared" ref="N131" si="264">K131+42</f>
        <v>46300</v>
      </c>
      <c r="O131" s="72">
        <f t="shared" ref="O131" si="265">N131</f>
        <v>46300</v>
      </c>
      <c r="P131" s="74">
        <v>46269</v>
      </c>
      <c r="Q131" s="72">
        <f t="shared" ref="Q131" si="266">N131+42</f>
        <v>46342</v>
      </c>
      <c r="R131" s="72">
        <f t="shared" ref="R131" si="267">Q131</f>
        <v>46342</v>
      </c>
      <c r="S131" s="72"/>
      <c r="T131" s="72">
        <f t="shared" ref="T131" si="268">Q131+14</f>
        <v>46356</v>
      </c>
      <c r="U131" s="72">
        <f t="shared" ref="U131" si="269">T131</f>
        <v>46356</v>
      </c>
      <c r="V131" s="72"/>
      <c r="X131" s="183" t="str">
        <f t="shared" ref="X131" ca="1" si="270">IF(OR(M131&lt;&gt;""),"Completed",
IF(L131="","",IF(L131&lt;TODAY(),"Overdue",
IF(AND(L131&gt;=TODAY()-WEEKDAY(TODAY(),2)+1,L131&lt;=TODAY()-WEEKDAY(TODAY(),2)+7),"Follow-This Week",
IF(AND(L131&gt;=TODAY()-WEEKDAY(TODAY(),2)+8,L131&lt;=TODAY()-WEEKDAY(TODAY(),2)+14),"Follow-Next Week","")))))</f>
        <v>Completed</v>
      </c>
      <c r="Y131" s="183" t="str">
        <f t="shared" ref="Y131" ca="1" si="271">IF(OR(P131&lt;&gt;""),"Completed",IF(O131="","",
IF(O131&lt;TODAY(),"Overdue",
IF(AND(O131&gt;=TODAY()-WEEKDAY(TODAY(),2)+1,O131&lt;=TODAY()-WEEKDAY(TODAY(),2)+7),"Follow-This Week",
IF(AND(O131&gt;=TODAY()-WEEKDAY(TODAY(),2)+8,O131&lt;=TODAY()-WEEKDAY(TODAY(),2)+14),"Follow-Next Week","")))))</f>
        <v>Completed</v>
      </c>
      <c r="Z131" s="183" t="str">
        <f t="shared" ref="Z131" ca="1" si="272">IF(OR(S131&lt;&gt;""),"Completed",IF(R131="","",
IF(R131&lt;TODAY(),"Overdue",
IF(AND(R131&gt;=TODAY()-WEEKDAY(TODAY(),2)+1,R131&lt;=TODAY()-WEEKDAY(TODAY(),2)+7),"Follow-This Week",
IF(AND(R131&gt;=TODAY()-WEEKDAY(TODAY(),2)+8,R131&lt;=TODAY()-WEEKDAY(TODAY(),2)+14),"Follow-Next Week","")))))</f>
        <v/>
      </c>
      <c r="AA131" s="184" t="str">
        <f t="shared" ref="AA131" ca="1" si="273">IF(OR(V131&lt;&gt;""),"Completed",IF(U131="","",
IF(U131&lt;TODAY(),"Overdue",
IF(AND(U131&gt;=TODAY()-WEEKDAY(TODAY(),2)+1,U131&lt;=TODAY()-WEEKDAY(TODAY(),2)+7),"Follow-This Week",
IF(AND(U131&gt;=TODAY()-WEEKDAY(TODAY(),2)+8,U131&lt;=TODAY()-WEEKDAY(TODAY(),2)+14),"Follow-Next Week","")))))</f>
        <v/>
      </c>
    </row>
    <row r="132" spans="1:27" s="64" customFormat="1" ht="11.5" x14ac:dyDescent="0.25">
      <c r="A132" s="70" t="s">
        <v>61</v>
      </c>
      <c r="B132" s="70" t="s">
        <v>62</v>
      </c>
      <c r="C132" s="70" t="s">
        <v>92</v>
      </c>
      <c r="D132" s="75" t="s">
        <v>322</v>
      </c>
      <c r="E132" s="75" t="s">
        <v>144</v>
      </c>
      <c r="F132" s="116">
        <f t="shared" si="247"/>
        <v>0.79999999999999993</v>
      </c>
      <c r="G132" s="116">
        <f t="shared" si="247"/>
        <v>0.79999999999999993</v>
      </c>
      <c r="H132" s="116">
        <f t="shared" si="247"/>
        <v>0.7</v>
      </c>
      <c r="I132" s="116">
        <f t="shared" si="228"/>
        <v>-9.9999999999999978E-2</v>
      </c>
      <c r="J132" s="81">
        <v>0.15</v>
      </c>
      <c r="K132" s="72">
        <v>46185</v>
      </c>
      <c r="L132" s="72">
        <f t="shared" si="229"/>
        <v>46185</v>
      </c>
      <c r="M132" s="72">
        <v>46171</v>
      </c>
      <c r="N132" s="72">
        <f t="shared" si="230"/>
        <v>46227</v>
      </c>
      <c r="O132" s="72">
        <f t="shared" si="231"/>
        <v>46227</v>
      </c>
      <c r="P132" s="74">
        <v>46255</v>
      </c>
      <c r="Q132" s="72">
        <f t="shared" si="232"/>
        <v>46269</v>
      </c>
      <c r="R132" s="72">
        <f t="shared" si="233"/>
        <v>46269</v>
      </c>
      <c r="S132" s="72"/>
      <c r="T132" s="72">
        <f t="shared" si="234"/>
        <v>46283</v>
      </c>
      <c r="U132" s="72">
        <f t="shared" si="235"/>
        <v>46283</v>
      </c>
      <c r="V132" s="72"/>
      <c r="X132" s="183" t="str">
        <f t="shared" ca="1" si="222"/>
        <v>Completed</v>
      </c>
      <c r="Y132" s="183" t="str">
        <f t="shared" ca="1" si="223"/>
        <v>Completed</v>
      </c>
      <c r="Z132" s="183" t="str">
        <f t="shared" ca="1" si="224"/>
        <v>Overdue</v>
      </c>
      <c r="AA132" s="184" t="str">
        <f t="shared" ca="1" si="225"/>
        <v/>
      </c>
    </row>
    <row r="133" spans="1:27" s="64" customFormat="1" ht="11.5" x14ac:dyDescent="0.25">
      <c r="A133" s="70" t="s">
        <v>61</v>
      </c>
      <c r="B133" s="70" t="s">
        <v>62</v>
      </c>
      <c r="C133" s="70" t="s">
        <v>92</v>
      </c>
      <c r="D133" s="75" t="s">
        <v>323</v>
      </c>
      <c r="E133" s="75" t="s">
        <v>145</v>
      </c>
      <c r="F133" s="116">
        <f t="shared" si="247"/>
        <v>0.79999999999999993</v>
      </c>
      <c r="G133" s="116">
        <f t="shared" si="247"/>
        <v>0.79999999999999993</v>
      </c>
      <c r="H133" s="116">
        <f t="shared" si="247"/>
        <v>0.7</v>
      </c>
      <c r="I133" s="116">
        <f t="shared" si="228"/>
        <v>-9.9999999999999978E-2</v>
      </c>
      <c r="J133" s="81">
        <v>0.15</v>
      </c>
      <c r="K133" s="72">
        <v>46185</v>
      </c>
      <c r="L133" s="72">
        <f t="shared" si="229"/>
        <v>46185</v>
      </c>
      <c r="M133" s="72">
        <v>46171</v>
      </c>
      <c r="N133" s="72">
        <f t="shared" si="230"/>
        <v>46227</v>
      </c>
      <c r="O133" s="72">
        <f t="shared" si="231"/>
        <v>46227</v>
      </c>
      <c r="P133" s="74">
        <v>46255</v>
      </c>
      <c r="Q133" s="72">
        <f t="shared" si="232"/>
        <v>46269</v>
      </c>
      <c r="R133" s="72">
        <f t="shared" si="233"/>
        <v>46269</v>
      </c>
      <c r="S133" s="72"/>
      <c r="T133" s="72">
        <f t="shared" si="234"/>
        <v>46283</v>
      </c>
      <c r="U133" s="72">
        <f t="shared" si="235"/>
        <v>46283</v>
      </c>
      <c r="V133" s="72"/>
      <c r="X133" s="183" t="str">
        <f t="shared" ca="1" si="222"/>
        <v>Completed</v>
      </c>
      <c r="Y133" s="183" t="str">
        <f t="shared" ca="1" si="223"/>
        <v>Completed</v>
      </c>
      <c r="Z133" s="183" t="str">
        <f t="shared" ca="1" si="224"/>
        <v>Overdue</v>
      </c>
      <c r="AA133" s="184" t="str">
        <f t="shared" ca="1" si="225"/>
        <v/>
      </c>
    </row>
    <row r="134" spans="1:27" s="64" customFormat="1" ht="11.5" x14ac:dyDescent="0.25">
      <c r="A134" s="70" t="s">
        <v>61</v>
      </c>
      <c r="B134" s="70" t="s">
        <v>62</v>
      </c>
      <c r="C134" s="70" t="s">
        <v>92</v>
      </c>
      <c r="D134" s="75" t="s">
        <v>324</v>
      </c>
      <c r="E134" s="75" t="s">
        <v>146</v>
      </c>
      <c r="F134" s="116">
        <f t="shared" si="247"/>
        <v>0.79999999999999993</v>
      </c>
      <c r="G134" s="116">
        <f t="shared" si="247"/>
        <v>0.79999999999999993</v>
      </c>
      <c r="H134" s="116">
        <f t="shared" si="247"/>
        <v>0.7</v>
      </c>
      <c r="I134" s="116">
        <f t="shared" si="228"/>
        <v>-9.9999999999999978E-2</v>
      </c>
      <c r="J134" s="81">
        <v>0.15</v>
      </c>
      <c r="K134" s="72">
        <v>46185</v>
      </c>
      <c r="L134" s="72">
        <f t="shared" si="229"/>
        <v>46185</v>
      </c>
      <c r="M134" s="72">
        <v>46161</v>
      </c>
      <c r="N134" s="72">
        <f t="shared" si="230"/>
        <v>46227</v>
      </c>
      <c r="O134" s="72">
        <f t="shared" si="231"/>
        <v>46227</v>
      </c>
      <c r="P134" s="72">
        <v>46234</v>
      </c>
      <c r="Q134" s="72">
        <f t="shared" si="232"/>
        <v>46269</v>
      </c>
      <c r="R134" s="72">
        <f t="shared" si="233"/>
        <v>46269</v>
      </c>
      <c r="S134" s="72"/>
      <c r="T134" s="72">
        <f t="shared" si="234"/>
        <v>46283</v>
      </c>
      <c r="U134" s="72">
        <f t="shared" si="235"/>
        <v>46283</v>
      </c>
      <c r="V134" s="72"/>
      <c r="X134" s="183" t="str">
        <f t="shared" ca="1" si="222"/>
        <v>Completed</v>
      </c>
      <c r="Y134" s="183" t="str">
        <f t="shared" ca="1" si="223"/>
        <v>Completed</v>
      </c>
      <c r="Z134" s="183" t="str">
        <f t="shared" ca="1" si="224"/>
        <v>Overdue</v>
      </c>
      <c r="AA134" s="184" t="str">
        <f t="shared" ca="1" si="225"/>
        <v/>
      </c>
    </row>
    <row r="135" spans="1:27" s="64" customFormat="1" ht="11.5" x14ac:dyDescent="0.25">
      <c r="A135" s="70" t="s">
        <v>61</v>
      </c>
      <c r="B135" s="70" t="s">
        <v>62</v>
      </c>
      <c r="C135" s="70" t="s">
        <v>92</v>
      </c>
      <c r="D135" s="75" t="s">
        <v>325</v>
      </c>
      <c r="E135" s="75" t="s">
        <v>147</v>
      </c>
      <c r="F135" s="116">
        <f t="shared" si="247"/>
        <v>0.79999999999999993</v>
      </c>
      <c r="G135" s="116">
        <f t="shared" si="247"/>
        <v>0.79999999999999993</v>
      </c>
      <c r="H135" s="116">
        <f t="shared" si="247"/>
        <v>0.7</v>
      </c>
      <c r="I135" s="116">
        <f t="shared" si="228"/>
        <v>-9.9999999999999978E-2</v>
      </c>
      <c r="J135" s="81">
        <v>0.15</v>
      </c>
      <c r="K135" s="72">
        <v>46185</v>
      </c>
      <c r="L135" s="72">
        <f t="shared" si="229"/>
        <v>46185</v>
      </c>
      <c r="M135" s="72">
        <v>46161</v>
      </c>
      <c r="N135" s="72">
        <f t="shared" si="230"/>
        <v>46227</v>
      </c>
      <c r="O135" s="72">
        <f t="shared" si="231"/>
        <v>46227</v>
      </c>
      <c r="P135" s="72">
        <v>46234</v>
      </c>
      <c r="Q135" s="72">
        <f t="shared" si="232"/>
        <v>46269</v>
      </c>
      <c r="R135" s="72">
        <f t="shared" si="233"/>
        <v>46269</v>
      </c>
      <c r="S135" s="72"/>
      <c r="T135" s="72">
        <f t="shared" si="234"/>
        <v>46283</v>
      </c>
      <c r="U135" s="72">
        <f t="shared" si="235"/>
        <v>46283</v>
      </c>
      <c r="V135" s="72"/>
      <c r="X135" s="183" t="str">
        <f t="shared" ca="1" si="222"/>
        <v>Completed</v>
      </c>
      <c r="Y135" s="183" t="str">
        <f t="shared" ca="1" si="223"/>
        <v>Completed</v>
      </c>
      <c r="Z135" s="183" t="str">
        <f t="shared" ca="1" si="224"/>
        <v>Overdue</v>
      </c>
      <c r="AA135" s="184" t="str">
        <f t="shared" ca="1" si="225"/>
        <v/>
      </c>
    </row>
    <row r="136" spans="1:27" s="64" customFormat="1" ht="11.5" x14ac:dyDescent="0.25">
      <c r="A136" s="70" t="s">
        <v>61</v>
      </c>
      <c r="B136" s="70" t="s">
        <v>62</v>
      </c>
      <c r="C136" s="70" t="s">
        <v>92</v>
      </c>
      <c r="D136" s="75" t="s">
        <v>326</v>
      </c>
      <c r="E136" s="75" t="s">
        <v>148</v>
      </c>
      <c r="F136" s="116">
        <f t="shared" si="247"/>
        <v>0.79999999999999993</v>
      </c>
      <c r="G136" s="116">
        <f t="shared" si="247"/>
        <v>0.79999999999999993</v>
      </c>
      <c r="H136" s="116">
        <f t="shared" si="247"/>
        <v>0.7</v>
      </c>
      <c r="I136" s="116">
        <f t="shared" si="228"/>
        <v>-9.9999999999999978E-2</v>
      </c>
      <c r="J136" s="81">
        <v>0.15</v>
      </c>
      <c r="K136" s="72">
        <v>46185</v>
      </c>
      <c r="L136" s="72">
        <f t="shared" si="229"/>
        <v>46185</v>
      </c>
      <c r="M136" s="72">
        <v>46161</v>
      </c>
      <c r="N136" s="72">
        <f t="shared" si="230"/>
        <v>46227</v>
      </c>
      <c r="O136" s="72">
        <f t="shared" si="231"/>
        <v>46227</v>
      </c>
      <c r="P136" s="72">
        <v>46234</v>
      </c>
      <c r="Q136" s="72">
        <f t="shared" si="232"/>
        <v>46269</v>
      </c>
      <c r="R136" s="72">
        <f t="shared" si="233"/>
        <v>46269</v>
      </c>
      <c r="S136" s="72"/>
      <c r="T136" s="72">
        <f t="shared" si="234"/>
        <v>46283</v>
      </c>
      <c r="U136" s="72">
        <f t="shared" si="235"/>
        <v>46283</v>
      </c>
      <c r="V136" s="72"/>
      <c r="X136" s="183" t="str">
        <f t="shared" ca="1" si="222"/>
        <v>Completed</v>
      </c>
      <c r="Y136" s="183" t="str">
        <f t="shared" ca="1" si="223"/>
        <v>Completed</v>
      </c>
      <c r="Z136" s="183" t="str">
        <f t="shared" ca="1" si="224"/>
        <v>Overdue</v>
      </c>
      <c r="AA136" s="184" t="str">
        <f t="shared" ca="1" si="225"/>
        <v/>
      </c>
    </row>
    <row r="137" spans="1:27" s="64" customFormat="1" ht="11.5" x14ac:dyDescent="0.25">
      <c r="A137" s="70" t="s">
        <v>61</v>
      </c>
      <c r="B137" s="70" t="s">
        <v>62</v>
      </c>
      <c r="C137" s="70" t="s">
        <v>92</v>
      </c>
      <c r="D137" s="75" t="s">
        <v>327</v>
      </c>
      <c r="E137" s="75" t="s">
        <v>149</v>
      </c>
      <c r="F137" s="116">
        <f t="shared" si="247"/>
        <v>0.79999999999999993</v>
      </c>
      <c r="G137" s="116">
        <f t="shared" si="247"/>
        <v>0.79999999999999993</v>
      </c>
      <c r="H137" s="116">
        <f t="shared" si="247"/>
        <v>0.7</v>
      </c>
      <c r="I137" s="116">
        <f t="shared" si="228"/>
        <v>-9.9999999999999978E-2</v>
      </c>
      <c r="J137" s="81">
        <v>0.15</v>
      </c>
      <c r="K137" s="72">
        <v>46185</v>
      </c>
      <c r="L137" s="72">
        <f t="shared" si="229"/>
        <v>46185</v>
      </c>
      <c r="M137" s="72">
        <v>46161</v>
      </c>
      <c r="N137" s="72">
        <f t="shared" si="230"/>
        <v>46227</v>
      </c>
      <c r="O137" s="72">
        <f t="shared" si="231"/>
        <v>46227</v>
      </c>
      <c r="P137" s="72">
        <v>46234</v>
      </c>
      <c r="Q137" s="72">
        <f t="shared" si="232"/>
        <v>46269</v>
      </c>
      <c r="R137" s="72">
        <f t="shared" si="233"/>
        <v>46269</v>
      </c>
      <c r="S137" s="72"/>
      <c r="T137" s="72">
        <f t="shared" si="234"/>
        <v>46283</v>
      </c>
      <c r="U137" s="72">
        <f t="shared" si="235"/>
        <v>46283</v>
      </c>
      <c r="V137" s="72"/>
      <c r="X137" s="183" t="str">
        <f t="shared" ca="1" si="222"/>
        <v>Completed</v>
      </c>
      <c r="Y137" s="183" t="str">
        <f t="shared" ca="1" si="223"/>
        <v>Completed</v>
      </c>
      <c r="Z137" s="183" t="str">
        <f t="shared" ca="1" si="224"/>
        <v>Overdue</v>
      </c>
      <c r="AA137" s="184" t="str">
        <f t="shared" ca="1" si="225"/>
        <v/>
      </c>
    </row>
    <row r="138" spans="1:27" s="64" customFormat="1" ht="11.5" x14ac:dyDescent="0.25">
      <c r="A138" s="70" t="s">
        <v>61</v>
      </c>
      <c r="B138" s="70" t="s">
        <v>62</v>
      </c>
      <c r="C138" s="70" t="s">
        <v>92</v>
      </c>
      <c r="D138" s="75" t="s">
        <v>328</v>
      </c>
      <c r="E138" s="75" t="s">
        <v>150</v>
      </c>
      <c r="F138" s="116">
        <f t="shared" si="247"/>
        <v>0.79999999999999993</v>
      </c>
      <c r="G138" s="116">
        <f t="shared" si="247"/>
        <v>0.79999999999999993</v>
      </c>
      <c r="H138" s="116">
        <f t="shared" si="247"/>
        <v>0.7</v>
      </c>
      <c r="I138" s="116">
        <f t="shared" si="228"/>
        <v>-9.9999999999999978E-2</v>
      </c>
      <c r="J138" s="81">
        <v>0.15</v>
      </c>
      <c r="K138" s="72">
        <v>46185</v>
      </c>
      <c r="L138" s="72">
        <f t="shared" si="229"/>
        <v>46185</v>
      </c>
      <c r="M138" s="72">
        <v>46161</v>
      </c>
      <c r="N138" s="72">
        <f t="shared" si="230"/>
        <v>46227</v>
      </c>
      <c r="O138" s="72">
        <f t="shared" si="231"/>
        <v>46227</v>
      </c>
      <c r="P138" s="72">
        <v>46234</v>
      </c>
      <c r="Q138" s="72">
        <f t="shared" si="232"/>
        <v>46269</v>
      </c>
      <c r="R138" s="72">
        <f t="shared" si="233"/>
        <v>46269</v>
      </c>
      <c r="S138" s="72"/>
      <c r="T138" s="72">
        <f t="shared" si="234"/>
        <v>46283</v>
      </c>
      <c r="U138" s="72">
        <f t="shared" si="235"/>
        <v>46283</v>
      </c>
      <c r="V138" s="72"/>
      <c r="X138" s="183" t="str">
        <f t="shared" ca="1" si="222"/>
        <v>Completed</v>
      </c>
      <c r="Y138" s="183" t="str">
        <f t="shared" ca="1" si="223"/>
        <v>Completed</v>
      </c>
      <c r="Z138" s="183" t="str">
        <f t="shared" ca="1" si="224"/>
        <v>Overdue</v>
      </c>
      <c r="AA138" s="184" t="str">
        <f t="shared" ca="1" si="225"/>
        <v/>
      </c>
    </row>
    <row r="139" spans="1:27" s="64" customFormat="1" ht="11.5" x14ac:dyDescent="0.25">
      <c r="A139" s="70" t="s">
        <v>61</v>
      </c>
      <c r="B139" s="70" t="s">
        <v>62</v>
      </c>
      <c r="C139" s="70" t="s">
        <v>92</v>
      </c>
      <c r="D139" s="75" t="s">
        <v>329</v>
      </c>
      <c r="E139" s="75" t="s">
        <v>151</v>
      </c>
      <c r="F139" s="116">
        <f t="shared" si="247"/>
        <v>0.79999999999999993</v>
      </c>
      <c r="G139" s="116">
        <f t="shared" si="247"/>
        <v>0.79999999999999993</v>
      </c>
      <c r="H139" s="116">
        <f t="shared" si="247"/>
        <v>0.7</v>
      </c>
      <c r="I139" s="116">
        <f t="shared" si="228"/>
        <v>-9.9999999999999978E-2</v>
      </c>
      <c r="J139" s="81">
        <v>0.15</v>
      </c>
      <c r="K139" s="72">
        <v>46185</v>
      </c>
      <c r="L139" s="72">
        <f t="shared" si="229"/>
        <v>46185</v>
      </c>
      <c r="M139" s="72">
        <v>46161</v>
      </c>
      <c r="N139" s="72">
        <f t="shared" si="230"/>
        <v>46227</v>
      </c>
      <c r="O139" s="72">
        <f t="shared" si="231"/>
        <v>46227</v>
      </c>
      <c r="P139" s="72">
        <v>46234</v>
      </c>
      <c r="Q139" s="72">
        <f t="shared" si="232"/>
        <v>46269</v>
      </c>
      <c r="R139" s="72">
        <f t="shared" si="233"/>
        <v>46269</v>
      </c>
      <c r="S139" s="72"/>
      <c r="T139" s="72">
        <f t="shared" si="234"/>
        <v>46283</v>
      </c>
      <c r="U139" s="72">
        <f t="shared" si="235"/>
        <v>46283</v>
      </c>
      <c r="V139" s="72"/>
      <c r="X139" s="183" t="str">
        <f t="shared" ca="1" si="222"/>
        <v>Completed</v>
      </c>
      <c r="Y139" s="183" t="str">
        <f t="shared" ca="1" si="223"/>
        <v>Completed</v>
      </c>
      <c r="Z139" s="183" t="str">
        <f t="shared" ca="1" si="224"/>
        <v>Overdue</v>
      </c>
      <c r="AA139" s="184" t="str">
        <f t="shared" ca="1" si="225"/>
        <v/>
      </c>
    </row>
    <row r="140" spans="1:27" s="64" customFormat="1" ht="11.5" x14ac:dyDescent="0.25">
      <c r="A140" s="70" t="s">
        <v>61</v>
      </c>
      <c r="B140" s="70" t="s">
        <v>62</v>
      </c>
      <c r="C140" s="70" t="s">
        <v>92</v>
      </c>
      <c r="D140" s="75" t="s">
        <v>330</v>
      </c>
      <c r="E140" s="75" t="s">
        <v>152</v>
      </c>
      <c r="F140" s="116">
        <f t="shared" si="247"/>
        <v>0.79999999999999993</v>
      </c>
      <c r="G140" s="116">
        <f t="shared" si="247"/>
        <v>0.79999999999999993</v>
      </c>
      <c r="H140" s="116">
        <f t="shared" si="247"/>
        <v>0.7</v>
      </c>
      <c r="I140" s="116">
        <f t="shared" si="228"/>
        <v>-9.9999999999999978E-2</v>
      </c>
      <c r="J140" s="81">
        <v>0.15</v>
      </c>
      <c r="K140" s="72">
        <v>46185</v>
      </c>
      <c r="L140" s="72">
        <f t="shared" si="229"/>
        <v>46185</v>
      </c>
      <c r="M140" s="72">
        <v>46161</v>
      </c>
      <c r="N140" s="72">
        <f t="shared" si="230"/>
        <v>46227</v>
      </c>
      <c r="O140" s="72">
        <f t="shared" si="231"/>
        <v>46227</v>
      </c>
      <c r="P140" s="72">
        <v>46234</v>
      </c>
      <c r="Q140" s="72">
        <f t="shared" si="232"/>
        <v>46269</v>
      </c>
      <c r="R140" s="72">
        <f t="shared" si="233"/>
        <v>46269</v>
      </c>
      <c r="S140" s="72"/>
      <c r="T140" s="72">
        <f t="shared" si="234"/>
        <v>46283</v>
      </c>
      <c r="U140" s="72">
        <f t="shared" si="235"/>
        <v>46283</v>
      </c>
      <c r="V140" s="72"/>
      <c r="X140" s="183" t="str">
        <f t="shared" ca="1" si="222"/>
        <v>Completed</v>
      </c>
      <c r="Y140" s="183" t="str">
        <f t="shared" ca="1" si="223"/>
        <v>Completed</v>
      </c>
      <c r="Z140" s="183" t="str">
        <f t="shared" ca="1" si="224"/>
        <v>Overdue</v>
      </c>
      <c r="AA140" s="184" t="str">
        <f t="shared" ca="1" si="225"/>
        <v/>
      </c>
    </row>
    <row r="141" spans="1:27" s="64" customFormat="1" ht="11.5" x14ac:dyDescent="0.25">
      <c r="A141" s="70" t="s">
        <v>61</v>
      </c>
      <c r="B141" s="70" t="s">
        <v>62</v>
      </c>
      <c r="C141" s="70" t="s">
        <v>92</v>
      </c>
      <c r="D141" s="75" t="s">
        <v>331</v>
      </c>
      <c r="E141" s="75" t="s">
        <v>153</v>
      </c>
      <c r="F141" s="116">
        <f t="shared" si="247"/>
        <v>0.79999999999999993</v>
      </c>
      <c r="G141" s="116">
        <f t="shared" si="247"/>
        <v>0.79999999999999993</v>
      </c>
      <c r="H141" s="116">
        <f t="shared" si="247"/>
        <v>0.7</v>
      </c>
      <c r="I141" s="116">
        <f t="shared" si="228"/>
        <v>-9.9999999999999978E-2</v>
      </c>
      <c r="J141" s="81">
        <v>0.15</v>
      </c>
      <c r="K141" s="72">
        <v>46185</v>
      </c>
      <c r="L141" s="72">
        <f t="shared" si="229"/>
        <v>46185</v>
      </c>
      <c r="M141" s="72">
        <v>46161</v>
      </c>
      <c r="N141" s="72">
        <f t="shared" si="230"/>
        <v>46227</v>
      </c>
      <c r="O141" s="72">
        <f t="shared" si="231"/>
        <v>46227</v>
      </c>
      <c r="P141" s="72">
        <v>46234</v>
      </c>
      <c r="Q141" s="72">
        <f t="shared" si="232"/>
        <v>46269</v>
      </c>
      <c r="R141" s="72">
        <f t="shared" si="233"/>
        <v>46269</v>
      </c>
      <c r="S141" s="72"/>
      <c r="T141" s="72">
        <f t="shared" si="234"/>
        <v>46283</v>
      </c>
      <c r="U141" s="72">
        <f t="shared" si="235"/>
        <v>46283</v>
      </c>
      <c r="V141" s="72"/>
      <c r="X141" s="183" t="str">
        <f t="shared" ca="1" si="222"/>
        <v>Completed</v>
      </c>
      <c r="Y141" s="183" t="str">
        <f t="shared" ca="1" si="223"/>
        <v>Completed</v>
      </c>
      <c r="Z141" s="183" t="str">
        <f t="shared" ca="1" si="224"/>
        <v>Overdue</v>
      </c>
      <c r="AA141" s="184" t="str">
        <f t="shared" ca="1" si="225"/>
        <v/>
      </c>
    </row>
    <row r="142" spans="1:27" s="64" customFormat="1" ht="11.5" x14ac:dyDescent="0.25">
      <c r="A142" s="70" t="s">
        <v>61</v>
      </c>
      <c r="B142" s="70" t="s">
        <v>62</v>
      </c>
      <c r="C142" s="70" t="s">
        <v>92</v>
      </c>
      <c r="D142" s="75" t="s">
        <v>332</v>
      </c>
      <c r="E142" s="75" t="s">
        <v>154</v>
      </c>
      <c r="F142" s="116">
        <f t="shared" si="247"/>
        <v>0.79999999999999993</v>
      </c>
      <c r="G142" s="116">
        <f t="shared" si="247"/>
        <v>0.79999999999999993</v>
      </c>
      <c r="H142" s="116">
        <f t="shared" si="247"/>
        <v>0.7</v>
      </c>
      <c r="I142" s="116">
        <f t="shared" si="228"/>
        <v>-9.9999999999999978E-2</v>
      </c>
      <c r="J142" s="81">
        <v>0.15</v>
      </c>
      <c r="K142" s="72">
        <v>46185</v>
      </c>
      <c r="L142" s="72">
        <f t="shared" si="229"/>
        <v>46185</v>
      </c>
      <c r="M142" s="72">
        <v>46161</v>
      </c>
      <c r="N142" s="72">
        <f t="shared" si="230"/>
        <v>46227</v>
      </c>
      <c r="O142" s="72">
        <f t="shared" si="231"/>
        <v>46227</v>
      </c>
      <c r="P142" s="72">
        <v>46234</v>
      </c>
      <c r="Q142" s="72">
        <f t="shared" si="232"/>
        <v>46269</v>
      </c>
      <c r="R142" s="72">
        <f t="shared" si="233"/>
        <v>46269</v>
      </c>
      <c r="S142" s="72"/>
      <c r="T142" s="72">
        <f t="shared" si="234"/>
        <v>46283</v>
      </c>
      <c r="U142" s="72">
        <f t="shared" si="235"/>
        <v>46283</v>
      </c>
      <c r="V142" s="72"/>
      <c r="X142" s="183" t="str">
        <f t="shared" ca="1" si="222"/>
        <v>Completed</v>
      </c>
      <c r="Y142" s="183" t="str">
        <f t="shared" ca="1" si="223"/>
        <v>Completed</v>
      </c>
      <c r="Z142" s="183" t="str">
        <f t="shared" ca="1" si="224"/>
        <v>Overdue</v>
      </c>
      <c r="AA142" s="184" t="str">
        <f t="shared" ca="1" si="225"/>
        <v/>
      </c>
    </row>
    <row r="143" spans="1:27" s="64" customFormat="1" ht="11.5" x14ac:dyDescent="0.25">
      <c r="A143" s="70" t="s">
        <v>61</v>
      </c>
      <c r="B143" s="70" t="s">
        <v>62</v>
      </c>
      <c r="C143" s="70" t="s">
        <v>92</v>
      </c>
      <c r="D143" s="75" t="s">
        <v>333</v>
      </c>
      <c r="E143" s="75" t="s">
        <v>155</v>
      </c>
      <c r="F143" s="116">
        <f t="shared" si="247"/>
        <v>0.79999999999999993</v>
      </c>
      <c r="G143" s="116">
        <f t="shared" si="247"/>
        <v>0.79999999999999993</v>
      </c>
      <c r="H143" s="116">
        <f t="shared" si="247"/>
        <v>0.7</v>
      </c>
      <c r="I143" s="116">
        <f t="shared" si="228"/>
        <v>-9.9999999999999978E-2</v>
      </c>
      <c r="J143" s="81">
        <v>0.15</v>
      </c>
      <c r="K143" s="72">
        <v>46185</v>
      </c>
      <c r="L143" s="72">
        <f t="shared" si="229"/>
        <v>46185</v>
      </c>
      <c r="M143" s="72">
        <v>46161</v>
      </c>
      <c r="N143" s="72">
        <f t="shared" si="230"/>
        <v>46227</v>
      </c>
      <c r="O143" s="72">
        <f t="shared" si="231"/>
        <v>46227</v>
      </c>
      <c r="P143" s="72">
        <v>46234</v>
      </c>
      <c r="Q143" s="72">
        <f t="shared" si="232"/>
        <v>46269</v>
      </c>
      <c r="R143" s="72">
        <f t="shared" si="233"/>
        <v>46269</v>
      </c>
      <c r="S143" s="72"/>
      <c r="T143" s="72">
        <f t="shared" si="234"/>
        <v>46283</v>
      </c>
      <c r="U143" s="72">
        <f t="shared" si="235"/>
        <v>46283</v>
      </c>
      <c r="V143" s="72"/>
      <c r="X143" s="183" t="str">
        <f t="shared" ca="1" si="222"/>
        <v>Completed</v>
      </c>
      <c r="Y143" s="183" t="str">
        <f t="shared" ca="1" si="223"/>
        <v>Completed</v>
      </c>
      <c r="Z143" s="183" t="str">
        <f t="shared" ca="1" si="224"/>
        <v>Overdue</v>
      </c>
      <c r="AA143" s="184" t="str">
        <f t="shared" ca="1" si="225"/>
        <v/>
      </c>
    </row>
    <row r="144" spans="1:27" s="64" customFormat="1" ht="11.5" x14ac:dyDescent="0.25">
      <c r="A144" s="70" t="s">
        <v>61</v>
      </c>
      <c r="B144" s="70" t="s">
        <v>62</v>
      </c>
      <c r="C144" s="70" t="s">
        <v>92</v>
      </c>
      <c r="D144" s="75" t="s">
        <v>334</v>
      </c>
      <c r="E144" s="75" t="s">
        <v>156</v>
      </c>
      <c r="F144" s="116">
        <f t="shared" si="247"/>
        <v>0.79999999999999993</v>
      </c>
      <c r="G144" s="116">
        <f t="shared" si="247"/>
        <v>0.79999999999999993</v>
      </c>
      <c r="H144" s="116">
        <f t="shared" si="247"/>
        <v>0.7</v>
      </c>
      <c r="I144" s="116">
        <f t="shared" si="228"/>
        <v>-9.9999999999999978E-2</v>
      </c>
      <c r="J144" s="81">
        <v>0.15</v>
      </c>
      <c r="K144" s="72">
        <v>46185</v>
      </c>
      <c r="L144" s="72">
        <f t="shared" si="229"/>
        <v>46185</v>
      </c>
      <c r="M144" s="72">
        <v>46161</v>
      </c>
      <c r="N144" s="72">
        <f t="shared" si="230"/>
        <v>46227</v>
      </c>
      <c r="O144" s="72">
        <f t="shared" si="231"/>
        <v>46227</v>
      </c>
      <c r="P144" s="72">
        <v>46234</v>
      </c>
      <c r="Q144" s="72">
        <f t="shared" si="232"/>
        <v>46269</v>
      </c>
      <c r="R144" s="72">
        <f t="shared" si="233"/>
        <v>46269</v>
      </c>
      <c r="S144" s="72"/>
      <c r="T144" s="72">
        <f t="shared" si="234"/>
        <v>46283</v>
      </c>
      <c r="U144" s="72">
        <f t="shared" si="235"/>
        <v>46283</v>
      </c>
      <c r="V144" s="72"/>
      <c r="X144" s="183" t="str">
        <f t="shared" ca="1" si="222"/>
        <v>Completed</v>
      </c>
      <c r="Y144" s="183" t="str">
        <f t="shared" ca="1" si="223"/>
        <v>Completed</v>
      </c>
      <c r="Z144" s="183" t="str">
        <f t="shared" ca="1" si="224"/>
        <v>Overdue</v>
      </c>
      <c r="AA144" s="184" t="str">
        <f t="shared" ca="1" si="225"/>
        <v/>
      </c>
    </row>
    <row r="145" spans="1:27" s="64" customFormat="1" ht="11.5" x14ac:dyDescent="0.25">
      <c r="A145" s="70" t="s">
        <v>61</v>
      </c>
      <c r="B145" s="70" t="s">
        <v>62</v>
      </c>
      <c r="C145" s="70" t="s">
        <v>92</v>
      </c>
      <c r="D145" s="75" t="s">
        <v>335</v>
      </c>
      <c r="E145" s="75" t="s">
        <v>157</v>
      </c>
      <c r="F145" s="116">
        <f t="shared" si="247"/>
        <v>0.79999999999999993</v>
      </c>
      <c r="G145" s="116">
        <f t="shared" si="247"/>
        <v>0.79999999999999993</v>
      </c>
      <c r="H145" s="116">
        <f t="shared" si="247"/>
        <v>0.7</v>
      </c>
      <c r="I145" s="116">
        <f t="shared" si="228"/>
        <v>-9.9999999999999978E-2</v>
      </c>
      <c r="J145" s="81">
        <v>0.15</v>
      </c>
      <c r="K145" s="72">
        <v>46185</v>
      </c>
      <c r="L145" s="72">
        <f t="shared" si="229"/>
        <v>46185</v>
      </c>
      <c r="M145" s="72">
        <v>46161</v>
      </c>
      <c r="N145" s="72">
        <f t="shared" si="230"/>
        <v>46227</v>
      </c>
      <c r="O145" s="72">
        <f t="shared" si="231"/>
        <v>46227</v>
      </c>
      <c r="P145" s="72">
        <v>46234</v>
      </c>
      <c r="Q145" s="72">
        <f t="shared" si="232"/>
        <v>46269</v>
      </c>
      <c r="R145" s="72">
        <f t="shared" si="233"/>
        <v>46269</v>
      </c>
      <c r="S145" s="72"/>
      <c r="T145" s="72">
        <f t="shared" si="234"/>
        <v>46283</v>
      </c>
      <c r="U145" s="72">
        <f t="shared" si="235"/>
        <v>46283</v>
      </c>
      <c r="V145" s="72"/>
      <c r="X145" s="183" t="str">
        <f t="shared" ca="1" si="222"/>
        <v>Completed</v>
      </c>
      <c r="Y145" s="183" t="str">
        <f t="shared" ca="1" si="223"/>
        <v>Completed</v>
      </c>
      <c r="Z145" s="183" t="str">
        <f t="shared" ca="1" si="224"/>
        <v>Overdue</v>
      </c>
      <c r="AA145" s="184" t="str">
        <f t="shared" ca="1" si="225"/>
        <v/>
      </c>
    </row>
    <row r="146" spans="1:27" s="64" customFormat="1" ht="11.5" x14ac:dyDescent="0.25">
      <c r="A146" s="70" t="s">
        <v>61</v>
      </c>
      <c r="B146" s="70" t="s">
        <v>62</v>
      </c>
      <c r="C146" s="70" t="s">
        <v>92</v>
      </c>
      <c r="D146" s="75" t="s">
        <v>336</v>
      </c>
      <c r="E146" s="75" t="s">
        <v>158</v>
      </c>
      <c r="F146" s="116">
        <f t="shared" si="247"/>
        <v>0.79999999999999993</v>
      </c>
      <c r="G146" s="116">
        <f t="shared" si="247"/>
        <v>0.79999999999999993</v>
      </c>
      <c r="H146" s="116">
        <f>(COUNTIFS(M146,"&lt;="&amp;$D$1)*50%)+(COUNTIFS(P146,"&lt;="&amp;$D$1)*20%)+(COUNTIFS(S146,"&lt;="&amp;$D$1)*10%)+(COUNTIFS(V146,"&lt;="&amp;$D$1)*20%)</f>
        <v>0.7</v>
      </c>
      <c r="I146" s="116">
        <f t="shared" si="228"/>
        <v>-9.9999999999999978E-2</v>
      </c>
      <c r="J146" s="81">
        <v>0.15</v>
      </c>
      <c r="K146" s="72">
        <v>46185</v>
      </c>
      <c r="L146" s="72">
        <f t="shared" si="229"/>
        <v>46185</v>
      </c>
      <c r="M146" s="72">
        <v>46199</v>
      </c>
      <c r="N146" s="72">
        <f t="shared" si="230"/>
        <v>46227</v>
      </c>
      <c r="O146" s="72">
        <f t="shared" si="231"/>
        <v>46227</v>
      </c>
      <c r="P146" s="74">
        <v>46255</v>
      </c>
      <c r="Q146" s="72">
        <f t="shared" si="232"/>
        <v>46269</v>
      </c>
      <c r="R146" s="72">
        <f t="shared" si="233"/>
        <v>46269</v>
      </c>
      <c r="S146" s="72"/>
      <c r="T146" s="72">
        <f t="shared" si="234"/>
        <v>46283</v>
      </c>
      <c r="U146" s="72">
        <f t="shared" si="235"/>
        <v>46283</v>
      </c>
      <c r="V146" s="72"/>
      <c r="X146" s="183" t="str">
        <f t="shared" ref="X146:X209" ca="1" si="274">IF(OR(M146&lt;&gt;""),"Completed",
IF(L146="","",IF(L146&lt;TODAY(),"Overdue",
IF(AND(L146&gt;=TODAY()-WEEKDAY(TODAY(),2)+1,L146&lt;=TODAY()-WEEKDAY(TODAY(),2)+7),"Follow-This Week",
IF(AND(L146&gt;=TODAY()-WEEKDAY(TODAY(),2)+8,L146&lt;=TODAY()-WEEKDAY(TODAY(),2)+14),"Follow-Next Week","")))))</f>
        <v>Completed</v>
      </c>
      <c r="Y146" s="183" t="str">
        <f t="shared" ref="Y146:Y209" ca="1" si="275">IF(OR(P146&lt;&gt;""),"Completed",IF(O146="","",
IF(O146&lt;TODAY(),"Overdue",
IF(AND(O146&gt;=TODAY()-WEEKDAY(TODAY(),2)+1,O146&lt;=TODAY()-WEEKDAY(TODAY(),2)+7),"Follow-This Week",
IF(AND(O146&gt;=TODAY()-WEEKDAY(TODAY(),2)+8,O146&lt;=TODAY()-WEEKDAY(TODAY(),2)+14),"Follow-Next Week","")))))</f>
        <v>Completed</v>
      </c>
      <c r="Z146" s="183" t="str">
        <f t="shared" ref="Z146:Z209" ca="1" si="276">IF(OR(S146&lt;&gt;""),"Completed",IF(R146="","",
IF(R146&lt;TODAY(),"Overdue",
IF(AND(R146&gt;=TODAY()-WEEKDAY(TODAY(),2)+1,R146&lt;=TODAY()-WEEKDAY(TODAY(),2)+7),"Follow-This Week",
IF(AND(R146&gt;=TODAY()-WEEKDAY(TODAY(),2)+8,R146&lt;=TODAY()-WEEKDAY(TODAY(),2)+14),"Follow-Next Week","")))))</f>
        <v>Overdue</v>
      </c>
      <c r="AA146" s="184" t="str">
        <f t="shared" ref="AA146:AA209" ca="1" si="277">IF(OR(V146&lt;&gt;""),"Completed",IF(U146="","",
IF(U146&lt;TODAY(),"Overdue",
IF(AND(U146&gt;=TODAY()-WEEKDAY(TODAY(),2)+1,U146&lt;=TODAY()-WEEKDAY(TODAY(),2)+7),"Follow-This Week",
IF(AND(U146&gt;=TODAY()-WEEKDAY(TODAY(),2)+8,U146&lt;=TODAY()-WEEKDAY(TODAY(),2)+14),"Follow-Next Week","")))))</f>
        <v/>
      </c>
    </row>
    <row r="147" spans="1:27" s="64" customFormat="1" ht="11.5" x14ac:dyDescent="0.25">
      <c r="A147" s="70" t="s">
        <v>61</v>
      </c>
      <c r="B147" s="70" t="s">
        <v>62</v>
      </c>
      <c r="C147" s="70" t="s">
        <v>92</v>
      </c>
      <c r="D147" s="75" t="s">
        <v>337</v>
      </c>
      <c r="E147" s="75" t="s">
        <v>411</v>
      </c>
      <c r="F147" s="116">
        <f t="shared" si="247"/>
        <v>0.79999999999999993</v>
      </c>
      <c r="G147" s="116">
        <f t="shared" si="247"/>
        <v>0.79999999999999993</v>
      </c>
      <c r="H147" s="116">
        <f>(COUNTIFS(M147,"&lt;="&amp;$D$1)*50%)+(COUNTIFS(P147,"&lt;="&amp;$D$1)*20%)+(COUNTIFS(S147,"&lt;="&amp;$D$1)*10%)+(COUNTIFS(V147,"&lt;="&amp;$D$1)*20%)</f>
        <v>0.7</v>
      </c>
      <c r="I147" s="116">
        <f t="shared" si="228"/>
        <v>-9.9999999999999978E-2</v>
      </c>
      <c r="J147" s="81">
        <v>0.15</v>
      </c>
      <c r="K147" s="72">
        <v>46185</v>
      </c>
      <c r="L147" s="72">
        <f t="shared" si="229"/>
        <v>46185</v>
      </c>
      <c r="M147" s="72">
        <v>46199</v>
      </c>
      <c r="N147" s="72">
        <f t="shared" si="230"/>
        <v>46227</v>
      </c>
      <c r="O147" s="72">
        <f t="shared" si="231"/>
        <v>46227</v>
      </c>
      <c r="P147" s="74">
        <v>46255</v>
      </c>
      <c r="Q147" s="72">
        <f t="shared" si="232"/>
        <v>46269</v>
      </c>
      <c r="R147" s="72">
        <f t="shared" si="233"/>
        <v>46269</v>
      </c>
      <c r="S147" s="72"/>
      <c r="T147" s="72">
        <f t="shared" si="234"/>
        <v>46283</v>
      </c>
      <c r="U147" s="72">
        <f t="shared" si="235"/>
        <v>46283</v>
      </c>
      <c r="V147" s="72"/>
      <c r="X147" s="183" t="str">
        <f t="shared" ca="1" si="274"/>
        <v>Completed</v>
      </c>
      <c r="Y147" s="183" t="str">
        <f t="shared" ca="1" si="275"/>
        <v>Completed</v>
      </c>
      <c r="Z147" s="183" t="str">
        <f t="shared" ca="1" si="276"/>
        <v>Overdue</v>
      </c>
      <c r="AA147" s="184" t="str">
        <f t="shared" ca="1" si="277"/>
        <v/>
      </c>
    </row>
    <row r="148" spans="1:27" s="64" customFormat="1" ht="11.5" x14ac:dyDescent="0.25">
      <c r="A148" s="140" t="s">
        <v>61</v>
      </c>
      <c r="B148" s="140" t="s">
        <v>62</v>
      </c>
      <c r="C148" s="140" t="s">
        <v>92</v>
      </c>
      <c r="D148" s="141" t="s">
        <v>410</v>
      </c>
      <c r="E148" s="141" t="s">
        <v>519</v>
      </c>
      <c r="F148" s="142"/>
      <c r="G148" s="142"/>
      <c r="H148" s="142"/>
      <c r="I148" s="142"/>
      <c r="J148" s="143">
        <v>0.15</v>
      </c>
      <c r="K148" s="144">
        <v>46185</v>
      </c>
      <c r="L148" s="144">
        <f t="shared" ref="L148" si="278">K148</f>
        <v>46185</v>
      </c>
      <c r="M148" s="188">
        <v>46248</v>
      </c>
      <c r="N148" s="144">
        <f t="shared" ref="N148" si="279">K148+42</f>
        <v>46227</v>
      </c>
      <c r="O148" s="144">
        <f t="shared" ref="O148" si="280">N148</f>
        <v>46227</v>
      </c>
      <c r="P148" s="188">
        <v>46248</v>
      </c>
      <c r="Q148" s="144">
        <f t="shared" ref="Q148" si="281">N148+42</f>
        <v>46269</v>
      </c>
      <c r="R148" s="144">
        <f t="shared" ref="R148" si="282">Q148</f>
        <v>46269</v>
      </c>
      <c r="S148" s="188">
        <v>46248</v>
      </c>
      <c r="T148" s="144">
        <f t="shared" ref="T148" si="283">Q148+14</f>
        <v>46283</v>
      </c>
      <c r="U148" s="144">
        <f t="shared" ref="U148" si="284">T148</f>
        <v>46283</v>
      </c>
      <c r="V148" s="188">
        <v>46248</v>
      </c>
      <c r="X148" s="183" t="str">
        <f t="shared" ca="1" si="274"/>
        <v>Completed</v>
      </c>
      <c r="Y148" s="183" t="str">
        <f t="shared" ca="1" si="275"/>
        <v>Completed</v>
      </c>
      <c r="Z148" s="183" t="str">
        <f t="shared" ca="1" si="276"/>
        <v>Completed</v>
      </c>
      <c r="AA148" s="184" t="str">
        <f t="shared" ca="1" si="277"/>
        <v>Completed</v>
      </c>
    </row>
    <row r="149" spans="1:27" s="64" customFormat="1" ht="11.5" x14ac:dyDescent="0.25">
      <c r="A149" s="70" t="s">
        <v>61</v>
      </c>
      <c r="B149" s="70" t="s">
        <v>62</v>
      </c>
      <c r="C149" s="70" t="s">
        <v>92</v>
      </c>
      <c r="D149" s="75" t="s">
        <v>338</v>
      </c>
      <c r="E149" s="75" t="s">
        <v>159</v>
      </c>
      <c r="F149" s="116">
        <f t="shared" si="247"/>
        <v>0.7</v>
      </c>
      <c r="G149" s="116">
        <f t="shared" si="247"/>
        <v>0.7</v>
      </c>
      <c r="H149" s="116">
        <f t="shared" si="247"/>
        <v>0.7</v>
      </c>
      <c r="I149" s="116">
        <f t="shared" si="228"/>
        <v>0</v>
      </c>
      <c r="J149" s="81">
        <v>0.15</v>
      </c>
      <c r="K149" s="72">
        <v>46199</v>
      </c>
      <c r="L149" s="72">
        <f t="shared" si="229"/>
        <v>46199</v>
      </c>
      <c r="M149" s="72">
        <v>46171</v>
      </c>
      <c r="N149" s="72">
        <f t="shared" si="230"/>
        <v>46241</v>
      </c>
      <c r="O149" s="72">
        <f t="shared" si="231"/>
        <v>46241</v>
      </c>
      <c r="P149" s="72">
        <v>46248</v>
      </c>
      <c r="Q149" s="72">
        <f t="shared" si="232"/>
        <v>46283</v>
      </c>
      <c r="R149" s="72">
        <f t="shared" si="233"/>
        <v>46283</v>
      </c>
      <c r="S149" s="72"/>
      <c r="T149" s="72">
        <f t="shared" si="234"/>
        <v>46297</v>
      </c>
      <c r="U149" s="72">
        <f t="shared" si="235"/>
        <v>46297</v>
      </c>
      <c r="V149" s="72"/>
      <c r="X149" s="183" t="str">
        <f t="shared" ca="1" si="274"/>
        <v>Completed</v>
      </c>
      <c r="Y149" s="183" t="str">
        <f t="shared" ca="1" si="275"/>
        <v>Completed</v>
      </c>
      <c r="Z149" s="183" t="str">
        <f t="shared" ca="1" si="276"/>
        <v/>
      </c>
      <c r="AA149" s="184" t="str">
        <f t="shared" ca="1" si="277"/>
        <v/>
      </c>
    </row>
    <row r="150" spans="1:27" s="64" customFormat="1" ht="11.5" x14ac:dyDescent="0.25">
      <c r="A150" s="70" t="s">
        <v>61</v>
      </c>
      <c r="B150" s="70" t="s">
        <v>62</v>
      </c>
      <c r="C150" s="70" t="s">
        <v>92</v>
      </c>
      <c r="D150" s="75" t="s">
        <v>339</v>
      </c>
      <c r="E150" s="75" t="s">
        <v>160</v>
      </c>
      <c r="F150" s="116">
        <f t="shared" si="247"/>
        <v>0.7</v>
      </c>
      <c r="G150" s="116">
        <f t="shared" si="247"/>
        <v>0.7</v>
      </c>
      <c r="H150" s="116">
        <f t="shared" si="247"/>
        <v>0.7</v>
      </c>
      <c r="I150" s="116">
        <f t="shared" si="228"/>
        <v>0</v>
      </c>
      <c r="J150" s="81">
        <v>0.15</v>
      </c>
      <c r="K150" s="72">
        <v>46199</v>
      </c>
      <c r="L150" s="72">
        <f t="shared" si="229"/>
        <v>46199</v>
      </c>
      <c r="M150" s="72">
        <v>46171</v>
      </c>
      <c r="N150" s="72">
        <f t="shared" si="230"/>
        <v>46241</v>
      </c>
      <c r="O150" s="72">
        <f t="shared" si="231"/>
        <v>46241</v>
      </c>
      <c r="P150" s="72">
        <v>46248</v>
      </c>
      <c r="Q150" s="72">
        <f t="shared" si="232"/>
        <v>46283</v>
      </c>
      <c r="R150" s="72">
        <f t="shared" si="233"/>
        <v>46283</v>
      </c>
      <c r="S150" s="72"/>
      <c r="T150" s="72">
        <f t="shared" si="234"/>
        <v>46297</v>
      </c>
      <c r="U150" s="72">
        <f t="shared" si="235"/>
        <v>46297</v>
      </c>
      <c r="V150" s="72"/>
      <c r="X150" s="183" t="str">
        <f t="shared" ca="1" si="274"/>
        <v>Completed</v>
      </c>
      <c r="Y150" s="183" t="str">
        <f t="shared" ca="1" si="275"/>
        <v>Completed</v>
      </c>
      <c r="Z150" s="183" t="str">
        <f t="shared" ca="1" si="276"/>
        <v/>
      </c>
      <c r="AA150" s="184" t="str">
        <f t="shared" ca="1" si="277"/>
        <v/>
      </c>
    </row>
    <row r="151" spans="1:27" s="94" customFormat="1" ht="11.5" x14ac:dyDescent="0.25">
      <c r="A151" s="70" t="s">
        <v>61</v>
      </c>
      <c r="B151" s="70" t="s">
        <v>62</v>
      </c>
      <c r="C151" s="70" t="s">
        <v>92</v>
      </c>
      <c r="D151" s="124" t="s">
        <v>340</v>
      </c>
      <c r="E151" s="124" t="s">
        <v>161</v>
      </c>
      <c r="F151" s="125">
        <f t="shared" ref="F151" si="285">(COUNTIFS(K151,"&lt;="&amp;$D$1)*50%)+(COUNTIFS(N151,"&lt;="&amp;$D$1)*20%)+(COUNTIFS(Q151,"&lt;="&amp;$D$1)*10%)+(COUNTIFS(T151,"&lt;="&amp;$D$1)*20%)</f>
        <v>0.7</v>
      </c>
      <c r="G151" s="125">
        <f t="shared" ref="G151" si="286">(COUNTIFS(L151,"&lt;="&amp;$D$1)*50%)+(COUNTIFS(O151,"&lt;="&amp;$D$1)*20%)+(COUNTIFS(R151,"&lt;="&amp;$D$1)*10%)+(COUNTIFS(U151,"&lt;="&amp;$D$1)*20%)</f>
        <v>0.7</v>
      </c>
      <c r="H151" s="125">
        <f t="shared" ref="H151" si="287">(COUNTIFS(M151,"&lt;="&amp;$D$1)*50%)+(COUNTIFS(P151,"&lt;="&amp;$D$1)*20%)+(COUNTIFS(S151,"&lt;="&amp;$D$1)*10%)+(COUNTIFS(V151,"&lt;="&amp;$D$1)*20%)</f>
        <v>0.7</v>
      </c>
      <c r="I151" s="125">
        <f t="shared" ref="I151" si="288">H151-F151</f>
        <v>0</v>
      </c>
      <c r="J151" s="81">
        <v>0.15</v>
      </c>
      <c r="K151" s="72">
        <v>46199</v>
      </c>
      <c r="L151" s="74">
        <f t="shared" si="229"/>
        <v>46199</v>
      </c>
      <c r="M151" s="72">
        <v>46171</v>
      </c>
      <c r="N151" s="74">
        <f t="shared" si="230"/>
        <v>46241</v>
      </c>
      <c r="O151" s="74">
        <f t="shared" si="231"/>
        <v>46241</v>
      </c>
      <c r="P151" s="72">
        <v>46248</v>
      </c>
      <c r="Q151" s="74">
        <f t="shared" si="232"/>
        <v>46283</v>
      </c>
      <c r="R151" s="74">
        <f t="shared" si="233"/>
        <v>46283</v>
      </c>
      <c r="S151" s="74"/>
      <c r="T151" s="74">
        <f t="shared" si="234"/>
        <v>46297</v>
      </c>
      <c r="U151" s="74">
        <f t="shared" si="235"/>
        <v>46297</v>
      </c>
      <c r="V151" s="72"/>
      <c r="X151" s="183" t="str">
        <f t="shared" ca="1" si="274"/>
        <v>Completed</v>
      </c>
      <c r="Y151" s="183" t="str">
        <f t="shared" ca="1" si="275"/>
        <v>Completed</v>
      </c>
      <c r="Z151" s="183" t="str">
        <f t="shared" ca="1" si="276"/>
        <v/>
      </c>
      <c r="AA151" s="184" t="str">
        <f t="shared" ca="1" si="277"/>
        <v/>
      </c>
    </row>
    <row r="152" spans="1:27" s="64" customFormat="1" ht="11.5" x14ac:dyDescent="0.25">
      <c r="A152" s="70" t="s">
        <v>61</v>
      </c>
      <c r="B152" s="70" t="s">
        <v>62</v>
      </c>
      <c r="C152" s="70" t="s">
        <v>92</v>
      </c>
      <c r="D152" s="75" t="s">
        <v>341</v>
      </c>
      <c r="E152" s="75" t="s">
        <v>162</v>
      </c>
      <c r="F152" s="116">
        <f t="shared" si="247"/>
        <v>0.7</v>
      </c>
      <c r="G152" s="116">
        <f t="shared" si="247"/>
        <v>0.7</v>
      </c>
      <c r="H152" s="116">
        <f t="shared" si="247"/>
        <v>0.7</v>
      </c>
      <c r="I152" s="116">
        <f t="shared" si="228"/>
        <v>0</v>
      </c>
      <c r="J152" s="81">
        <v>0.15</v>
      </c>
      <c r="K152" s="72">
        <v>46199</v>
      </c>
      <c r="L152" s="72">
        <f t="shared" si="229"/>
        <v>46199</v>
      </c>
      <c r="M152" s="72">
        <v>46171</v>
      </c>
      <c r="N152" s="72">
        <f t="shared" si="230"/>
        <v>46241</v>
      </c>
      <c r="O152" s="72">
        <f t="shared" si="231"/>
        <v>46241</v>
      </c>
      <c r="P152" s="72">
        <v>46248</v>
      </c>
      <c r="Q152" s="72">
        <f t="shared" si="232"/>
        <v>46283</v>
      </c>
      <c r="R152" s="72">
        <f t="shared" si="233"/>
        <v>46283</v>
      </c>
      <c r="S152" s="72"/>
      <c r="T152" s="72">
        <f t="shared" si="234"/>
        <v>46297</v>
      </c>
      <c r="U152" s="72">
        <f t="shared" si="235"/>
        <v>46297</v>
      </c>
      <c r="V152" s="72"/>
      <c r="X152" s="183" t="str">
        <f t="shared" ca="1" si="274"/>
        <v>Completed</v>
      </c>
      <c r="Y152" s="183" t="str">
        <f t="shared" ca="1" si="275"/>
        <v>Completed</v>
      </c>
      <c r="Z152" s="183" t="str">
        <f t="shared" ca="1" si="276"/>
        <v/>
      </c>
      <c r="AA152" s="184" t="str">
        <f t="shared" ca="1" si="277"/>
        <v/>
      </c>
    </row>
    <row r="153" spans="1:27" s="64" customFormat="1" ht="11.5" x14ac:dyDescent="0.25">
      <c r="A153" s="70" t="s">
        <v>61</v>
      </c>
      <c r="B153" s="70" t="s">
        <v>62</v>
      </c>
      <c r="C153" s="70" t="s">
        <v>92</v>
      </c>
      <c r="D153" s="75" t="s">
        <v>342</v>
      </c>
      <c r="E153" s="75" t="s">
        <v>163</v>
      </c>
      <c r="F153" s="116">
        <f t="shared" si="247"/>
        <v>0.7</v>
      </c>
      <c r="G153" s="116">
        <f t="shared" si="247"/>
        <v>0.7</v>
      </c>
      <c r="H153" s="116">
        <f t="shared" si="247"/>
        <v>0.7</v>
      </c>
      <c r="I153" s="116">
        <f t="shared" si="228"/>
        <v>0</v>
      </c>
      <c r="J153" s="81">
        <v>0.15</v>
      </c>
      <c r="K153" s="72">
        <v>46199</v>
      </c>
      <c r="L153" s="72">
        <f t="shared" si="229"/>
        <v>46199</v>
      </c>
      <c r="M153" s="72">
        <v>46171</v>
      </c>
      <c r="N153" s="72">
        <f t="shared" si="230"/>
        <v>46241</v>
      </c>
      <c r="O153" s="72">
        <f t="shared" si="231"/>
        <v>46241</v>
      </c>
      <c r="P153" s="72">
        <v>46248</v>
      </c>
      <c r="Q153" s="72">
        <f t="shared" si="232"/>
        <v>46283</v>
      </c>
      <c r="R153" s="72">
        <f t="shared" si="233"/>
        <v>46283</v>
      </c>
      <c r="S153" s="72"/>
      <c r="T153" s="72">
        <f t="shared" si="234"/>
        <v>46297</v>
      </c>
      <c r="U153" s="72">
        <f t="shared" si="235"/>
        <v>46297</v>
      </c>
      <c r="V153" s="72"/>
      <c r="X153" s="183" t="str">
        <f t="shared" ca="1" si="274"/>
        <v>Completed</v>
      </c>
      <c r="Y153" s="183" t="str">
        <f t="shared" ca="1" si="275"/>
        <v>Completed</v>
      </c>
      <c r="Z153" s="183" t="str">
        <f t="shared" ca="1" si="276"/>
        <v/>
      </c>
      <c r="AA153" s="184" t="str">
        <f t="shared" ca="1" si="277"/>
        <v/>
      </c>
    </row>
    <row r="154" spans="1:27" s="64" customFormat="1" ht="11.5" x14ac:dyDescent="0.25">
      <c r="A154" s="70" t="s">
        <v>61</v>
      </c>
      <c r="B154" s="70" t="s">
        <v>62</v>
      </c>
      <c r="C154" s="70" t="s">
        <v>92</v>
      </c>
      <c r="D154" s="75" t="s">
        <v>412</v>
      </c>
      <c r="E154" s="75" t="s">
        <v>413</v>
      </c>
      <c r="F154" s="116">
        <f t="shared" ref="F154:F155" si="289">(COUNTIFS(K154,"&lt;="&amp;$D$1)*50%)+(COUNTIFS(N154,"&lt;="&amp;$D$1)*20%)+(COUNTIFS(Q154,"&lt;="&amp;$D$1)*10%)+(COUNTIFS(T154,"&lt;="&amp;$D$1)*20%)</f>
        <v>0.7</v>
      </c>
      <c r="G154" s="116">
        <f t="shared" ref="G154:G155" si="290">(COUNTIFS(L154,"&lt;="&amp;$D$1)*50%)+(COUNTIFS(O154,"&lt;="&amp;$D$1)*20%)+(COUNTIFS(R154,"&lt;="&amp;$D$1)*10%)+(COUNTIFS(U154,"&lt;="&amp;$D$1)*20%)</f>
        <v>0.7</v>
      </c>
      <c r="H154" s="116">
        <f t="shared" ref="H154:H155" si="291">(COUNTIFS(M154,"&lt;="&amp;$D$1)*50%)+(COUNTIFS(P154,"&lt;="&amp;$D$1)*20%)+(COUNTIFS(S154,"&lt;="&amp;$D$1)*10%)+(COUNTIFS(V154,"&lt;="&amp;$D$1)*20%)</f>
        <v>0.7</v>
      </c>
      <c r="I154" s="116">
        <f t="shared" ref="I154:I155" si="292">H154-F154</f>
        <v>0</v>
      </c>
      <c r="J154" s="81">
        <v>0.15</v>
      </c>
      <c r="K154" s="72">
        <v>46199</v>
      </c>
      <c r="L154" s="72">
        <f t="shared" ref="L154:L155" si="293">K154</f>
        <v>46199</v>
      </c>
      <c r="M154" s="72">
        <v>46178</v>
      </c>
      <c r="N154" s="72">
        <f t="shared" ref="N154:N155" si="294">K154+42</f>
        <v>46241</v>
      </c>
      <c r="O154" s="72">
        <f t="shared" ref="O154:O155" si="295">N154</f>
        <v>46241</v>
      </c>
      <c r="P154" s="72">
        <v>46248</v>
      </c>
      <c r="Q154" s="72">
        <f t="shared" ref="Q154:Q155" si="296">N154+42</f>
        <v>46283</v>
      </c>
      <c r="R154" s="72">
        <f t="shared" ref="R154:R155" si="297">Q154</f>
        <v>46283</v>
      </c>
      <c r="S154" s="72"/>
      <c r="T154" s="72">
        <f t="shared" ref="T154:T155" si="298">Q154+14</f>
        <v>46297</v>
      </c>
      <c r="U154" s="72">
        <f t="shared" ref="U154:U155" si="299">T154</f>
        <v>46297</v>
      </c>
      <c r="V154" s="72"/>
      <c r="X154" s="183" t="str">
        <f t="shared" ca="1" si="274"/>
        <v>Completed</v>
      </c>
      <c r="Y154" s="183" t="str">
        <f t="shared" ca="1" si="275"/>
        <v>Completed</v>
      </c>
      <c r="Z154" s="183" t="str">
        <f t="shared" ca="1" si="276"/>
        <v/>
      </c>
      <c r="AA154" s="184" t="str">
        <f t="shared" ca="1" si="277"/>
        <v/>
      </c>
    </row>
    <row r="155" spans="1:27" s="64" customFormat="1" ht="11.5" x14ac:dyDescent="0.25">
      <c r="A155" s="70" t="s">
        <v>61</v>
      </c>
      <c r="B155" s="70" t="s">
        <v>62</v>
      </c>
      <c r="C155" s="70" t="s">
        <v>92</v>
      </c>
      <c r="D155" s="75" t="s">
        <v>414</v>
      </c>
      <c r="E155" s="75" t="s">
        <v>415</v>
      </c>
      <c r="F155" s="116">
        <f t="shared" si="289"/>
        <v>0.7</v>
      </c>
      <c r="G155" s="116">
        <f t="shared" si="290"/>
        <v>0.7</v>
      </c>
      <c r="H155" s="116">
        <f t="shared" si="291"/>
        <v>0.7</v>
      </c>
      <c r="I155" s="116">
        <f t="shared" si="292"/>
        <v>0</v>
      </c>
      <c r="J155" s="81">
        <v>0.1</v>
      </c>
      <c r="K155" s="72">
        <v>46199</v>
      </c>
      <c r="L155" s="72">
        <f t="shared" si="293"/>
        <v>46199</v>
      </c>
      <c r="M155" s="72">
        <v>46178</v>
      </c>
      <c r="N155" s="72">
        <f t="shared" si="294"/>
        <v>46241</v>
      </c>
      <c r="O155" s="72">
        <f t="shared" si="295"/>
        <v>46241</v>
      </c>
      <c r="P155" s="72">
        <v>46248</v>
      </c>
      <c r="Q155" s="72">
        <f t="shared" si="296"/>
        <v>46283</v>
      </c>
      <c r="R155" s="72">
        <f t="shared" si="297"/>
        <v>46283</v>
      </c>
      <c r="S155" s="72"/>
      <c r="T155" s="72">
        <f t="shared" si="298"/>
        <v>46297</v>
      </c>
      <c r="U155" s="72">
        <f t="shared" si="299"/>
        <v>46297</v>
      </c>
      <c r="V155" s="72"/>
      <c r="X155" s="183" t="str">
        <f t="shared" ca="1" si="274"/>
        <v>Completed</v>
      </c>
      <c r="Y155" s="183" t="str">
        <f t="shared" ca="1" si="275"/>
        <v>Completed</v>
      </c>
      <c r="Z155" s="183" t="str">
        <f t="shared" ca="1" si="276"/>
        <v/>
      </c>
      <c r="AA155" s="184" t="str">
        <f t="shared" ca="1" si="277"/>
        <v/>
      </c>
    </row>
    <row r="156" spans="1:27" s="145" customFormat="1" ht="11.5" x14ac:dyDescent="0.25">
      <c r="A156" s="140" t="s">
        <v>61</v>
      </c>
      <c r="B156" s="140" t="s">
        <v>62</v>
      </c>
      <c r="C156" s="140" t="s">
        <v>92</v>
      </c>
      <c r="D156" s="141" t="s">
        <v>416</v>
      </c>
      <c r="E156" s="141" t="s">
        <v>511</v>
      </c>
      <c r="F156" s="142"/>
      <c r="G156" s="142"/>
      <c r="H156" s="142"/>
      <c r="I156" s="142"/>
      <c r="J156" s="143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X156" s="183"/>
      <c r="Y156" s="183"/>
      <c r="Z156" s="183" t="str">
        <f t="shared" ca="1" si="276"/>
        <v/>
      </c>
      <c r="AA156" s="184" t="str">
        <f t="shared" ca="1" si="277"/>
        <v/>
      </c>
    </row>
    <row r="157" spans="1:27" s="64" customFormat="1" ht="11.5" x14ac:dyDescent="0.25">
      <c r="A157" s="70" t="s">
        <v>61</v>
      </c>
      <c r="B157" s="70" t="s">
        <v>62</v>
      </c>
      <c r="C157" s="70" t="s">
        <v>92</v>
      </c>
      <c r="D157" s="75" t="s">
        <v>343</v>
      </c>
      <c r="E157" s="75" t="s">
        <v>164</v>
      </c>
      <c r="F157" s="116">
        <f t="shared" si="247"/>
        <v>0.7</v>
      </c>
      <c r="G157" s="116">
        <f t="shared" si="247"/>
        <v>0.7</v>
      </c>
      <c r="H157" s="116">
        <f t="shared" si="247"/>
        <v>0.7</v>
      </c>
      <c r="I157" s="116">
        <f t="shared" ref="I157:I244" si="300">H157-F157</f>
        <v>0</v>
      </c>
      <c r="J157" s="81">
        <v>0.15</v>
      </c>
      <c r="K157" s="72">
        <v>46199</v>
      </c>
      <c r="L157" s="72">
        <f t="shared" si="229"/>
        <v>46199</v>
      </c>
      <c r="M157" s="72">
        <v>46199</v>
      </c>
      <c r="N157" s="72">
        <f t="shared" si="230"/>
        <v>46241</v>
      </c>
      <c r="O157" s="72">
        <f t="shared" si="231"/>
        <v>46241</v>
      </c>
      <c r="P157" s="72">
        <v>46262</v>
      </c>
      <c r="Q157" s="72">
        <f t="shared" si="232"/>
        <v>46283</v>
      </c>
      <c r="R157" s="72">
        <f t="shared" si="233"/>
        <v>46283</v>
      </c>
      <c r="S157" s="72"/>
      <c r="T157" s="72">
        <f t="shared" si="234"/>
        <v>46297</v>
      </c>
      <c r="U157" s="72">
        <f t="shared" si="235"/>
        <v>46297</v>
      </c>
      <c r="V157" s="72"/>
      <c r="X157" s="183" t="str">
        <f t="shared" ca="1" si="274"/>
        <v>Completed</v>
      </c>
      <c r="Y157" s="183" t="str">
        <f t="shared" ca="1" si="275"/>
        <v>Completed</v>
      </c>
      <c r="Z157" s="183" t="str">
        <f t="shared" ca="1" si="276"/>
        <v/>
      </c>
      <c r="AA157" s="184" t="str">
        <f t="shared" ca="1" si="277"/>
        <v/>
      </c>
    </row>
    <row r="158" spans="1:27" s="64" customFormat="1" ht="11.5" x14ac:dyDescent="0.25">
      <c r="A158" s="70" t="s">
        <v>61</v>
      </c>
      <c r="B158" s="70" t="s">
        <v>62</v>
      </c>
      <c r="C158" s="70" t="s">
        <v>92</v>
      </c>
      <c r="D158" s="75" t="s">
        <v>344</v>
      </c>
      <c r="E158" s="75" t="s">
        <v>165</v>
      </c>
      <c r="F158" s="116">
        <f t="shared" si="247"/>
        <v>0.7</v>
      </c>
      <c r="G158" s="116">
        <f t="shared" si="247"/>
        <v>0.7</v>
      </c>
      <c r="H158" s="116">
        <f t="shared" si="247"/>
        <v>0.7</v>
      </c>
      <c r="I158" s="116">
        <f t="shared" si="300"/>
        <v>0</v>
      </c>
      <c r="J158" s="81">
        <v>0.15</v>
      </c>
      <c r="K158" s="72">
        <v>46199</v>
      </c>
      <c r="L158" s="72">
        <f t="shared" si="229"/>
        <v>46199</v>
      </c>
      <c r="M158" s="72">
        <v>46199</v>
      </c>
      <c r="N158" s="72">
        <f t="shared" si="230"/>
        <v>46241</v>
      </c>
      <c r="O158" s="72">
        <f t="shared" si="231"/>
        <v>46241</v>
      </c>
      <c r="P158" s="72">
        <v>46262</v>
      </c>
      <c r="Q158" s="72">
        <f t="shared" si="232"/>
        <v>46283</v>
      </c>
      <c r="R158" s="72">
        <f t="shared" si="233"/>
        <v>46283</v>
      </c>
      <c r="S158" s="72"/>
      <c r="T158" s="72">
        <f t="shared" si="234"/>
        <v>46297</v>
      </c>
      <c r="U158" s="72">
        <f t="shared" si="235"/>
        <v>46297</v>
      </c>
      <c r="V158" s="72"/>
      <c r="X158" s="183" t="str">
        <f t="shared" ca="1" si="274"/>
        <v>Completed</v>
      </c>
      <c r="Y158" s="183" t="str">
        <f t="shared" ca="1" si="275"/>
        <v>Completed</v>
      </c>
      <c r="Z158" s="183" t="str">
        <f t="shared" ca="1" si="276"/>
        <v/>
      </c>
      <c r="AA158" s="184" t="str">
        <f t="shared" ca="1" si="277"/>
        <v/>
      </c>
    </row>
    <row r="159" spans="1:27" s="64" customFormat="1" ht="11.5" x14ac:dyDescent="0.25">
      <c r="A159" s="70" t="s">
        <v>61</v>
      </c>
      <c r="B159" s="70" t="s">
        <v>62</v>
      </c>
      <c r="C159" s="70" t="s">
        <v>92</v>
      </c>
      <c r="D159" s="75" t="s">
        <v>345</v>
      </c>
      <c r="E159" s="75" t="s">
        <v>166</v>
      </c>
      <c r="F159" s="116">
        <f t="shared" si="247"/>
        <v>0.7</v>
      </c>
      <c r="G159" s="116">
        <f t="shared" si="247"/>
        <v>0.7</v>
      </c>
      <c r="H159" s="116">
        <f t="shared" si="247"/>
        <v>0.7</v>
      </c>
      <c r="I159" s="116">
        <f t="shared" si="300"/>
        <v>0</v>
      </c>
      <c r="J159" s="81">
        <v>0.15</v>
      </c>
      <c r="K159" s="72">
        <v>46199</v>
      </c>
      <c r="L159" s="72">
        <f t="shared" si="229"/>
        <v>46199</v>
      </c>
      <c r="M159" s="72">
        <v>46199</v>
      </c>
      <c r="N159" s="72">
        <f t="shared" si="230"/>
        <v>46241</v>
      </c>
      <c r="O159" s="72">
        <f t="shared" si="231"/>
        <v>46241</v>
      </c>
      <c r="P159" s="72">
        <v>46262</v>
      </c>
      <c r="Q159" s="72">
        <f t="shared" si="232"/>
        <v>46283</v>
      </c>
      <c r="R159" s="72">
        <f t="shared" si="233"/>
        <v>46283</v>
      </c>
      <c r="S159" s="72"/>
      <c r="T159" s="72">
        <f t="shared" si="234"/>
        <v>46297</v>
      </c>
      <c r="U159" s="72">
        <f t="shared" si="235"/>
        <v>46297</v>
      </c>
      <c r="V159" s="72"/>
      <c r="X159" s="183" t="str">
        <f t="shared" ca="1" si="274"/>
        <v>Completed</v>
      </c>
      <c r="Y159" s="183" t="str">
        <f t="shared" ca="1" si="275"/>
        <v>Completed</v>
      </c>
      <c r="Z159" s="183" t="str">
        <f t="shared" ca="1" si="276"/>
        <v/>
      </c>
      <c r="AA159" s="184" t="str">
        <f t="shared" ca="1" si="277"/>
        <v/>
      </c>
    </row>
    <row r="160" spans="1:27" s="64" customFormat="1" ht="11.5" x14ac:dyDescent="0.25">
      <c r="A160" s="70" t="s">
        <v>61</v>
      </c>
      <c r="B160" s="70" t="s">
        <v>62</v>
      </c>
      <c r="C160" s="70" t="s">
        <v>92</v>
      </c>
      <c r="D160" s="75" t="s">
        <v>346</v>
      </c>
      <c r="E160" s="75" t="s">
        <v>167</v>
      </c>
      <c r="F160" s="116">
        <f t="shared" si="247"/>
        <v>0.7</v>
      </c>
      <c r="G160" s="116">
        <f t="shared" si="247"/>
        <v>0.7</v>
      </c>
      <c r="H160" s="116">
        <f t="shared" si="247"/>
        <v>0.7</v>
      </c>
      <c r="I160" s="116">
        <f t="shared" si="300"/>
        <v>0</v>
      </c>
      <c r="J160" s="81">
        <v>0.15</v>
      </c>
      <c r="K160" s="72">
        <v>46199</v>
      </c>
      <c r="L160" s="72">
        <f t="shared" si="229"/>
        <v>46199</v>
      </c>
      <c r="M160" s="72">
        <v>46199</v>
      </c>
      <c r="N160" s="72">
        <f t="shared" si="230"/>
        <v>46241</v>
      </c>
      <c r="O160" s="72">
        <f t="shared" si="231"/>
        <v>46241</v>
      </c>
      <c r="P160" s="72">
        <v>46262</v>
      </c>
      <c r="Q160" s="72">
        <f t="shared" si="232"/>
        <v>46283</v>
      </c>
      <c r="R160" s="72">
        <f t="shared" si="233"/>
        <v>46283</v>
      </c>
      <c r="S160" s="72"/>
      <c r="T160" s="72">
        <f t="shared" si="234"/>
        <v>46297</v>
      </c>
      <c r="U160" s="72">
        <f t="shared" si="235"/>
        <v>46297</v>
      </c>
      <c r="V160" s="72"/>
      <c r="X160" s="183" t="str">
        <f t="shared" ca="1" si="274"/>
        <v>Completed</v>
      </c>
      <c r="Y160" s="183" t="str">
        <f t="shared" ca="1" si="275"/>
        <v>Completed</v>
      </c>
      <c r="Z160" s="183" t="str">
        <f t="shared" ca="1" si="276"/>
        <v/>
      </c>
      <c r="AA160" s="184" t="str">
        <f t="shared" ca="1" si="277"/>
        <v/>
      </c>
    </row>
    <row r="161" spans="1:27" s="64" customFormat="1" ht="11.5" x14ac:dyDescent="0.25">
      <c r="A161" s="70" t="s">
        <v>61</v>
      </c>
      <c r="B161" s="70" t="s">
        <v>62</v>
      </c>
      <c r="C161" s="70" t="s">
        <v>92</v>
      </c>
      <c r="D161" s="75" t="s">
        <v>347</v>
      </c>
      <c r="E161" s="75" t="s">
        <v>417</v>
      </c>
      <c r="F161" s="116">
        <f t="shared" si="247"/>
        <v>0.7</v>
      </c>
      <c r="G161" s="116">
        <f t="shared" si="247"/>
        <v>0.7</v>
      </c>
      <c r="H161" s="116">
        <f t="shared" si="247"/>
        <v>0.5</v>
      </c>
      <c r="I161" s="116">
        <f t="shared" si="300"/>
        <v>-0.19999999999999996</v>
      </c>
      <c r="J161" s="81">
        <v>0.1</v>
      </c>
      <c r="K161" s="72">
        <v>46199</v>
      </c>
      <c r="L161" s="72">
        <f t="shared" si="229"/>
        <v>46199</v>
      </c>
      <c r="M161" s="72">
        <v>46171</v>
      </c>
      <c r="N161" s="72">
        <f t="shared" si="230"/>
        <v>46241</v>
      </c>
      <c r="O161" s="72">
        <f t="shared" si="231"/>
        <v>46241</v>
      </c>
      <c r="P161" s="144"/>
      <c r="Q161" s="72">
        <f t="shared" si="232"/>
        <v>46283</v>
      </c>
      <c r="R161" s="72">
        <f t="shared" si="233"/>
        <v>46283</v>
      </c>
      <c r="S161" s="72"/>
      <c r="T161" s="72">
        <f t="shared" si="234"/>
        <v>46297</v>
      </c>
      <c r="U161" s="72">
        <f t="shared" si="235"/>
        <v>46297</v>
      </c>
      <c r="V161" s="72"/>
      <c r="X161" s="183" t="str">
        <f t="shared" ca="1" si="274"/>
        <v>Completed</v>
      </c>
      <c r="Y161" s="183" t="str">
        <f t="shared" ca="1" si="275"/>
        <v>Overdue</v>
      </c>
      <c r="Z161" s="183" t="str">
        <f t="shared" ca="1" si="276"/>
        <v/>
      </c>
      <c r="AA161" s="184" t="str">
        <f t="shared" ca="1" si="277"/>
        <v/>
      </c>
    </row>
    <row r="162" spans="1:27" s="145" customFormat="1" ht="11.5" x14ac:dyDescent="0.25">
      <c r="A162" s="140" t="s">
        <v>61</v>
      </c>
      <c r="B162" s="140" t="s">
        <v>62</v>
      </c>
      <c r="C162" s="140" t="s">
        <v>92</v>
      </c>
      <c r="D162" s="141" t="s">
        <v>418</v>
      </c>
      <c r="E162" s="141" t="s">
        <v>512</v>
      </c>
      <c r="F162" s="142"/>
      <c r="G162" s="142"/>
      <c r="H162" s="142"/>
      <c r="I162" s="142"/>
      <c r="J162" s="143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X162" s="183"/>
      <c r="Y162" s="183"/>
      <c r="Z162" s="183"/>
      <c r="AA162" s="184" t="str">
        <f t="shared" ca="1" si="277"/>
        <v/>
      </c>
    </row>
    <row r="163" spans="1:27" s="145" customFormat="1" ht="11.5" x14ac:dyDescent="0.25">
      <c r="A163" s="140" t="s">
        <v>61</v>
      </c>
      <c r="B163" s="140" t="s">
        <v>62</v>
      </c>
      <c r="C163" s="140" t="s">
        <v>92</v>
      </c>
      <c r="D163" s="141" t="s">
        <v>419</v>
      </c>
      <c r="E163" s="141" t="s">
        <v>513</v>
      </c>
      <c r="F163" s="142"/>
      <c r="G163" s="142"/>
      <c r="H163" s="142"/>
      <c r="I163" s="142"/>
      <c r="J163" s="143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X163" s="183"/>
      <c r="Y163" s="183"/>
      <c r="Z163" s="183"/>
      <c r="AA163" s="184" t="str">
        <f t="shared" ca="1" si="277"/>
        <v/>
      </c>
    </row>
    <row r="164" spans="1:27" s="64" customFormat="1" ht="11.5" x14ac:dyDescent="0.25">
      <c r="A164" s="70" t="s">
        <v>61</v>
      </c>
      <c r="B164" s="70" t="s">
        <v>62</v>
      </c>
      <c r="C164" s="70" t="s">
        <v>92</v>
      </c>
      <c r="D164" s="75" t="s">
        <v>348</v>
      </c>
      <c r="E164" s="75" t="s">
        <v>168</v>
      </c>
      <c r="F164" s="116">
        <f t="shared" si="247"/>
        <v>0.7</v>
      </c>
      <c r="G164" s="116">
        <f t="shared" si="247"/>
        <v>0.7</v>
      </c>
      <c r="H164" s="116">
        <f t="shared" si="247"/>
        <v>0.7</v>
      </c>
      <c r="I164" s="116">
        <f t="shared" si="300"/>
        <v>0</v>
      </c>
      <c r="J164" s="81">
        <v>0.1</v>
      </c>
      <c r="K164" s="72">
        <v>46213</v>
      </c>
      <c r="L164" s="72">
        <f t="shared" si="229"/>
        <v>46213</v>
      </c>
      <c r="M164" s="72">
        <v>46171</v>
      </c>
      <c r="N164" s="72">
        <f t="shared" si="230"/>
        <v>46255</v>
      </c>
      <c r="O164" s="72">
        <f t="shared" si="231"/>
        <v>46255</v>
      </c>
      <c r="P164" s="72">
        <v>46241</v>
      </c>
      <c r="Q164" s="72">
        <f t="shared" si="232"/>
        <v>46297</v>
      </c>
      <c r="R164" s="72">
        <f t="shared" si="233"/>
        <v>46297</v>
      </c>
      <c r="S164" s="72"/>
      <c r="T164" s="72">
        <f t="shared" si="234"/>
        <v>46311</v>
      </c>
      <c r="U164" s="72">
        <f t="shared" si="235"/>
        <v>46311</v>
      </c>
      <c r="V164" s="72"/>
      <c r="X164" s="183" t="str">
        <f t="shared" ca="1" si="274"/>
        <v>Completed</v>
      </c>
      <c r="Y164" s="183" t="str">
        <f t="shared" ca="1" si="275"/>
        <v>Completed</v>
      </c>
      <c r="Z164" s="183" t="str">
        <f t="shared" ca="1" si="276"/>
        <v/>
      </c>
      <c r="AA164" s="184" t="str">
        <f t="shared" ca="1" si="277"/>
        <v/>
      </c>
    </row>
    <row r="165" spans="1:27" s="64" customFormat="1" ht="11.5" x14ac:dyDescent="0.25">
      <c r="A165" s="70" t="s">
        <v>61</v>
      </c>
      <c r="B165" s="70" t="s">
        <v>62</v>
      </c>
      <c r="C165" s="70" t="s">
        <v>92</v>
      </c>
      <c r="D165" s="75" t="s">
        <v>349</v>
      </c>
      <c r="E165" s="75" t="s">
        <v>169</v>
      </c>
      <c r="F165" s="116">
        <f t="shared" si="247"/>
        <v>0.7</v>
      </c>
      <c r="G165" s="116">
        <f t="shared" si="247"/>
        <v>0.7</v>
      </c>
      <c r="H165" s="116">
        <f t="shared" si="247"/>
        <v>0.7</v>
      </c>
      <c r="I165" s="116">
        <f t="shared" si="300"/>
        <v>0</v>
      </c>
      <c r="J165" s="81">
        <v>0.1</v>
      </c>
      <c r="K165" s="72">
        <v>46213</v>
      </c>
      <c r="L165" s="72">
        <f t="shared" si="229"/>
        <v>46213</v>
      </c>
      <c r="M165" s="72">
        <v>46171</v>
      </c>
      <c r="N165" s="72">
        <f t="shared" si="230"/>
        <v>46255</v>
      </c>
      <c r="O165" s="72">
        <f t="shared" si="231"/>
        <v>46255</v>
      </c>
      <c r="P165" s="72">
        <v>46241</v>
      </c>
      <c r="Q165" s="72">
        <f t="shared" si="232"/>
        <v>46297</v>
      </c>
      <c r="R165" s="72">
        <f t="shared" si="233"/>
        <v>46297</v>
      </c>
      <c r="S165" s="72"/>
      <c r="T165" s="72">
        <f t="shared" si="234"/>
        <v>46311</v>
      </c>
      <c r="U165" s="72">
        <f t="shared" si="235"/>
        <v>46311</v>
      </c>
      <c r="V165" s="72"/>
      <c r="X165" s="183" t="str">
        <f t="shared" ca="1" si="274"/>
        <v>Completed</v>
      </c>
      <c r="Y165" s="183" t="str">
        <f t="shared" ca="1" si="275"/>
        <v>Completed</v>
      </c>
      <c r="Z165" s="183" t="str">
        <f t="shared" ca="1" si="276"/>
        <v/>
      </c>
      <c r="AA165" s="184" t="str">
        <f t="shared" ca="1" si="277"/>
        <v/>
      </c>
    </row>
    <row r="166" spans="1:27" s="64" customFormat="1" ht="11.5" x14ac:dyDescent="0.25">
      <c r="A166" s="70" t="s">
        <v>61</v>
      </c>
      <c r="B166" s="70" t="s">
        <v>62</v>
      </c>
      <c r="C166" s="70" t="s">
        <v>92</v>
      </c>
      <c r="D166" s="75" t="s">
        <v>350</v>
      </c>
      <c r="E166" s="75" t="s">
        <v>170</v>
      </c>
      <c r="F166" s="116">
        <f t="shared" si="247"/>
        <v>0.7</v>
      </c>
      <c r="G166" s="116">
        <f t="shared" si="247"/>
        <v>0.7</v>
      </c>
      <c r="H166" s="116">
        <f t="shared" si="247"/>
        <v>0.7</v>
      </c>
      <c r="I166" s="116">
        <f t="shared" si="300"/>
        <v>0</v>
      </c>
      <c r="J166" s="81">
        <v>0.1</v>
      </c>
      <c r="K166" s="72">
        <v>46213</v>
      </c>
      <c r="L166" s="72">
        <f t="shared" si="229"/>
        <v>46213</v>
      </c>
      <c r="M166" s="72">
        <v>46171</v>
      </c>
      <c r="N166" s="72">
        <f t="shared" si="230"/>
        <v>46255</v>
      </c>
      <c r="O166" s="72">
        <f t="shared" si="231"/>
        <v>46255</v>
      </c>
      <c r="P166" s="72">
        <v>46241</v>
      </c>
      <c r="Q166" s="72">
        <f t="shared" si="232"/>
        <v>46297</v>
      </c>
      <c r="R166" s="72">
        <f t="shared" si="233"/>
        <v>46297</v>
      </c>
      <c r="S166" s="72"/>
      <c r="T166" s="72">
        <f t="shared" si="234"/>
        <v>46311</v>
      </c>
      <c r="U166" s="72">
        <f t="shared" si="235"/>
        <v>46311</v>
      </c>
      <c r="V166" s="72"/>
      <c r="X166" s="183" t="str">
        <f t="shared" ca="1" si="274"/>
        <v>Completed</v>
      </c>
      <c r="Y166" s="183" t="str">
        <f t="shared" ca="1" si="275"/>
        <v>Completed</v>
      </c>
      <c r="Z166" s="183" t="str">
        <f t="shared" ca="1" si="276"/>
        <v/>
      </c>
      <c r="AA166" s="184" t="str">
        <f t="shared" ca="1" si="277"/>
        <v/>
      </c>
    </row>
    <row r="167" spans="1:27" s="64" customFormat="1" ht="11.5" x14ac:dyDescent="0.25">
      <c r="A167" s="70" t="s">
        <v>61</v>
      </c>
      <c r="B167" s="70" t="s">
        <v>62</v>
      </c>
      <c r="C167" s="70" t="s">
        <v>92</v>
      </c>
      <c r="D167" s="75" t="s">
        <v>351</v>
      </c>
      <c r="E167" s="75" t="s">
        <v>171</v>
      </c>
      <c r="F167" s="116">
        <f t="shared" si="247"/>
        <v>0.7</v>
      </c>
      <c r="G167" s="116">
        <f t="shared" si="247"/>
        <v>0.7</v>
      </c>
      <c r="H167" s="116">
        <f t="shared" si="247"/>
        <v>0.79999999999999993</v>
      </c>
      <c r="I167" s="116">
        <f t="shared" si="300"/>
        <v>9.9999999999999978E-2</v>
      </c>
      <c r="J167" s="81">
        <v>0.1</v>
      </c>
      <c r="K167" s="72">
        <v>46213</v>
      </c>
      <c r="L167" s="72">
        <f t="shared" ref="L167:L245" si="301">K167</f>
        <v>46213</v>
      </c>
      <c r="M167" s="72">
        <v>46171</v>
      </c>
      <c r="N167" s="72">
        <f t="shared" ref="N167:N245" si="302">K167+42</f>
        <v>46255</v>
      </c>
      <c r="O167" s="72">
        <f t="shared" ref="O167:O245" si="303">N167</f>
        <v>46255</v>
      </c>
      <c r="P167" s="72">
        <v>46191</v>
      </c>
      <c r="Q167" s="72">
        <f t="shared" ref="Q167:Q245" si="304">N167+42</f>
        <v>46297</v>
      </c>
      <c r="R167" s="72">
        <f t="shared" ref="R167:R245" si="305">Q167</f>
        <v>46297</v>
      </c>
      <c r="S167" s="72">
        <v>46241</v>
      </c>
      <c r="T167" s="72">
        <f t="shared" ref="T167:T245" si="306">Q167+14</f>
        <v>46311</v>
      </c>
      <c r="U167" s="72">
        <f t="shared" ref="U167:U245" si="307">T167</f>
        <v>46311</v>
      </c>
      <c r="V167" s="72"/>
      <c r="X167" s="183" t="str">
        <f t="shared" ca="1" si="274"/>
        <v>Completed</v>
      </c>
      <c r="Y167" s="183" t="str">
        <f t="shared" ca="1" si="275"/>
        <v>Completed</v>
      </c>
      <c r="Z167" s="183" t="str">
        <f t="shared" ca="1" si="276"/>
        <v>Completed</v>
      </c>
      <c r="AA167" s="184" t="str">
        <f t="shared" ca="1" si="277"/>
        <v/>
      </c>
    </row>
    <row r="168" spans="1:27" s="64" customFormat="1" ht="11.5" x14ac:dyDescent="0.25">
      <c r="A168" s="70" t="s">
        <v>61</v>
      </c>
      <c r="B168" s="70" t="s">
        <v>62</v>
      </c>
      <c r="C168" s="70" t="s">
        <v>92</v>
      </c>
      <c r="D168" s="75" t="s">
        <v>352</v>
      </c>
      <c r="E168" s="75" t="s">
        <v>172</v>
      </c>
      <c r="F168" s="116">
        <f t="shared" si="247"/>
        <v>0.7</v>
      </c>
      <c r="G168" s="116">
        <f t="shared" si="247"/>
        <v>0.7</v>
      </c>
      <c r="H168" s="116">
        <f t="shared" si="247"/>
        <v>0.7</v>
      </c>
      <c r="I168" s="116">
        <f t="shared" si="300"/>
        <v>0</v>
      </c>
      <c r="J168" s="81">
        <v>0.1</v>
      </c>
      <c r="K168" s="72">
        <v>46213</v>
      </c>
      <c r="L168" s="72">
        <f t="shared" si="301"/>
        <v>46213</v>
      </c>
      <c r="M168" s="72">
        <v>46171</v>
      </c>
      <c r="N168" s="72">
        <f t="shared" si="302"/>
        <v>46255</v>
      </c>
      <c r="O168" s="72">
        <f t="shared" si="303"/>
        <v>46255</v>
      </c>
      <c r="P168" s="72">
        <v>46241</v>
      </c>
      <c r="Q168" s="72">
        <f t="shared" si="304"/>
        <v>46297</v>
      </c>
      <c r="R168" s="72">
        <f t="shared" si="305"/>
        <v>46297</v>
      </c>
      <c r="S168" s="72"/>
      <c r="T168" s="72">
        <f t="shared" si="306"/>
        <v>46311</v>
      </c>
      <c r="U168" s="72">
        <f t="shared" si="307"/>
        <v>46311</v>
      </c>
      <c r="V168" s="72"/>
      <c r="X168" s="183" t="str">
        <f t="shared" ca="1" si="274"/>
        <v>Completed</v>
      </c>
      <c r="Y168" s="183" t="str">
        <f t="shared" ca="1" si="275"/>
        <v>Completed</v>
      </c>
      <c r="Z168" s="183" t="str">
        <f t="shared" ca="1" si="276"/>
        <v/>
      </c>
      <c r="AA168" s="184" t="str">
        <f t="shared" ca="1" si="277"/>
        <v/>
      </c>
    </row>
    <row r="169" spans="1:27" s="64" customFormat="1" ht="11.5" x14ac:dyDescent="0.25">
      <c r="A169" s="70" t="s">
        <v>61</v>
      </c>
      <c r="B169" s="70" t="s">
        <v>62</v>
      </c>
      <c r="C169" s="70" t="s">
        <v>92</v>
      </c>
      <c r="D169" s="75" t="s">
        <v>353</v>
      </c>
      <c r="E169" s="75" t="s">
        <v>173</v>
      </c>
      <c r="F169" s="116">
        <f t="shared" si="247"/>
        <v>0.7</v>
      </c>
      <c r="G169" s="116">
        <f t="shared" si="247"/>
        <v>0.7</v>
      </c>
      <c r="H169" s="116">
        <f t="shared" si="247"/>
        <v>0.79999999999999993</v>
      </c>
      <c r="I169" s="116">
        <f t="shared" si="300"/>
        <v>9.9999999999999978E-2</v>
      </c>
      <c r="J169" s="81">
        <v>0.1</v>
      </c>
      <c r="K169" s="72">
        <v>46213</v>
      </c>
      <c r="L169" s="72">
        <f t="shared" si="301"/>
        <v>46213</v>
      </c>
      <c r="M169" s="72">
        <v>46171</v>
      </c>
      <c r="N169" s="72">
        <f t="shared" si="302"/>
        <v>46255</v>
      </c>
      <c r="O169" s="72">
        <f t="shared" si="303"/>
        <v>46255</v>
      </c>
      <c r="P169" s="72">
        <v>46191</v>
      </c>
      <c r="Q169" s="72">
        <f t="shared" si="304"/>
        <v>46297</v>
      </c>
      <c r="R169" s="72">
        <f t="shared" si="305"/>
        <v>46297</v>
      </c>
      <c r="S169" s="72">
        <v>46241</v>
      </c>
      <c r="T169" s="72">
        <f t="shared" si="306"/>
        <v>46311</v>
      </c>
      <c r="U169" s="72">
        <f t="shared" si="307"/>
        <v>46311</v>
      </c>
      <c r="V169" s="72"/>
      <c r="X169" s="183" t="str">
        <f t="shared" ca="1" si="274"/>
        <v>Completed</v>
      </c>
      <c r="Y169" s="183" t="str">
        <f t="shared" ca="1" si="275"/>
        <v>Completed</v>
      </c>
      <c r="Z169" s="183" t="str">
        <f t="shared" ca="1" si="276"/>
        <v>Completed</v>
      </c>
      <c r="AA169" s="184" t="str">
        <f t="shared" ca="1" si="277"/>
        <v/>
      </c>
    </row>
    <row r="170" spans="1:27" s="64" customFormat="1" ht="11.5" x14ac:dyDescent="0.25">
      <c r="A170" s="70" t="s">
        <v>61</v>
      </c>
      <c r="B170" s="70" t="s">
        <v>62</v>
      </c>
      <c r="C170" s="70" t="s">
        <v>92</v>
      </c>
      <c r="D170" s="75" t="s">
        <v>354</v>
      </c>
      <c r="E170" s="75" t="s">
        <v>174</v>
      </c>
      <c r="F170" s="116">
        <f t="shared" si="247"/>
        <v>0.7</v>
      </c>
      <c r="G170" s="116">
        <f t="shared" si="247"/>
        <v>0.7</v>
      </c>
      <c r="H170" s="116">
        <f t="shared" si="247"/>
        <v>0.7</v>
      </c>
      <c r="I170" s="116">
        <f t="shared" si="300"/>
        <v>0</v>
      </c>
      <c r="J170" s="81">
        <v>0.1</v>
      </c>
      <c r="K170" s="72">
        <v>46213</v>
      </c>
      <c r="L170" s="72">
        <f t="shared" si="301"/>
        <v>46213</v>
      </c>
      <c r="M170" s="72">
        <v>46171</v>
      </c>
      <c r="N170" s="72">
        <f t="shared" si="302"/>
        <v>46255</v>
      </c>
      <c r="O170" s="72">
        <f t="shared" si="303"/>
        <v>46255</v>
      </c>
      <c r="P170" s="72">
        <v>46241</v>
      </c>
      <c r="Q170" s="72">
        <f t="shared" si="304"/>
        <v>46297</v>
      </c>
      <c r="R170" s="72">
        <f t="shared" si="305"/>
        <v>46297</v>
      </c>
      <c r="S170" s="72"/>
      <c r="T170" s="72">
        <f t="shared" si="306"/>
        <v>46311</v>
      </c>
      <c r="U170" s="72">
        <f t="shared" si="307"/>
        <v>46311</v>
      </c>
      <c r="V170" s="72"/>
      <c r="X170" s="183" t="str">
        <f t="shared" ca="1" si="274"/>
        <v>Completed</v>
      </c>
      <c r="Y170" s="183" t="str">
        <f t="shared" ca="1" si="275"/>
        <v>Completed</v>
      </c>
      <c r="Z170" s="183" t="str">
        <f t="shared" ca="1" si="276"/>
        <v/>
      </c>
      <c r="AA170" s="184" t="str">
        <f t="shared" ca="1" si="277"/>
        <v/>
      </c>
    </row>
    <row r="171" spans="1:27" s="64" customFormat="1" ht="11.5" x14ac:dyDescent="0.25">
      <c r="A171" s="70" t="s">
        <v>61</v>
      </c>
      <c r="B171" s="70" t="s">
        <v>62</v>
      </c>
      <c r="C171" s="70" t="s">
        <v>92</v>
      </c>
      <c r="D171" s="75" t="s">
        <v>355</v>
      </c>
      <c r="E171" s="75" t="s">
        <v>175</v>
      </c>
      <c r="F171" s="116">
        <f t="shared" si="247"/>
        <v>0.7</v>
      </c>
      <c r="G171" s="116">
        <f t="shared" si="247"/>
        <v>0.7</v>
      </c>
      <c r="H171" s="116">
        <f t="shared" si="247"/>
        <v>0.7</v>
      </c>
      <c r="I171" s="116">
        <f t="shared" si="300"/>
        <v>0</v>
      </c>
      <c r="J171" s="81">
        <v>0.1</v>
      </c>
      <c r="K171" s="72">
        <v>46213</v>
      </c>
      <c r="L171" s="72">
        <f t="shared" si="301"/>
        <v>46213</v>
      </c>
      <c r="M171" s="72">
        <v>46171</v>
      </c>
      <c r="N171" s="72">
        <f t="shared" si="302"/>
        <v>46255</v>
      </c>
      <c r="O171" s="72">
        <f t="shared" si="303"/>
        <v>46255</v>
      </c>
      <c r="P171" s="72">
        <v>46241</v>
      </c>
      <c r="Q171" s="72">
        <f t="shared" si="304"/>
        <v>46297</v>
      </c>
      <c r="R171" s="72">
        <f t="shared" si="305"/>
        <v>46297</v>
      </c>
      <c r="S171" s="72"/>
      <c r="T171" s="72">
        <f t="shared" si="306"/>
        <v>46311</v>
      </c>
      <c r="U171" s="72">
        <f t="shared" si="307"/>
        <v>46311</v>
      </c>
      <c r="V171" s="72"/>
      <c r="X171" s="183" t="str">
        <f t="shared" ca="1" si="274"/>
        <v>Completed</v>
      </c>
      <c r="Y171" s="183" t="str">
        <f t="shared" ca="1" si="275"/>
        <v>Completed</v>
      </c>
      <c r="Z171" s="183" t="str">
        <f t="shared" ca="1" si="276"/>
        <v/>
      </c>
      <c r="AA171" s="184" t="str">
        <f t="shared" ca="1" si="277"/>
        <v/>
      </c>
    </row>
    <row r="172" spans="1:27" s="64" customFormat="1" ht="11.5" x14ac:dyDescent="0.25">
      <c r="A172" s="70" t="s">
        <v>61</v>
      </c>
      <c r="B172" s="70" t="s">
        <v>62</v>
      </c>
      <c r="C172" s="70" t="s">
        <v>92</v>
      </c>
      <c r="D172" s="75" t="s">
        <v>463</v>
      </c>
      <c r="E172" s="75" t="s">
        <v>464</v>
      </c>
      <c r="F172" s="116">
        <f t="shared" ref="F172" si="308">(COUNTIFS(K172,"&lt;="&amp;$D$1)*50%)+(COUNTIFS(N172,"&lt;="&amp;$D$1)*20%)+(COUNTIFS(Q172,"&lt;="&amp;$D$1)*10%)+(COUNTIFS(T172,"&lt;="&amp;$D$1)*20%)</f>
        <v>0.7</v>
      </c>
      <c r="G172" s="116">
        <f t="shared" ref="G172" si="309">(COUNTIFS(L172,"&lt;="&amp;$D$1)*50%)+(COUNTIFS(O172,"&lt;="&amp;$D$1)*20%)+(COUNTIFS(R172,"&lt;="&amp;$D$1)*10%)+(COUNTIFS(U172,"&lt;="&amp;$D$1)*20%)</f>
        <v>0.7</v>
      </c>
      <c r="H172" s="116">
        <f t="shared" ref="H172" si="310">(COUNTIFS(M172,"&lt;="&amp;$D$1)*50%)+(COUNTIFS(P172,"&lt;="&amp;$D$1)*20%)+(COUNTIFS(S172,"&lt;="&amp;$D$1)*10%)+(COUNTIFS(V172,"&lt;="&amp;$D$1)*20%)</f>
        <v>0.7</v>
      </c>
      <c r="I172" s="116">
        <f t="shared" ref="I172" si="311">H172-F172</f>
        <v>0</v>
      </c>
      <c r="J172" s="81">
        <v>0.1</v>
      </c>
      <c r="K172" s="72">
        <v>46213</v>
      </c>
      <c r="L172" s="72">
        <f t="shared" ref="L172" si="312">K172</f>
        <v>46213</v>
      </c>
      <c r="M172" s="72">
        <v>46171</v>
      </c>
      <c r="N172" s="72">
        <f t="shared" ref="N172" si="313">K172+42</f>
        <v>46255</v>
      </c>
      <c r="O172" s="72">
        <f t="shared" ref="O172" si="314">N172</f>
        <v>46255</v>
      </c>
      <c r="P172" s="72">
        <v>46241</v>
      </c>
      <c r="Q172" s="72">
        <f t="shared" ref="Q172" si="315">N172+42</f>
        <v>46297</v>
      </c>
      <c r="R172" s="72">
        <f t="shared" ref="R172" si="316">Q172</f>
        <v>46297</v>
      </c>
      <c r="S172" s="72"/>
      <c r="T172" s="72">
        <f t="shared" ref="T172" si="317">Q172+14</f>
        <v>46311</v>
      </c>
      <c r="U172" s="72">
        <f t="shared" ref="U172" si="318">T172</f>
        <v>46311</v>
      </c>
      <c r="V172" s="72"/>
      <c r="X172" s="183" t="str">
        <f t="shared" ca="1" si="274"/>
        <v>Completed</v>
      </c>
      <c r="Y172" s="183" t="str">
        <f t="shared" ca="1" si="275"/>
        <v>Completed</v>
      </c>
      <c r="Z172" s="183" t="str">
        <f t="shared" ca="1" si="276"/>
        <v/>
      </c>
      <c r="AA172" s="184" t="str">
        <f t="shared" ca="1" si="277"/>
        <v/>
      </c>
    </row>
    <row r="173" spans="1:27" s="64" customFormat="1" ht="11.5" x14ac:dyDescent="0.25">
      <c r="A173" s="70" t="s">
        <v>61</v>
      </c>
      <c r="B173" s="70" t="s">
        <v>62</v>
      </c>
      <c r="C173" s="70" t="s">
        <v>92</v>
      </c>
      <c r="D173" s="124" t="s">
        <v>356</v>
      </c>
      <c r="E173" s="124" t="s">
        <v>420</v>
      </c>
      <c r="F173" s="125">
        <f t="shared" si="247"/>
        <v>0.7</v>
      </c>
      <c r="G173" s="125">
        <f t="shared" si="247"/>
        <v>0.7</v>
      </c>
      <c r="H173" s="125">
        <f t="shared" si="247"/>
        <v>0.7</v>
      </c>
      <c r="I173" s="125">
        <f t="shared" si="300"/>
        <v>0</v>
      </c>
      <c r="J173" s="81">
        <v>0.15</v>
      </c>
      <c r="K173" s="72">
        <v>46213</v>
      </c>
      <c r="L173" s="74">
        <f t="shared" ref="L173:L174" si="319">K173</f>
        <v>46213</v>
      </c>
      <c r="M173" s="72">
        <v>46199</v>
      </c>
      <c r="N173" s="74">
        <f t="shared" ref="N173:N174" si="320">K173+42</f>
        <v>46255</v>
      </c>
      <c r="O173" s="74">
        <f t="shared" ref="O173:O174" si="321">N173</f>
        <v>46255</v>
      </c>
      <c r="P173" s="72">
        <v>46241</v>
      </c>
      <c r="Q173" s="74">
        <f t="shared" ref="Q173:Q174" si="322">N173+42</f>
        <v>46297</v>
      </c>
      <c r="R173" s="74">
        <f t="shared" ref="R173:R174" si="323">Q173</f>
        <v>46297</v>
      </c>
      <c r="S173" s="72"/>
      <c r="T173" s="74">
        <f t="shared" ref="T173:T174" si="324">Q173+14</f>
        <v>46311</v>
      </c>
      <c r="U173" s="74">
        <f t="shared" ref="U173:U174" si="325">T173</f>
        <v>46311</v>
      </c>
      <c r="V173" s="74"/>
      <c r="X173" s="183" t="str">
        <f t="shared" ca="1" si="274"/>
        <v>Completed</v>
      </c>
      <c r="Y173" s="183" t="str">
        <f t="shared" ca="1" si="275"/>
        <v>Completed</v>
      </c>
      <c r="Z173" s="183" t="str">
        <f t="shared" ca="1" si="276"/>
        <v/>
      </c>
      <c r="AA173" s="184" t="str">
        <f t="shared" ca="1" si="277"/>
        <v/>
      </c>
    </row>
    <row r="174" spans="1:27" s="64" customFormat="1" ht="11.5" x14ac:dyDescent="0.25">
      <c r="A174" s="70" t="s">
        <v>61</v>
      </c>
      <c r="B174" s="70" t="s">
        <v>62</v>
      </c>
      <c r="C174" s="70" t="s">
        <v>92</v>
      </c>
      <c r="D174" s="124" t="s">
        <v>421</v>
      </c>
      <c r="E174" s="124" t="s">
        <v>422</v>
      </c>
      <c r="F174" s="125"/>
      <c r="G174" s="116">
        <f t="shared" ref="G174:G176" si="326">(COUNTIFS(L174,"&lt;="&amp;$D$1)*50%)+(COUNTIFS(O174,"&lt;="&amp;$D$1)*20%)+(COUNTIFS(R174,"&lt;="&amp;$D$1)*10%)+(COUNTIFS(U174,"&lt;="&amp;$D$1)*20%)</f>
        <v>0.7</v>
      </c>
      <c r="H174" s="116">
        <f t="shared" ref="H174:H176" si="327">(COUNTIFS(M174,"&lt;="&amp;$D$1)*50%)+(COUNTIFS(P174,"&lt;="&amp;$D$1)*20%)+(COUNTIFS(S174,"&lt;="&amp;$D$1)*10%)+(COUNTIFS(V174,"&lt;="&amp;$D$1)*20%)</f>
        <v>0.7</v>
      </c>
      <c r="I174" s="116">
        <f t="shared" ref="I174:I176" si="328">H174-F174</f>
        <v>0.7</v>
      </c>
      <c r="J174" s="81">
        <v>0.15</v>
      </c>
      <c r="K174" s="72">
        <v>46213</v>
      </c>
      <c r="L174" s="72">
        <f t="shared" si="319"/>
        <v>46213</v>
      </c>
      <c r="M174" s="72">
        <v>46199</v>
      </c>
      <c r="N174" s="72">
        <f t="shared" si="320"/>
        <v>46255</v>
      </c>
      <c r="O174" s="72">
        <f t="shared" si="321"/>
        <v>46255</v>
      </c>
      <c r="P174" s="72">
        <v>46205</v>
      </c>
      <c r="Q174" s="72">
        <f t="shared" si="322"/>
        <v>46297</v>
      </c>
      <c r="R174" s="72">
        <f t="shared" si="323"/>
        <v>46297</v>
      </c>
      <c r="S174" s="72"/>
      <c r="T174" s="72">
        <f t="shared" si="324"/>
        <v>46311</v>
      </c>
      <c r="U174" s="72">
        <f t="shared" si="325"/>
        <v>46311</v>
      </c>
      <c r="V174" s="74"/>
      <c r="X174" s="183" t="str">
        <f t="shared" ca="1" si="274"/>
        <v>Completed</v>
      </c>
      <c r="Y174" s="183" t="str">
        <f t="shared" ca="1" si="275"/>
        <v>Completed</v>
      </c>
      <c r="Z174" s="183" t="str">
        <f t="shared" ca="1" si="276"/>
        <v/>
      </c>
      <c r="AA174" s="184" t="str">
        <f t="shared" ca="1" si="277"/>
        <v/>
      </c>
    </row>
    <row r="175" spans="1:27" s="64" customFormat="1" ht="11.5" x14ac:dyDescent="0.25">
      <c r="A175" s="70" t="s">
        <v>61</v>
      </c>
      <c r="B175" s="70" t="s">
        <v>62</v>
      </c>
      <c r="C175" s="70" t="s">
        <v>92</v>
      </c>
      <c r="D175" s="124" t="s">
        <v>423</v>
      </c>
      <c r="E175" s="124" t="s">
        <v>424</v>
      </c>
      <c r="F175" s="125"/>
      <c r="G175" s="125">
        <f t="shared" si="326"/>
        <v>0.7</v>
      </c>
      <c r="H175" s="125">
        <f t="shared" si="327"/>
        <v>0.7</v>
      </c>
      <c r="I175" s="125">
        <f t="shared" si="328"/>
        <v>0.7</v>
      </c>
      <c r="J175" s="81">
        <v>0.15</v>
      </c>
      <c r="K175" s="72">
        <v>46213</v>
      </c>
      <c r="L175" s="74">
        <f t="shared" ref="L175:L176" si="329">K175</f>
        <v>46213</v>
      </c>
      <c r="M175" s="72">
        <v>46199</v>
      </c>
      <c r="N175" s="74">
        <f t="shared" ref="N175:N176" si="330">K175+42</f>
        <v>46255</v>
      </c>
      <c r="O175" s="74">
        <f t="shared" ref="O175:O176" si="331">N175</f>
        <v>46255</v>
      </c>
      <c r="P175" s="72">
        <v>46241</v>
      </c>
      <c r="Q175" s="74">
        <f t="shared" ref="Q175:Q176" si="332">N175+42</f>
        <v>46297</v>
      </c>
      <c r="R175" s="74">
        <f t="shared" ref="R175:R176" si="333">Q175</f>
        <v>46297</v>
      </c>
      <c r="S175" s="72"/>
      <c r="T175" s="74">
        <f t="shared" ref="T175:T176" si="334">Q175+14</f>
        <v>46311</v>
      </c>
      <c r="U175" s="74">
        <f t="shared" ref="U175:U176" si="335">T175</f>
        <v>46311</v>
      </c>
      <c r="V175" s="74"/>
      <c r="X175" s="183" t="str">
        <f t="shared" ca="1" si="274"/>
        <v>Completed</v>
      </c>
      <c r="Y175" s="183" t="str">
        <f t="shared" ca="1" si="275"/>
        <v>Completed</v>
      </c>
      <c r="Z175" s="183" t="str">
        <f t="shared" ca="1" si="276"/>
        <v/>
      </c>
      <c r="AA175" s="184" t="str">
        <f t="shared" ca="1" si="277"/>
        <v/>
      </c>
    </row>
    <row r="176" spans="1:27" s="64" customFormat="1" ht="11.5" x14ac:dyDescent="0.25">
      <c r="A176" s="70" t="s">
        <v>61</v>
      </c>
      <c r="B176" s="70" t="s">
        <v>62</v>
      </c>
      <c r="C176" s="70" t="s">
        <v>92</v>
      </c>
      <c r="D176" s="124" t="s">
        <v>425</v>
      </c>
      <c r="E176" s="124" t="s">
        <v>426</v>
      </c>
      <c r="F176" s="125"/>
      <c r="G176" s="116">
        <f t="shared" si="326"/>
        <v>0.7</v>
      </c>
      <c r="H176" s="116">
        <f t="shared" si="327"/>
        <v>0.7</v>
      </c>
      <c r="I176" s="116">
        <f t="shared" si="328"/>
        <v>0.7</v>
      </c>
      <c r="J176" s="81">
        <v>0.15</v>
      </c>
      <c r="K176" s="72">
        <v>46213</v>
      </c>
      <c r="L176" s="72">
        <f t="shared" si="329"/>
        <v>46213</v>
      </c>
      <c r="M176" s="72">
        <v>46199</v>
      </c>
      <c r="N176" s="72">
        <f t="shared" si="330"/>
        <v>46255</v>
      </c>
      <c r="O176" s="72">
        <f t="shared" si="331"/>
        <v>46255</v>
      </c>
      <c r="P176" s="72">
        <v>46241</v>
      </c>
      <c r="Q176" s="72">
        <f t="shared" si="332"/>
        <v>46297</v>
      </c>
      <c r="R176" s="72">
        <f t="shared" si="333"/>
        <v>46297</v>
      </c>
      <c r="S176" s="72"/>
      <c r="T176" s="72">
        <f t="shared" si="334"/>
        <v>46311</v>
      </c>
      <c r="U176" s="72">
        <f t="shared" si="335"/>
        <v>46311</v>
      </c>
      <c r="V176" s="74"/>
      <c r="X176" s="183" t="str">
        <f t="shared" ca="1" si="274"/>
        <v>Completed</v>
      </c>
      <c r="Y176" s="183" t="str">
        <f t="shared" ca="1" si="275"/>
        <v>Completed</v>
      </c>
      <c r="Z176" s="183" t="str">
        <f t="shared" ca="1" si="276"/>
        <v/>
      </c>
      <c r="AA176" s="184" t="str">
        <f t="shared" ca="1" si="277"/>
        <v/>
      </c>
    </row>
    <row r="177" spans="1:27" s="145" customFormat="1" ht="11.5" x14ac:dyDescent="0.25">
      <c r="A177" s="140" t="s">
        <v>61</v>
      </c>
      <c r="B177" s="140" t="s">
        <v>62</v>
      </c>
      <c r="C177" s="140" t="s">
        <v>92</v>
      </c>
      <c r="D177" s="146" t="s">
        <v>427</v>
      </c>
      <c r="E177" s="195" t="s">
        <v>514</v>
      </c>
      <c r="F177" s="147"/>
      <c r="G177" s="147"/>
      <c r="H177" s="147"/>
      <c r="I177" s="147"/>
      <c r="J177" s="143"/>
      <c r="K177" s="144"/>
      <c r="L177" s="148"/>
      <c r="M177" s="148"/>
      <c r="N177" s="148"/>
      <c r="O177" s="148"/>
      <c r="P177" s="144"/>
      <c r="Q177" s="148"/>
      <c r="R177" s="148"/>
      <c r="S177" s="144"/>
      <c r="T177" s="148"/>
      <c r="U177" s="148"/>
      <c r="V177" s="148"/>
      <c r="X177" s="183"/>
      <c r="Y177" s="183" t="str">
        <f t="shared" ca="1" si="275"/>
        <v/>
      </c>
      <c r="Z177" s="183" t="str">
        <f t="shared" ca="1" si="276"/>
        <v/>
      </c>
      <c r="AA177" s="184" t="str">
        <f t="shared" ca="1" si="277"/>
        <v/>
      </c>
    </row>
    <row r="178" spans="1:27" s="145" customFormat="1" ht="11.5" x14ac:dyDescent="0.25">
      <c r="A178" s="140" t="s">
        <v>61</v>
      </c>
      <c r="B178" s="140" t="s">
        <v>62</v>
      </c>
      <c r="C178" s="140" t="s">
        <v>92</v>
      </c>
      <c r="D178" s="146" t="s">
        <v>428</v>
      </c>
      <c r="E178" s="195" t="s">
        <v>515</v>
      </c>
      <c r="F178" s="147"/>
      <c r="G178" s="147"/>
      <c r="H178" s="147"/>
      <c r="I178" s="147"/>
      <c r="J178" s="143"/>
      <c r="K178" s="144"/>
      <c r="L178" s="148"/>
      <c r="M178" s="148"/>
      <c r="N178" s="148"/>
      <c r="O178" s="148"/>
      <c r="P178" s="144"/>
      <c r="Q178" s="148"/>
      <c r="R178" s="148"/>
      <c r="S178" s="144"/>
      <c r="T178" s="148"/>
      <c r="U178" s="148"/>
      <c r="V178" s="148"/>
      <c r="X178" s="183"/>
      <c r="Y178" s="183" t="str">
        <f t="shared" ca="1" si="275"/>
        <v/>
      </c>
      <c r="Z178" s="183" t="str">
        <f t="shared" ca="1" si="276"/>
        <v/>
      </c>
      <c r="AA178" s="184" t="str">
        <f t="shared" ca="1" si="277"/>
        <v/>
      </c>
    </row>
    <row r="179" spans="1:27" s="64" customFormat="1" ht="11.5" x14ac:dyDescent="0.25">
      <c r="A179" s="70" t="s">
        <v>61</v>
      </c>
      <c r="B179" s="70" t="s">
        <v>62</v>
      </c>
      <c r="C179" s="70" t="s">
        <v>92</v>
      </c>
      <c r="D179" s="75" t="s">
        <v>357</v>
      </c>
      <c r="E179" s="75" t="s">
        <v>176</v>
      </c>
      <c r="F179" s="116">
        <f t="shared" si="247"/>
        <v>0.7</v>
      </c>
      <c r="G179" s="116">
        <f t="shared" si="247"/>
        <v>0.7</v>
      </c>
      <c r="H179" s="116">
        <f t="shared" si="247"/>
        <v>0.7</v>
      </c>
      <c r="I179" s="116">
        <f t="shared" si="300"/>
        <v>0</v>
      </c>
      <c r="J179" s="81">
        <v>0.1</v>
      </c>
      <c r="K179" s="72">
        <v>46213</v>
      </c>
      <c r="L179" s="72">
        <f t="shared" si="301"/>
        <v>46213</v>
      </c>
      <c r="M179" s="72">
        <v>46171</v>
      </c>
      <c r="N179" s="72">
        <f t="shared" si="302"/>
        <v>46255</v>
      </c>
      <c r="O179" s="72">
        <f t="shared" si="303"/>
        <v>46255</v>
      </c>
      <c r="P179" s="72">
        <v>46248</v>
      </c>
      <c r="Q179" s="72">
        <f t="shared" si="304"/>
        <v>46297</v>
      </c>
      <c r="R179" s="72">
        <f t="shared" si="305"/>
        <v>46297</v>
      </c>
      <c r="S179" s="72"/>
      <c r="T179" s="72">
        <f t="shared" si="306"/>
        <v>46311</v>
      </c>
      <c r="U179" s="72">
        <f t="shared" si="307"/>
        <v>46311</v>
      </c>
      <c r="V179" s="72"/>
      <c r="X179" s="183" t="str">
        <f t="shared" ca="1" si="274"/>
        <v>Completed</v>
      </c>
      <c r="Y179" s="183" t="str">
        <f t="shared" ca="1" si="275"/>
        <v>Completed</v>
      </c>
      <c r="Z179" s="183" t="str">
        <f t="shared" ca="1" si="276"/>
        <v/>
      </c>
      <c r="AA179" s="184" t="str">
        <f t="shared" ca="1" si="277"/>
        <v/>
      </c>
    </row>
    <row r="180" spans="1:27" s="64" customFormat="1" ht="11.5" x14ac:dyDescent="0.25">
      <c r="A180" s="70" t="s">
        <v>61</v>
      </c>
      <c r="B180" s="70" t="s">
        <v>62</v>
      </c>
      <c r="C180" s="70" t="s">
        <v>92</v>
      </c>
      <c r="D180" s="75" t="s">
        <v>358</v>
      </c>
      <c r="E180" s="75" t="s">
        <v>177</v>
      </c>
      <c r="F180" s="116">
        <f t="shared" si="247"/>
        <v>0.7</v>
      </c>
      <c r="G180" s="116">
        <f t="shared" si="247"/>
        <v>0.7</v>
      </c>
      <c r="H180" s="116">
        <f t="shared" si="247"/>
        <v>0.7</v>
      </c>
      <c r="I180" s="116">
        <f t="shared" si="300"/>
        <v>0</v>
      </c>
      <c r="J180" s="81">
        <v>0.1</v>
      </c>
      <c r="K180" s="72">
        <v>46213</v>
      </c>
      <c r="L180" s="72">
        <f t="shared" si="301"/>
        <v>46213</v>
      </c>
      <c r="M180" s="72">
        <v>46171</v>
      </c>
      <c r="N180" s="72">
        <f t="shared" si="302"/>
        <v>46255</v>
      </c>
      <c r="O180" s="72">
        <f t="shared" si="303"/>
        <v>46255</v>
      </c>
      <c r="P180" s="72">
        <v>46248</v>
      </c>
      <c r="Q180" s="72">
        <f t="shared" si="304"/>
        <v>46297</v>
      </c>
      <c r="R180" s="72">
        <f t="shared" si="305"/>
        <v>46297</v>
      </c>
      <c r="S180" s="72"/>
      <c r="T180" s="72">
        <f t="shared" si="306"/>
        <v>46311</v>
      </c>
      <c r="U180" s="72">
        <f t="shared" si="307"/>
        <v>46311</v>
      </c>
      <c r="V180" s="72"/>
      <c r="X180" s="183" t="str">
        <f t="shared" ca="1" si="274"/>
        <v>Completed</v>
      </c>
      <c r="Y180" s="183" t="str">
        <f t="shared" ca="1" si="275"/>
        <v>Completed</v>
      </c>
      <c r="Z180" s="183" t="str">
        <f t="shared" ca="1" si="276"/>
        <v/>
      </c>
      <c r="AA180" s="184" t="str">
        <f t="shared" ca="1" si="277"/>
        <v/>
      </c>
    </row>
    <row r="181" spans="1:27" s="64" customFormat="1" ht="11.5" x14ac:dyDescent="0.25">
      <c r="A181" s="70" t="s">
        <v>61</v>
      </c>
      <c r="B181" s="70" t="s">
        <v>62</v>
      </c>
      <c r="C181" s="70" t="s">
        <v>92</v>
      </c>
      <c r="D181" s="75" t="s">
        <v>359</v>
      </c>
      <c r="E181" s="75" t="s">
        <v>178</v>
      </c>
      <c r="F181" s="116">
        <f t="shared" si="247"/>
        <v>0.7</v>
      </c>
      <c r="G181" s="116">
        <f t="shared" si="247"/>
        <v>0.7</v>
      </c>
      <c r="H181" s="116">
        <f t="shared" si="247"/>
        <v>0.7</v>
      </c>
      <c r="I181" s="116">
        <f t="shared" si="300"/>
        <v>0</v>
      </c>
      <c r="J181" s="81">
        <v>0.1</v>
      </c>
      <c r="K181" s="72">
        <v>46213</v>
      </c>
      <c r="L181" s="72">
        <f t="shared" si="301"/>
        <v>46213</v>
      </c>
      <c r="M181" s="72">
        <v>46171</v>
      </c>
      <c r="N181" s="72">
        <f t="shared" si="302"/>
        <v>46255</v>
      </c>
      <c r="O181" s="72">
        <f t="shared" si="303"/>
        <v>46255</v>
      </c>
      <c r="P181" s="72">
        <v>46262</v>
      </c>
      <c r="Q181" s="72">
        <f t="shared" si="304"/>
        <v>46297</v>
      </c>
      <c r="R181" s="72">
        <f t="shared" si="305"/>
        <v>46297</v>
      </c>
      <c r="S181" s="72"/>
      <c r="T181" s="72">
        <f t="shared" si="306"/>
        <v>46311</v>
      </c>
      <c r="U181" s="72">
        <f t="shared" si="307"/>
        <v>46311</v>
      </c>
      <c r="V181" s="72"/>
      <c r="X181" s="183" t="str">
        <f t="shared" ca="1" si="274"/>
        <v>Completed</v>
      </c>
      <c r="Y181" s="183" t="str">
        <f t="shared" ca="1" si="275"/>
        <v>Completed</v>
      </c>
      <c r="Z181" s="183" t="str">
        <f t="shared" ca="1" si="276"/>
        <v/>
      </c>
      <c r="AA181" s="184" t="str">
        <f t="shared" ca="1" si="277"/>
        <v/>
      </c>
    </row>
    <row r="182" spans="1:27" s="64" customFormat="1" ht="11.5" x14ac:dyDescent="0.25">
      <c r="A182" s="70" t="s">
        <v>61</v>
      </c>
      <c r="B182" s="70" t="s">
        <v>62</v>
      </c>
      <c r="C182" s="70" t="s">
        <v>92</v>
      </c>
      <c r="D182" s="75" t="s">
        <v>360</v>
      </c>
      <c r="E182" s="75" t="s">
        <v>179</v>
      </c>
      <c r="F182" s="116">
        <f t="shared" si="247"/>
        <v>0.7</v>
      </c>
      <c r="G182" s="116">
        <f t="shared" si="247"/>
        <v>0.7</v>
      </c>
      <c r="H182" s="116">
        <f t="shared" si="247"/>
        <v>0.7</v>
      </c>
      <c r="I182" s="116">
        <f t="shared" si="300"/>
        <v>0</v>
      </c>
      <c r="J182" s="81">
        <v>0.1</v>
      </c>
      <c r="K182" s="72">
        <v>46213</v>
      </c>
      <c r="L182" s="72">
        <f t="shared" si="301"/>
        <v>46213</v>
      </c>
      <c r="M182" s="72">
        <v>46171</v>
      </c>
      <c r="N182" s="72">
        <f t="shared" si="302"/>
        <v>46255</v>
      </c>
      <c r="O182" s="72">
        <f t="shared" si="303"/>
        <v>46255</v>
      </c>
      <c r="P182" s="72">
        <v>46262</v>
      </c>
      <c r="Q182" s="72">
        <f t="shared" si="304"/>
        <v>46297</v>
      </c>
      <c r="R182" s="72">
        <f t="shared" si="305"/>
        <v>46297</v>
      </c>
      <c r="S182" s="72"/>
      <c r="T182" s="72">
        <f t="shared" si="306"/>
        <v>46311</v>
      </c>
      <c r="U182" s="72">
        <f t="shared" si="307"/>
        <v>46311</v>
      </c>
      <c r="V182" s="72"/>
      <c r="X182" s="183" t="str">
        <f t="shared" ca="1" si="274"/>
        <v>Completed</v>
      </c>
      <c r="Y182" s="183" t="str">
        <f t="shared" ca="1" si="275"/>
        <v>Completed</v>
      </c>
      <c r="Z182" s="183" t="str">
        <f t="shared" ca="1" si="276"/>
        <v/>
      </c>
      <c r="AA182" s="184" t="str">
        <f t="shared" ca="1" si="277"/>
        <v/>
      </c>
    </row>
    <row r="183" spans="1:27" s="64" customFormat="1" ht="11.5" x14ac:dyDescent="0.25">
      <c r="A183" s="70" t="s">
        <v>61</v>
      </c>
      <c r="B183" s="70" t="s">
        <v>62</v>
      </c>
      <c r="C183" s="70" t="s">
        <v>92</v>
      </c>
      <c r="D183" s="75" t="s">
        <v>361</v>
      </c>
      <c r="E183" s="75" t="s">
        <v>180</v>
      </c>
      <c r="F183" s="116">
        <f t="shared" si="247"/>
        <v>0.7</v>
      </c>
      <c r="G183" s="116">
        <f t="shared" si="247"/>
        <v>0.7</v>
      </c>
      <c r="H183" s="116">
        <f t="shared" si="247"/>
        <v>0.7</v>
      </c>
      <c r="I183" s="116">
        <f t="shared" si="300"/>
        <v>0</v>
      </c>
      <c r="J183" s="81">
        <v>0.1</v>
      </c>
      <c r="K183" s="72">
        <v>46213</v>
      </c>
      <c r="L183" s="72">
        <f t="shared" si="301"/>
        <v>46213</v>
      </c>
      <c r="M183" s="72">
        <v>46171</v>
      </c>
      <c r="N183" s="72">
        <f t="shared" si="302"/>
        <v>46255</v>
      </c>
      <c r="O183" s="72">
        <f t="shared" si="303"/>
        <v>46255</v>
      </c>
      <c r="P183" s="72">
        <v>46262</v>
      </c>
      <c r="Q183" s="72">
        <f t="shared" si="304"/>
        <v>46297</v>
      </c>
      <c r="R183" s="72">
        <f t="shared" si="305"/>
        <v>46297</v>
      </c>
      <c r="S183" s="72"/>
      <c r="T183" s="72">
        <f t="shared" si="306"/>
        <v>46311</v>
      </c>
      <c r="U183" s="72">
        <f t="shared" si="307"/>
        <v>46311</v>
      </c>
      <c r="V183" s="72"/>
      <c r="X183" s="183" t="str">
        <f t="shared" ca="1" si="274"/>
        <v>Completed</v>
      </c>
      <c r="Y183" s="183" t="str">
        <f t="shared" ca="1" si="275"/>
        <v>Completed</v>
      </c>
      <c r="Z183" s="183" t="str">
        <f t="shared" ca="1" si="276"/>
        <v/>
      </c>
      <c r="AA183" s="184" t="str">
        <f t="shared" ca="1" si="277"/>
        <v/>
      </c>
    </row>
    <row r="184" spans="1:27" s="64" customFormat="1" ht="11.5" x14ac:dyDescent="0.25">
      <c r="A184" s="70" t="s">
        <v>61</v>
      </c>
      <c r="B184" s="70" t="s">
        <v>62</v>
      </c>
      <c r="C184" s="70" t="s">
        <v>92</v>
      </c>
      <c r="D184" s="75" t="s">
        <v>362</v>
      </c>
      <c r="E184" s="75" t="s">
        <v>181</v>
      </c>
      <c r="F184" s="116">
        <f t="shared" si="247"/>
        <v>0.7</v>
      </c>
      <c r="G184" s="116">
        <f t="shared" si="247"/>
        <v>0.7</v>
      </c>
      <c r="H184" s="116">
        <f t="shared" si="247"/>
        <v>0.7</v>
      </c>
      <c r="I184" s="116">
        <f t="shared" si="300"/>
        <v>0</v>
      </c>
      <c r="J184" s="81">
        <v>0.1</v>
      </c>
      <c r="K184" s="72">
        <v>46213</v>
      </c>
      <c r="L184" s="72">
        <f t="shared" si="301"/>
        <v>46213</v>
      </c>
      <c r="M184" s="72">
        <v>46171</v>
      </c>
      <c r="N184" s="72">
        <f t="shared" si="302"/>
        <v>46255</v>
      </c>
      <c r="O184" s="72">
        <f t="shared" si="303"/>
        <v>46255</v>
      </c>
      <c r="P184" s="72">
        <v>46262</v>
      </c>
      <c r="Q184" s="72">
        <f t="shared" si="304"/>
        <v>46297</v>
      </c>
      <c r="R184" s="72">
        <f t="shared" si="305"/>
        <v>46297</v>
      </c>
      <c r="S184" s="72"/>
      <c r="T184" s="72">
        <f t="shared" si="306"/>
        <v>46311</v>
      </c>
      <c r="U184" s="72">
        <f t="shared" si="307"/>
        <v>46311</v>
      </c>
      <c r="V184" s="72"/>
      <c r="X184" s="183" t="str">
        <f t="shared" ca="1" si="274"/>
        <v>Completed</v>
      </c>
      <c r="Y184" s="183" t="str">
        <f t="shared" ca="1" si="275"/>
        <v>Completed</v>
      </c>
      <c r="Z184" s="183" t="str">
        <f t="shared" ca="1" si="276"/>
        <v/>
      </c>
      <c r="AA184" s="184" t="str">
        <f t="shared" ca="1" si="277"/>
        <v/>
      </c>
    </row>
    <row r="185" spans="1:27" s="64" customFormat="1" ht="11.5" x14ac:dyDescent="0.25">
      <c r="A185" s="70" t="s">
        <v>61</v>
      </c>
      <c r="B185" s="70" t="s">
        <v>62</v>
      </c>
      <c r="C185" s="70" t="s">
        <v>92</v>
      </c>
      <c r="D185" s="75" t="s">
        <v>363</v>
      </c>
      <c r="E185" s="75" t="s">
        <v>182</v>
      </c>
      <c r="F185" s="116">
        <f t="shared" si="247"/>
        <v>0.7</v>
      </c>
      <c r="G185" s="116">
        <f t="shared" si="247"/>
        <v>0.7</v>
      </c>
      <c r="H185" s="116">
        <f t="shared" si="247"/>
        <v>0.7</v>
      </c>
      <c r="I185" s="116">
        <f t="shared" si="300"/>
        <v>0</v>
      </c>
      <c r="J185" s="81">
        <v>0.1</v>
      </c>
      <c r="K185" s="72">
        <v>46213</v>
      </c>
      <c r="L185" s="72">
        <f t="shared" si="301"/>
        <v>46213</v>
      </c>
      <c r="M185" s="72">
        <v>46171</v>
      </c>
      <c r="N185" s="72">
        <f t="shared" si="302"/>
        <v>46255</v>
      </c>
      <c r="O185" s="72">
        <f t="shared" si="303"/>
        <v>46255</v>
      </c>
      <c r="P185" s="72">
        <v>46262</v>
      </c>
      <c r="Q185" s="72">
        <f t="shared" si="304"/>
        <v>46297</v>
      </c>
      <c r="R185" s="72">
        <f t="shared" si="305"/>
        <v>46297</v>
      </c>
      <c r="S185" s="72"/>
      <c r="T185" s="72">
        <f t="shared" si="306"/>
        <v>46311</v>
      </c>
      <c r="U185" s="72">
        <f t="shared" si="307"/>
        <v>46311</v>
      </c>
      <c r="V185" s="72"/>
      <c r="X185" s="183" t="str">
        <f t="shared" ca="1" si="274"/>
        <v>Completed</v>
      </c>
      <c r="Y185" s="183" t="str">
        <f t="shared" ca="1" si="275"/>
        <v>Completed</v>
      </c>
      <c r="Z185" s="183" t="str">
        <f t="shared" ca="1" si="276"/>
        <v/>
      </c>
      <c r="AA185" s="184" t="str">
        <f t="shared" ca="1" si="277"/>
        <v/>
      </c>
    </row>
    <row r="186" spans="1:27" s="64" customFormat="1" ht="11.5" x14ac:dyDescent="0.25">
      <c r="A186" s="70" t="s">
        <v>61</v>
      </c>
      <c r="B186" s="70" t="s">
        <v>62</v>
      </c>
      <c r="C186" s="70" t="s">
        <v>92</v>
      </c>
      <c r="D186" s="124" t="s">
        <v>364</v>
      </c>
      <c r="E186" s="124" t="s">
        <v>183</v>
      </c>
      <c r="F186" s="125">
        <f t="shared" ref="F186" si="336">(COUNTIFS(K186,"&lt;="&amp;$D$1)*50%)+(COUNTIFS(N186,"&lt;="&amp;$D$1)*20%)+(COUNTIFS(Q186,"&lt;="&amp;$D$1)*10%)+(COUNTIFS(T186,"&lt;="&amp;$D$1)*20%)</f>
        <v>0.7</v>
      </c>
      <c r="G186" s="125">
        <f t="shared" ref="G186" si="337">(COUNTIFS(L186,"&lt;="&amp;$D$1)*50%)+(COUNTIFS(O186,"&lt;="&amp;$D$1)*20%)+(COUNTIFS(R186,"&lt;="&amp;$D$1)*10%)+(COUNTIFS(U186,"&lt;="&amp;$D$1)*20%)</f>
        <v>0.7</v>
      </c>
      <c r="H186" s="125">
        <f t="shared" ref="H186" si="338">(COUNTIFS(M186,"&lt;="&amp;$D$1)*50%)+(COUNTIFS(P186,"&lt;="&amp;$D$1)*20%)+(COUNTIFS(S186,"&lt;="&amp;$D$1)*10%)+(COUNTIFS(V186,"&lt;="&amp;$D$1)*20%)</f>
        <v>0.7</v>
      </c>
      <c r="I186" s="125">
        <f t="shared" si="300"/>
        <v>0</v>
      </c>
      <c r="J186" s="81">
        <v>0.1</v>
      </c>
      <c r="K186" s="72">
        <v>46213</v>
      </c>
      <c r="L186" s="107">
        <f t="shared" si="301"/>
        <v>46213</v>
      </c>
      <c r="M186" s="72">
        <v>46171</v>
      </c>
      <c r="N186" s="107">
        <f t="shared" si="302"/>
        <v>46255</v>
      </c>
      <c r="O186" s="107">
        <f t="shared" si="303"/>
        <v>46255</v>
      </c>
      <c r="P186" s="72">
        <v>46262</v>
      </c>
      <c r="Q186" s="107">
        <f t="shared" si="304"/>
        <v>46297</v>
      </c>
      <c r="R186" s="107">
        <f t="shared" si="305"/>
        <v>46297</v>
      </c>
      <c r="S186" s="107"/>
      <c r="T186" s="107">
        <f t="shared" si="306"/>
        <v>46311</v>
      </c>
      <c r="U186" s="107">
        <f t="shared" si="307"/>
        <v>46311</v>
      </c>
      <c r="V186" s="107"/>
      <c r="X186" s="183" t="str">
        <f t="shared" ca="1" si="274"/>
        <v>Completed</v>
      </c>
      <c r="Y186" s="183" t="str">
        <f t="shared" ca="1" si="275"/>
        <v>Completed</v>
      </c>
      <c r="Z186" s="183" t="str">
        <f t="shared" ca="1" si="276"/>
        <v/>
      </c>
      <c r="AA186" s="184" t="str">
        <f t="shared" ca="1" si="277"/>
        <v/>
      </c>
    </row>
    <row r="187" spans="1:27" s="64" customFormat="1" ht="11.5" x14ac:dyDescent="0.25">
      <c r="A187" s="70" t="s">
        <v>61</v>
      </c>
      <c r="B187" s="70" t="s">
        <v>62</v>
      </c>
      <c r="C187" s="70" t="s">
        <v>92</v>
      </c>
      <c r="D187" s="75" t="s">
        <v>365</v>
      </c>
      <c r="E187" s="75" t="s">
        <v>184</v>
      </c>
      <c r="F187" s="116">
        <f t="shared" ref="F187:H244" si="339">(COUNTIFS(K187,"&lt;="&amp;$D$1)*50%)+(COUNTIFS(N187,"&lt;="&amp;$D$1)*20%)+(COUNTIFS(Q187,"&lt;="&amp;$D$1)*10%)+(COUNTIFS(T187,"&lt;="&amp;$D$1)*20%)</f>
        <v>0.7</v>
      </c>
      <c r="G187" s="116">
        <f t="shared" si="339"/>
        <v>0.7</v>
      </c>
      <c r="H187" s="116">
        <f t="shared" si="339"/>
        <v>0.7</v>
      </c>
      <c r="I187" s="116">
        <f t="shared" si="300"/>
        <v>0</v>
      </c>
      <c r="J187" s="81">
        <v>0.1</v>
      </c>
      <c r="K187" s="72">
        <v>46213</v>
      </c>
      <c r="L187" s="72">
        <f t="shared" si="301"/>
        <v>46213</v>
      </c>
      <c r="M187" s="72">
        <v>46171</v>
      </c>
      <c r="N187" s="72">
        <f t="shared" si="302"/>
        <v>46255</v>
      </c>
      <c r="O187" s="72">
        <f t="shared" si="303"/>
        <v>46255</v>
      </c>
      <c r="P187" s="72">
        <v>46262</v>
      </c>
      <c r="Q187" s="72">
        <f t="shared" si="304"/>
        <v>46297</v>
      </c>
      <c r="R187" s="72">
        <f t="shared" si="305"/>
        <v>46297</v>
      </c>
      <c r="S187" s="72"/>
      <c r="T187" s="72">
        <f t="shared" si="306"/>
        <v>46311</v>
      </c>
      <c r="U187" s="72">
        <f t="shared" si="307"/>
        <v>46311</v>
      </c>
      <c r="V187" s="72"/>
      <c r="X187" s="183" t="str">
        <f t="shared" ca="1" si="274"/>
        <v>Completed</v>
      </c>
      <c r="Y187" s="183" t="str">
        <f t="shared" ca="1" si="275"/>
        <v>Completed</v>
      </c>
      <c r="Z187" s="183" t="str">
        <f t="shared" ca="1" si="276"/>
        <v/>
      </c>
      <c r="AA187" s="184" t="str">
        <f t="shared" ca="1" si="277"/>
        <v/>
      </c>
    </row>
    <row r="188" spans="1:27" s="64" customFormat="1" ht="11.5" x14ac:dyDescent="0.25">
      <c r="A188" s="70" t="s">
        <v>61</v>
      </c>
      <c r="B188" s="70" t="s">
        <v>62</v>
      </c>
      <c r="C188" s="70" t="s">
        <v>92</v>
      </c>
      <c r="D188" s="75" t="s">
        <v>366</v>
      </c>
      <c r="E188" s="75" t="s">
        <v>185</v>
      </c>
      <c r="F188" s="116">
        <f t="shared" si="339"/>
        <v>0.7</v>
      </c>
      <c r="G188" s="116">
        <f t="shared" si="339"/>
        <v>0.7</v>
      </c>
      <c r="H188" s="116">
        <f t="shared" si="339"/>
        <v>0.7</v>
      </c>
      <c r="I188" s="116">
        <f t="shared" si="300"/>
        <v>0</v>
      </c>
      <c r="J188" s="81">
        <v>0.1</v>
      </c>
      <c r="K188" s="72">
        <v>46213</v>
      </c>
      <c r="L188" s="72">
        <f t="shared" si="301"/>
        <v>46213</v>
      </c>
      <c r="M188" s="72">
        <v>46171</v>
      </c>
      <c r="N188" s="72">
        <f t="shared" si="302"/>
        <v>46255</v>
      </c>
      <c r="O188" s="72">
        <f t="shared" si="303"/>
        <v>46255</v>
      </c>
      <c r="P188" s="72">
        <v>46262</v>
      </c>
      <c r="Q188" s="72">
        <f t="shared" si="304"/>
        <v>46297</v>
      </c>
      <c r="R188" s="72">
        <f t="shared" si="305"/>
        <v>46297</v>
      </c>
      <c r="S188" s="72"/>
      <c r="T188" s="72">
        <f t="shared" si="306"/>
        <v>46311</v>
      </c>
      <c r="U188" s="72">
        <f t="shared" si="307"/>
        <v>46311</v>
      </c>
      <c r="V188" s="72"/>
      <c r="X188" s="183" t="str">
        <f t="shared" ca="1" si="274"/>
        <v>Completed</v>
      </c>
      <c r="Y188" s="183" t="str">
        <f t="shared" ca="1" si="275"/>
        <v>Completed</v>
      </c>
      <c r="Z188" s="183" t="str">
        <f t="shared" ca="1" si="276"/>
        <v/>
      </c>
      <c r="AA188" s="184" t="str">
        <f t="shared" ca="1" si="277"/>
        <v/>
      </c>
    </row>
    <row r="189" spans="1:27" s="145" customFormat="1" ht="11.5" x14ac:dyDescent="0.25">
      <c r="A189" s="140" t="s">
        <v>61</v>
      </c>
      <c r="B189" s="140" t="s">
        <v>62</v>
      </c>
      <c r="C189" s="140" t="s">
        <v>92</v>
      </c>
      <c r="D189" s="141" t="s">
        <v>429</v>
      </c>
      <c r="E189" s="141" t="s">
        <v>516</v>
      </c>
      <c r="F189" s="142"/>
      <c r="G189" s="142"/>
      <c r="H189" s="142"/>
      <c r="I189" s="142"/>
      <c r="J189" s="143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X189" s="183"/>
      <c r="Y189" s="183"/>
      <c r="Z189" s="183"/>
      <c r="AA189" s="184"/>
    </row>
    <row r="190" spans="1:27" s="64" customFormat="1" ht="11.5" x14ac:dyDescent="0.25">
      <c r="A190" s="70" t="s">
        <v>61</v>
      </c>
      <c r="B190" s="70" t="s">
        <v>62</v>
      </c>
      <c r="C190" s="70" t="s">
        <v>92</v>
      </c>
      <c r="D190" s="75" t="s">
        <v>367</v>
      </c>
      <c r="E190" s="75" t="s">
        <v>186</v>
      </c>
      <c r="F190" s="116">
        <f t="shared" si="339"/>
        <v>0.7</v>
      </c>
      <c r="G190" s="116">
        <f t="shared" si="339"/>
        <v>0.7</v>
      </c>
      <c r="H190" s="116">
        <f t="shared" si="339"/>
        <v>0.7</v>
      </c>
      <c r="I190" s="116">
        <f t="shared" si="300"/>
        <v>0</v>
      </c>
      <c r="J190" s="81">
        <v>0.1</v>
      </c>
      <c r="K190" s="72">
        <v>46220</v>
      </c>
      <c r="L190" s="72">
        <f t="shared" si="301"/>
        <v>46220</v>
      </c>
      <c r="M190" s="72">
        <v>46178</v>
      </c>
      <c r="N190" s="72">
        <f t="shared" si="302"/>
        <v>46262</v>
      </c>
      <c r="O190" s="72">
        <f t="shared" si="303"/>
        <v>46262</v>
      </c>
      <c r="P190" s="72">
        <v>46248</v>
      </c>
      <c r="Q190" s="72">
        <f t="shared" si="304"/>
        <v>46304</v>
      </c>
      <c r="R190" s="72">
        <f t="shared" si="305"/>
        <v>46304</v>
      </c>
      <c r="S190" s="72"/>
      <c r="T190" s="72">
        <f t="shared" si="306"/>
        <v>46318</v>
      </c>
      <c r="U190" s="72">
        <f t="shared" si="307"/>
        <v>46318</v>
      </c>
      <c r="V190" s="72"/>
      <c r="X190" s="183" t="str">
        <f t="shared" ca="1" si="274"/>
        <v>Completed</v>
      </c>
      <c r="Y190" s="183" t="str">
        <f t="shared" ca="1" si="275"/>
        <v>Completed</v>
      </c>
      <c r="Z190" s="183" t="str">
        <f t="shared" ca="1" si="276"/>
        <v/>
      </c>
      <c r="AA190" s="184" t="str">
        <f t="shared" ca="1" si="277"/>
        <v/>
      </c>
    </row>
    <row r="191" spans="1:27" s="64" customFormat="1" ht="11.5" x14ac:dyDescent="0.25">
      <c r="A191" s="70" t="s">
        <v>61</v>
      </c>
      <c r="B191" s="70" t="s">
        <v>62</v>
      </c>
      <c r="C191" s="70" t="s">
        <v>92</v>
      </c>
      <c r="D191" s="75" t="s">
        <v>368</v>
      </c>
      <c r="E191" s="75" t="s">
        <v>187</v>
      </c>
      <c r="F191" s="116">
        <f t="shared" si="339"/>
        <v>0.7</v>
      </c>
      <c r="G191" s="116">
        <f>(COUNTIFS(L191,"&lt;="&amp;$D$1)*50%)+(COUNTIFS(O191,"&lt;="&amp;$D$1)*20%)+(COUNTIFS(R191,"&lt;="&amp;$D$1)*10%)+(COUNTIFS(U191,"&lt;="&amp;$D$1)*20%)</f>
        <v>0.7</v>
      </c>
      <c r="H191" s="116">
        <f t="shared" si="339"/>
        <v>0.7</v>
      </c>
      <c r="I191" s="116">
        <f t="shared" si="300"/>
        <v>0</v>
      </c>
      <c r="J191" s="81">
        <v>0.1</v>
      </c>
      <c r="K191" s="72">
        <v>46220</v>
      </c>
      <c r="L191" s="72">
        <f t="shared" si="301"/>
        <v>46220</v>
      </c>
      <c r="M191" s="72">
        <v>46178</v>
      </c>
      <c r="N191" s="72">
        <f t="shared" si="302"/>
        <v>46262</v>
      </c>
      <c r="O191" s="72">
        <f t="shared" si="303"/>
        <v>46262</v>
      </c>
      <c r="P191" s="72">
        <v>46248</v>
      </c>
      <c r="Q191" s="72">
        <f t="shared" si="304"/>
        <v>46304</v>
      </c>
      <c r="R191" s="72">
        <f t="shared" si="305"/>
        <v>46304</v>
      </c>
      <c r="S191" s="72"/>
      <c r="T191" s="72">
        <f t="shared" si="306"/>
        <v>46318</v>
      </c>
      <c r="U191" s="72">
        <f t="shared" si="307"/>
        <v>46318</v>
      </c>
      <c r="V191" s="72"/>
      <c r="X191" s="183" t="str">
        <f t="shared" ca="1" si="274"/>
        <v>Completed</v>
      </c>
      <c r="Y191" s="183" t="str">
        <f t="shared" ca="1" si="275"/>
        <v>Completed</v>
      </c>
      <c r="Z191" s="183" t="str">
        <f t="shared" ca="1" si="276"/>
        <v/>
      </c>
      <c r="AA191" s="184" t="str">
        <f t="shared" ca="1" si="277"/>
        <v/>
      </c>
    </row>
    <row r="192" spans="1:27" s="64" customFormat="1" ht="9.5" customHeight="1" x14ac:dyDescent="0.25">
      <c r="A192" s="70" t="s">
        <v>61</v>
      </c>
      <c r="B192" s="70" t="s">
        <v>62</v>
      </c>
      <c r="C192" s="70" t="s">
        <v>92</v>
      </c>
      <c r="D192" s="75" t="s">
        <v>369</v>
      </c>
      <c r="E192" s="75" t="s">
        <v>188</v>
      </c>
      <c r="F192" s="116">
        <f t="shared" si="339"/>
        <v>0.7</v>
      </c>
      <c r="G192" s="116">
        <f>(COUNTIFS(L192,"&lt;="&amp;$D$1)*50%)+(COUNTIFS(O192,"&lt;="&amp;$D$1)*20%)+(COUNTIFS(R192,"&lt;="&amp;$D$1)*10%)+(COUNTIFS(U192,"&lt;="&amp;$D$1)*20%)</f>
        <v>0.7</v>
      </c>
      <c r="H192" s="116">
        <f t="shared" si="339"/>
        <v>0.7</v>
      </c>
      <c r="I192" s="116">
        <f t="shared" si="300"/>
        <v>0</v>
      </c>
      <c r="J192" s="81">
        <v>0.1</v>
      </c>
      <c r="K192" s="72">
        <v>46220</v>
      </c>
      <c r="L192" s="72">
        <f t="shared" si="301"/>
        <v>46220</v>
      </c>
      <c r="M192" s="72">
        <v>46178</v>
      </c>
      <c r="N192" s="72">
        <f t="shared" si="302"/>
        <v>46262</v>
      </c>
      <c r="O192" s="72">
        <f t="shared" si="303"/>
        <v>46262</v>
      </c>
      <c r="P192" s="72">
        <v>46248</v>
      </c>
      <c r="Q192" s="72">
        <f t="shared" si="304"/>
        <v>46304</v>
      </c>
      <c r="R192" s="72">
        <f t="shared" si="305"/>
        <v>46304</v>
      </c>
      <c r="S192" s="72"/>
      <c r="T192" s="72">
        <f t="shared" si="306"/>
        <v>46318</v>
      </c>
      <c r="U192" s="72">
        <f t="shared" si="307"/>
        <v>46318</v>
      </c>
      <c r="V192" s="72"/>
      <c r="X192" s="183" t="str">
        <f t="shared" ca="1" si="274"/>
        <v>Completed</v>
      </c>
      <c r="Y192" s="183" t="str">
        <f t="shared" ca="1" si="275"/>
        <v>Completed</v>
      </c>
      <c r="Z192" s="183" t="str">
        <f t="shared" ca="1" si="276"/>
        <v/>
      </c>
      <c r="AA192" s="184" t="str">
        <f t="shared" ca="1" si="277"/>
        <v/>
      </c>
    </row>
    <row r="193" spans="1:27" s="64" customFormat="1" ht="9.5" customHeight="1" x14ac:dyDescent="0.25">
      <c r="A193" s="70" t="s">
        <v>61</v>
      </c>
      <c r="B193" s="70" t="s">
        <v>62</v>
      </c>
      <c r="C193" s="70" t="s">
        <v>92</v>
      </c>
      <c r="D193" s="75" t="s">
        <v>370</v>
      </c>
      <c r="E193" s="75" t="s">
        <v>189</v>
      </c>
      <c r="F193" s="116">
        <f t="shared" si="339"/>
        <v>0.7</v>
      </c>
      <c r="G193" s="116">
        <f>(COUNTIFS(L193,"&lt;="&amp;$D$1)*50%)+(COUNTIFS(O193,"&lt;="&amp;$D$1)*20%)+(COUNTIFS(R193,"&lt;="&amp;$D$1)*10%)+(COUNTIFS(U193,"&lt;="&amp;$D$1)*20%)</f>
        <v>0.7</v>
      </c>
      <c r="H193" s="116">
        <f t="shared" si="339"/>
        <v>0.7</v>
      </c>
      <c r="I193" s="116">
        <f t="shared" si="300"/>
        <v>0</v>
      </c>
      <c r="J193" s="81">
        <v>0.1</v>
      </c>
      <c r="K193" s="72">
        <v>46220</v>
      </c>
      <c r="L193" s="72">
        <f t="shared" si="301"/>
        <v>46220</v>
      </c>
      <c r="M193" s="72">
        <v>46178</v>
      </c>
      <c r="N193" s="72">
        <f t="shared" si="302"/>
        <v>46262</v>
      </c>
      <c r="O193" s="72">
        <f t="shared" si="303"/>
        <v>46262</v>
      </c>
      <c r="P193" s="72">
        <v>46248</v>
      </c>
      <c r="Q193" s="72">
        <f t="shared" si="304"/>
        <v>46304</v>
      </c>
      <c r="R193" s="72">
        <f t="shared" si="305"/>
        <v>46304</v>
      </c>
      <c r="S193" s="72"/>
      <c r="T193" s="72">
        <f t="shared" si="306"/>
        <v>46318</v>
      </c>
      <c r="U193" s="72">
        <f t="shared" si="307"/>
        <v>46318</v>
      </c>
      <c r="V193" s="72"/>
      <c r="X193" s="183" t="str">
        <f t="shared" ca="1" si="274"/>
        <v>Completed</v>
      </c>
      <c r="Y193" s="183" t="str">
        <f t="shared" ca="1" si="275"/>
        <v>Completed</v>
      </c>
      <c r="Z193" s="183" t="str">
        <f t="shared" ca="1" si="276"/>
        <v/>
      </c>
      <c r="AA193" s="184" t="str">
        <f t="shared" ca="1" si="277"/>
        <v/>
      </c>
    </row>
    <row r="194" spans="1:27" s="64" customFormat="1" ht="9.5" customHeight="1" x14ac:dyDescent="0.25">
      <c r="A194" s="70" t="s">
        <v>61</v>
      </c>
      <c r="B194" s="70" t="s">
        <v>62</v>
      </c>
      <c r="C194" s="70" t="s">
        <v>92</v>
      </c>
      <c r="D194" s="75" t="s">
        <v>371</v>
      </c>
      <c r="E194" s="75" t="s">
        <v>190</v>
      </c>
      <c r="F194" s="116">
        <f t="shared" si="339"/>
        <v>0.7</v>
      </c>
      <c r="G194" s="116">
        <f t="shared" si="339"/>
        <v>0.7</v>
      </c>
      <c r="H194" s="116">
        <f t="shared" si="339"/>
        <v>0.7</v>
      </c>
      <c r="I194" s="116">
        <f t="shared" si="300"/>
        <v>0</v>
      </c>
      <c r="J194" s="81">
        <v>0.1</v>
      </c>
      <c r="K194" s="72">
        <v>46220</v>
      </c>
      <c r="L194" s="72">
        <f t="shared" si="301"/>
        <v>46220</v>
      </c>
      <c r="M194" s="72">
        <v>46178</v>
      </c>
      <c r="N194" s="72">
        <f t="shared" si="302"/>
        <v>46262</v>
      </c>
      <c r="O194" s="72">
        <f t="shared" si="303"/>
        <v>46262</v>
      </c>
      <c r="P194" s="72">
        <v>46248</v>
      </c>
      <c r="Q194" s="72">
        <f t="shared" si="304"/>
        <v>46304</v>
      </c>
      <c r="R194" s="72">
        <f t="shared" si="305"/>
        <v>46304</v>
      </c>
      <c r="S194" s="72"/>
      <c r="T194" s="72">
        <f t="shared" si="306"/>
        <v>46318</v>
      </c>
      <c r="U194" s="72">
        <f t="shared" si="307"/>
        <v>46318</v>
      </c>
      <c r="V194" s="72"/>
      <c r="X194" s="183" t="str">
        <f t="shared" ca="1" si="274"/>
        <v>Completed</v>
      </c>
      <c r="Y194" s="183" t="str">
        <f t="shared" ca="1" si="275"/>
        <v>Completed</v>
      </c>
      <c r="Z194" s="183" t="str">
        <f t="shared" ca="1" si="276"/>
        <v/>
      </c>
      <c r="AA194" s="184" t="str">
        <f t="shared" ca="1" si="277"/>
        <v/>
      </c>
    </row>
    <row r="195" spans="1:27" s="64" customFormat="1" ht="9.5" customHeight="1" x14ac:dyDescent="0.25">
      <c r="A195" s="70" t="s">
        <v>61</v>
      </c>
      <c r="B195" s="70" t="s">
        <v>62</v>
      </c>
      <c r="C195" s="70" t="s">
        <v>92</v>
      </c>
      <c r="D195" s="75" t="s">
        <v>372</v>
      </c>
      <c r="E195" s="75" t="s">
        <v>191</v>
      </c>
      <c r="F195" s="116">
        <f t="shared" si="339"/>
        <v>0.7</v>
      </c>
      <c r="G195" s="116">
        <f t="shared" si="339"/>
        <v>0.7</v>
      </c>
      <c r="H195" s="116">
        <f>(COUNTIFS(M195,"&lt;="&amp;$D$1)*50%)+(COUNTIFS(P195,"&lt;="&amp;$D$1)*20%)+(COUNTIFS(S195,"&lt;="&amp;$D$1)*10%)+(COUNTIFS(V195,"&lt;="&amp;$D$1)*20%)</f>
        <v>0.7</v>
      </c>
      <c r="I195" s="116">
        <f t="shared" si="300"/>
        <v>0</v>
      </c>
      <c r="J195" s="81">
        <v>0.1</v>
      </c>
      <c r="K195" s="72">
        <v>46220</v>
      </c>
      <c r="L195" s="72">
        <f t="shared" si="301"/>
        <v>46220</v>
      </c>
      <c r="M195" s="72">
        <v>46178</v>
      </c>
      <c r="N195" s="72">
        <f t="shared" si="302"/>
        <v>46262</v>
      </c>
      <c r="O195" s="72">
        <f t="shared" si="303"/>
        <v>46262</v>
      </c>
      <c r="P195" s="72">
        <v>46248</v>
      </c>
      <c r="Q195" s="72">
        <f t="shared" si="304"/>
        <v>46304</v>
      </c>
      <c r="R195" s="72">
        <f t="shared" si="305"/>
        <v>46304</v>
      </c>
      <c r="S195" s="72"/>
      <c r="T195" s="72">
        <f t="shared" si="306"/>
        <v>46318</v>
      </c>
      <c r="U195" s="72">
        <f t="shared" si="307"/>
        <v>46318</v>
      </c>
      <c r="V195" s="72"/>
      <c r="X195" s="183" t="str">
        <f t="shared" ca="1" si="274"/>
        <v>Completed</v>
      </c>
      <c r="Y195" s="183" t="str">
        <f t="shared" ca="1" si="275"/>
        <v>Completed</v>
      </c>
      <c r="Z195" s="183" t="str">
        <f t="shared" ca="1" si="276"/>
        <v/>
      </c>
      <c r="AA195" s="184" t="str">
        <f t="shared" ca="1" si="277"/>
        <v/>
      </c>
    </row>
    <row r="196" spans="1:27" s="64" customFormat="1" ht="9.5" customHeight="1" x14ac:dyDescent="0.25">
      <c r="A196" s="70" t="s">
        <v>61</v>
      </c>
      <c r="B196" s="70" t="s">
        <v>62</v>
      </c>
      <c r="C196" s="70" t="s">
        <v>92</v>
      </c>
      <c r="D196" s="75" t="s">
        <v>430</v>
      </c>
      <c r="E196" s="75" t="s">
        <v>431</v>
      </c>
      <c r="F196" s="116">
        <f t="shared" si="339"/>
        <v>0.7</v>
      </c>
      <c r="G196" s="116">
        <f t="shared" ref="G196" si="340">(COUNTIFS(L196,"&lt;="&amp;$D$1)*50%)+(COUNTIFS(O196,"&lt;="&amp;$D$1)*20%)+(COUNTIFS(R196,"&lt;="&amp;$D$1)*10%)+(COUNTIFS(U196,"&lt;="&amp;$D$1)*20%)</f>
        <v>0.7</v>
      </c>
      <c r="H196" s="116">
        <f>(COUNTIFS(M196,"&lt;="&amp;$D$1)*50%)+(COUNTIFS(P196,"&lt;="&amp;$D$1)*20%)+(COUNTIFS(S196,"&lt;="&amp;$D$1)*10%)+(COUNTIFS(V196,"&lt;="&amp;$D$1)*20%)</f>
        <v>0.7</v>
      </c>
      <c r="I196" s="116">
        <f t="shared" ref="I196" si="341">H196-F196</f>
        <v>0</v>
      </c>
      <c r="J196" s="81">
        <v>0.1</v>
      </c>
      <c r="K196" s="72">
        <v>46220</v>
      </c>
      <c r="L196" s="72">
        <f t="shared" ref="L196" si="342">K196</f>
        <v>46220</v>
      </c>
      <c r="M196" s="72">
        <v>46185</v>
      </c>
      <c r="N196" s="72">
        <f t="shared" ref="N196" si="343">K196+42</f>
        <v>46262</v>
      </c>
      <c r="O196" s="72">
        <f t="shared" ref="O196" si="344">N196</f>
        <v>46262</v>
      </c>
      <c r="P196" s="72">
        <v>46248</v>
      </c>
      <c r="Q196" s="72">
        <f t="shared" ref="Q196" si="345">N196+42</f>
        <v>46304</v>
      </c>
      <c r="R196" s="72">
        <f t="shared" ref="R196" si="346">Q196</f>
        <v>46304</v>
      </c>
      <c r="S196" s="72"/>
      <c r="T196" s="72">
        <f t="shared" ref="T196" si="347">Q196+14</f>
        <v>46318</v>
      </c>
      <c r="U196" s="72">
        <f t="shared" ref="U196" si="348">T196</f>
        <v>46318</v>
      </c>
      <c r="V196" s="72"/>
      <c r="X196" s="183" t="str">
        <f t="shared" ca="1" si="274"/>
        <v>Completed</v>
      </c>
      <c r="Y196" s="183" t="str">
        <f t="shared" ca="1" si="275"/>
        <v>Completed</v>
      </c>
      <c r="Z196" s="183" t="str">
        <f t="shared" ca="1" si="276"/>
        <v/>
      </c>
      <c r="AA196" s="184" t="str">
        <f t="shared" ca="1" si="277"/>
        <v/>
      </c>
    </row>
    <row r="197" spans="1:27" s="64" customFormat="1" ht="9.5" customHeight="1" x14ac:dyDescent="0.25">
      <c r="A197" s="70" t="s">
        <v>61</v>
      </c>
      <c r="B197" s="70" t="s">
        <v>62</v>
      </c>
      <c r="C197" s="70" t="s">
        <v>92</v>
      </c>
      <c r="D197" s="75" t="s">
        <v>373</v>
      </c>
      <c r="E197" s="75" t="s">
        <v>192</v>
      </c>
      <c r="F197" s="116">
        <f t="shared" si="339"/>
        <v>0.7</v>
      </c>
      <c r="G197" s="116">
        <f t="shared" si="339"/>
        <v>0.7</v>
      </c>
      <c r="H197" s="116">
        <f t="shared" si="339"/>
        <v>0.7</v>
      </c>
      <c r="I197" s="116">
        <f t="shared" si="300"/>
        <v>0</v>
      </c>
      <c r="J197" s="81">
        <v>0.1</v>
      </c>
      <c r="K197" s="72">
        <v>46220</v>
      </c>
      <c r="L197" s="72">
        <f t="shared" si="301"/>
        <v>46220</v>
      </c>
      <c r="M197" s="72">
        <v>46171</v>
      </c>
      <c r="N197" s="72">
        <f t="shared" si="302"/>
        <v>46262</v>
      </c>
      <c r="O197" s="72">
        <f t="shared" si="303"/>
        <v>46262</v>
      </c>
      <c r="P197" s="72">
        <v>46262</v>
      </c>
      <c r="Q197" s="72">
        <f t="shared" si="304"/>
        <v>46304</v>
      </c>
      <c r="R197" s="72">
        <f t="shared" si="305"/>
        <v>46304</v>
      </c>
      <c r="S197" s="72"/>
      <c r="T197" s="72">
        <f t="shared" si="306"/>
        <v>46318</v>
      </c>
      <c r="U197" s="72">
        <f t="shared" si="307"/>
        <v>46318</v>
      </c>
      <c r="V197" s="72"/>
      <c r="X197" s="183" t="str">
        <f t="shared" ca="1" si="274"/>
        <v>Completed</v>
      </c>
      <c r="Y197" s="183" t="str">
        <f t="shared" ca="1" si="275"/>
        <v>Completed</v>
      </c>
      <c r="Z197" s="183" t="str">
        <f t="shared" ca="1" si="276"/>
        <v/>
      </c>
      <c r="AA197" s="184" t="str">
        <f t="shared" ca="1" si="277"/>
        <v/>
      </c>
    </row>
    <row r="198" spans="1:27" s="64" customFormat="1" ht="9.5" customHeight="1" x14ac:dyDescent="0.25">
      <c r="A198" s="140" t="s">
        <v>61</v>
      </c>
      <c r="B198" s="140" t="s">
        <v>62</v>
      </c>
      <c r="C198" s="140" t="s">
        <v>92</v>
      </c>
      <c r="D198" s="141" t="s">
        <v>374</v>
      </c>
      <c r="E198" s="141" t="s">
        <v>521</v>
      </c>
      <c r="F198" s="142"/>
      <c r="G198" s="142"/>
      <c r="H198" s="142"/>
      <c r="I198" s="142"/>
      <c r="J198" s="143">
        <v>0.1</v>
      </c>
      <c r="K198" s="144">
        <v>46220</v>
      </c>
      <c r="L198" s="144">
        <f t="shared" si="301"/>
        <v>46220</v>
      </c>
      <c r="M198" s="188">
        <v>46248</v>
      </c>
      <c r="N198" s="144">
        <f t="shared" si="302"/>
        <v>46262</v>
      </c>
      <c r="O198" s="144">
        <f t="shared" si="303"/>
        <v>46262</v>
      </c>
      <c r="P198" s="188">
        <v>46248</v>
      </c>
      <c r="Q198" s="144">
        <f t="shared" si="304"/>
        <v>46304</v>
      </c>
      <c r="R198" s="144">
        <f t="shared" si="305"/>
        <v>46304</v>
      </c>
      <c r="S198" s="188">
        <v>46248</v>
      </c>
      <c r="T198" s="144">
        <f t="shared" si="306"/>
        <v>46318</v>
      </c>
      <c r="U198" s="144">
        <f t="shared" si="307"/>
        <v>46318</v>
      </c>
      <c r="V198" s="188">
        <v>46248</v>
      </c>
      <c r="X198" s="183" t="str">
        <f t="shared" ca="1" si="274"/>
        <v>Completed</v>
      </c>
      <c r="Y198" s="183" t="str">
        <f t="shared" ca="1" si="275"/>
        <v>Completed</v>
      </c>
      <c r="Z198" s="183" t="str">
        <f t="shared" ca="1" si="276"/>
        <v>Completed</v>
      </c>
      <c r="AA198" s="184" t="str">
        <f t="shared" ca="1" si="277"/>
        <v>Completed</v>
      </c>
    </row>
    <row r="199" spans="1:27" s="64" customFormat="1" ht="9.5" customHeight="1" x14ac:dyDescent="0.25">
      <c r="A199" s="70" t="s">
        <v>61</v>
      </c>
      <c r="B199" s="70" t="s">
        <v>62</v>
      </c>
      <c r="C199" s="70" t="s">
        <v>92</v>
      </c>
      <c r="D199" s="75" t="s">
        <v>375</v>
      </c>
      <c r="E199" s="75" t="s">
        <v>193</v>
      </c>
      <c r="F199" s="116">
        <f t="shared" si="339"/>
        <v>0.7</v>
      </c>
      <c r="G199" s="116">
        <f t="shared" si="339"/>
        <v>0.7</v>
      </c>
      <c r="H199" s="116">
        <f t="shared" si="339"/>
        <v>0.7</v>
      </c>
      <c r="I199" s="116">
        <f t="shared" si="300"/>
        <v>0</v>
      </c>
      <c r="J199" s="81">
        <v>0.15</v>
      </c>
      <c r="K199" s="72">
        <v>46220</v>
      </c>
      <c r="L199" s="72">
        <f t="shared" si="301"/>
        <v>46220</v>
      </c>
      <c r="M199" s="72">
        <v>46199</v>
      </c>
      <c r="N199" s="72">
        <f t="shared" si="302"/>
        <v>46262</v>
      </c>
      <c r="O199" s="72">
        <f t="shared" si="303"/>
        <v>46262</v>
      </c>
      <c r="P199" s="74">
        <v>46204</v>
      </c>
      <c r="Q199" s="72">
        <f t="shared" si="304"/>
        <v>46304</v>
      </c>
      <c r="R199" s="72">
        <f t="shared" si="305"/>
        <v>46304</v>
      </c>
      <c r="S199" s="72"/>
      <c r="T199" s="72">
        <f t="shared" si="306"/>
        <v>46318</v>
      </c>
      <c r="U199" s="72">
        <f t="shared" si="307"/>
        <v>46318</v>
      </c>
      <c r="V199" s="72"/>
      <c r="X199" s="183" t="str">
        <f t="shared" ca="1" si="274"/>
        <v>Completed</v>
      </c>
      <c r="Y199" s="183" t="str">
        <f t="shared" ca="1" si="275"/>
        <v>Completed</v>
      </c>
      <c r="Z199" s="183" t="str">
        <f t="shared" ca="1" si="276"/>
        <v/>
      </c>
      <c r="AA199" s="184" t="str">
        <f t="shared" ca="1" si="277"/>
        <v/>
      </c>
    </row>
    <row r="200" spans="1:27" s="64" customFormat="1" ht="9.5" customHeight="1" x14ac:dyDescent="0.25">
      <c r="A200" s="70" t="s">
        <v>61</v>
      </c>
      <c r="B200" s="70" t="s">
        <v>62</v>
      </c>
      <c r="C200" s="70" t="s">
        <v>92</v>
      </c>
      <c r="D200" s="75" t="s">
        <v>376</v>
      </c>
      <c r="E200" s="75" t="s">
        <v>194</v>
      </c>
      <c r="F200" s="116">
        <f t="shared" si="339"/>
        <v>0.7</v>
      </c>
      <c r="G200" s="116">
        <f t="shared" si="339"/>
        <v>0.7</v>
      </c>
      <c r="H200" s="116">
        <f t="shared" si="339"/>
        <v>0.7</v>
      </c>
      <c r="I200" s="116">
        <f t="shared" si="300"/>
        <v>0</v>
      </c>
      <c r="J200" s="81">
        <v>0.15</v>
      </c>
      <c r="K200" s="72">
        <v>46220</v>
      </c>
      <c r="L200" s="72">
        <f t="shared" si="301"/>
        <v>46220</v>
      </c>
      <c r="M200" s="72">
        <v>46199</v>
      </c>
      <c r="N200" s="72">
        <f t="shared" si="302"/>
        <v>46262</v>
      </c>
      <c r="O200" s="72">
        <f t="shared" si="303"/>
        <v>46262</v>
      </c>
      <c r="P200" s="74">
        <v>46204</v>
      </c>
      <c r="Q200" s="72">
        <f t="shared" si="304"/>
        <v>46304</v>
      </c>
      <c r="R200" s="72">
        <f t="shared" si="305"/>
        <v>46304</v>
      </c>
      <c r="S200" s="72"/>
      <c r="T200" s="72">
        <f t="shared" si="306"/>
        <v>46318</v>
      </c>
      <c r="U200" s="72">
        <f t="shared" si="307"/>
        <v>46318</v>
      </c>
      <c r="V200" s="72"/>
      <c r="X200" s="183" t="str">
        <f t="shared" ca="1" si="274"/>
        <v>Completed</v>
      </c>
      <c r="Y200" s="183" t="str">
        <f t="shared" ca="1" si="275"/>
        <v>Completed</v>
      </c>
      <c r="Z200" s="183" t="str">
        <f t="shared" ca="1" si="276"/>
        <v/>
      </c>
      <c r="AA200" s="184" t="str">
        <f t="shared" ca="1" si="277"/>
        <v/>
      </c>
    </row>
    <row r="201" spans="1:27" s="64" customFormat="1" ht="9.5" customHeight="1" x14ac:dyDescent="0.25">
      <c r="A201" s="70" t="s">
        <v>61</v>
      </c>
      <c r="B201" s="70" t="s">
        <v>62</v>
      </c>
      <c r="C201" s="70" t="s">
        <v>92</v>
      </c>
      <c r="D201" s="75" t="s">
        <v>377</v>
      </c>
      <c r="E201" s="75" t="s">
        <v>195</v>
      </c>
      <c r="F201" s="116">
        <f t="shared" si="339"/>
        <v>0.7</v>
      </c>
      <c r="G201" s="116">
        <f t="shared" si="339"/>
        <v>0.7</v>
      </c>
      <c r="H201" s="116">
        <f t="shared" si="339"/>
        <v>0.7</v>
      </c>
      <c r="I201" s="116">
        <f t="shared" si="300"/>
        <v>0</v>
      </c>
      <c r="J201" s="81">
        <v>0.1</v>
      </c>
      <c r="K201" s="72">
        <v>46227</v>
      </c>
      <c r="L201" s="72">
        <f t="shared" si="301"/>
        <v>46227</v>
      </c>
      <c r="M201" s="72">
        <v>46178</v>
      </c>
      <c r="N201" s="72">
        <f t="shared" si="302"/>
        <v>46269</v>
      </c>
      <c r="O201" s="72">
        <f t="shared" si="303"/>
        <v>46269</v>
      </c>
      <c r="P201" s="74">
        <v>46255</v>
      </c>
      <c r="Q201" s="72">
        <f t="shared" si="304"/>
        <v>46311</v>
      </c>
      <c r="R201" s="72">
        <f t="shared" si="305"/>
        <v>46311</v>
      </c>
      <c r="S201" s="72"/>
      <c r="T201" s="72">
        <f t="shared" si="306"/>
        <v>46325</v>
      </c>
      <c r="U201" s="72">
        <f t="shared" si="307"/>
        <v>46325</v>
      </c>
      <c r="V201" s="72"/>
      <c r="X201" s="183" t="str">
        <f t="shared" ca="1" si="274"/>
        <v>Completed</v>
      </c>
      <c r="Y201" s="183" t="str">
        <f t="shared" ca="1" si="275"/>
        <v>Completed</v>
      </c>
      <c r="Z201" s="183" t="str">
        <f t="shared" ca="1" si="276"/>
        <v/>
      </c>
      <c r="AA201" s="184" t="str">
        <f t="shared" ca="1" si="277"/>
        <v/>
      </c>
    </row>
    <row r="202" spans="1:27" s="64" customFormat="1" ht="9.5" customHeight="1" x14ac:dyDescent="0.25">
      <c r="A202" s="70" t="s">
        <v>61</v>
      </c>
      <c r="B202" s="70" t="s">
        <v>62</v>
      </c>
      <c r="C202" s="70" t="s">
        <v>92</v>
      </c>
      <c r="D202" s="75" t="s">
        <v>378</v>
      </c>
      <c r="E202" s="75" t="s">
        <v>196</v>
      </c>
      <c r="F202" s="116">
        <f t="shared" si="339"/>
        <v>0.7</v>
      </c>
      <c r="G202" s="116">
        <f t="shared" si="339"/>
        <v>0.7</v>
      </c>
      <c r="H202" s="116">
        <f t="shared" si="339"/>
        <v>0.7</v>
      </c>
      <c r="I202" s="116">
        <f t="shared" si="300"/>
        <v>0</v>
      </c>
      <c r="J202" s="81">
        <v>0.1</v>
      </c>
      <c r="K202" s="72">
        <v>46227</v>
      </c>
      <c r="L202" s="72">
        <f t="shared" si="301"/>
        <v>46227</v>
      </c>
      <c r="M202" s="72">
        <v>46178</v>
      </c>
      <c r="N202" s="72">
        <f t="shared" si="302"/>
        <v>46269</v>
      </c>
      <c r="O202" s="72">
        <f t="shared" si="303"/>
        <v>46269</v>
      </c>
      <c r="P202" s="74">
        <v>46255</v>
      </c>
      <c r="Q202" s="72">
        <f t="shared" si="304"/>
        <v>46311</v>
      </c>
      <c r="R202" s="72">
        <f t="shared" si="305"/>
        <v>46311</v>
      </c>
      <c r="S202" s="72"/>
      <c r="T202" s="72">
        <f t="shared" si="306"/>
        <v>46325</v>
      </c>
      <c r="U202" s="72">
        <f t="shared" si="307"/>
        <v>46325</v>
      </c>
      <c r="V202" s="72"/>
      <c r="X202" s="183" t="str">
        <f t="shared" ca="1" si="274"/>
        <v>Completed</v>
      </c>
      <c r="Y202" s="183" t="str">
        <f t="shared" ca="1" si="275"/>
        <v>Completed</v>
      </c>
      <c r="Z202" s="183" t="str">
        <f t="shared" ca="1" si="276"/>
        <v/>
      </c>
      <c r="AA202" s="184" t="str">
        <f t="shared" ca="1" si="277"/>
        <v/>
      </c>
    </row>
    <row r="203" spans="1:27" s="64" customFormat="1" ht="9.5" customHeight="1" x14ac:dyDescent="0.25">
      <c r="A203" s="70" t="s">
        <v>61</v>
      </c>
      <c r="B203" s="70" t="s">
        <v>62</v>
      </c>
      <c r="C203" s="70" t="s">
        <v>92</v>
      </c>
      <c r="D203" s="124" t="s">
        <v>379</v>
      </c>
      <c r="E203" s="124" t="s">
        <v>197</v>
      </c>
      <c r="F203" s="125">
        <f t="shared" si="339"/>
        <v>0.7</v>
      </c>
      <c r="G203" s="125">
        <f t="shared" si="339"/>
        <v>0.7</v>
      </c>
      <c r="H203" s="125">
        <f t="shared" si="339"/>
        <v>0.7</v>
      </c>
      <c r="I203" s="125">
        <f t="shared" si="300"/>
        <v>0</v>
      </c>
      <c r="J203" s="81">
        <v>0.1</v>
      </c>
      <c r="K203" s="72">
        <v>46227</v>
      </c>
      <c r="L203" s="74">
        <f t="shared" si="301"/>
        <v>46227</v>
      </c>
      <c r="M203" s="72">
        <v>46178</v>
      </c>
      <c r="N203" s="74">
        <f t="shared" si="302"/>
        <v>46269</v>
      </c>
      <c r="O203" s="74">
        <f t="shared" si="303"/>
        <v>46269</v>
      </c>
      <c r="P203" s="74">
        <v>46255</v>
      </c>
      <c r="Q203" s="74">
        <f t="shared" si="304"/>
        <v>46311</v>
      </c>
      <c r="R203" s="74">
        <f t="shared" si="305"/>
        <v>46311</v>
      </c>
      <c r="S203" s="74"/>
      <c r="T203" s="74">
        <f t="shared" si="306"/>
        <v>46325</v>
      </c>
      <c r="U203" s="74">
        <f t="shared" si="307"/>
        <v>46325</v>
      </c>
      <c r="V203" s="72"/>
      <c r="X203" s="183" t="str">
        <f t="shared" ca="1" si="274"/>
        <v>Completed</v>
      </c>
      <c r="Y203" s="183" t="str">
        <f t="shared" ca="1" si="275"/>
        <v>Completed</v>
      </c>
      <c r="Z203" s="183" t="str">
        <f t="shared" ca="1" si="276"/>
        <v/>
      </c>
      <c r="AA203" s="184" t="str">
        <f t="shared" ca="1" si="277"/>
        <v/>
      </c>
    </row>
    <row r="204" spans="1:27" s="64" customFormat="1" ht="9.5" customHeight="1" x14ac:dyDescent="0.25">
      <c r="A204" s="70" t="s">
        <v>61</v>
      </c>
      <c r="B204" s="70" t="s">
        <v>62</v>
      </c>
      <c r="C204" s="70" t="s">
        <v>92</v>
      </c>
      <c r="D204" s="124" t="s">
        <v>380</v>
      </c>
      <c r="E204" s="124" t="s">
        <v>198</v>
      </c>
      <c r="F204" s="125">
        <f t="shared" si="339"/>
        <v>0.7</v>
      </c>
      <c r="G204" s="125">
        <f t="shared" si="339"/>
        <v>0.7</v>
      </c>
      <c r="H204" s="125">
        <f t="shared" si="339"/>
        <v>0.7</v>
      </c>
      <c r="I204" s="125">
        <f t="shared" si="300"/>
        <v>0</v>
      </c>
      <c r="J204" s="81">
        <v>0.1</v>
      </c>
      <c r="K204" s="72">
        <v>46227</v>
      </c>
      <c r="L204" s="74">
        <f t="shared" si="301"/>
        <v>46227</v>
      </c>
      <c r="M204" s="72">
        <v>46178</v>
      </c>
      <c r="N204" s="74">
        <f t="shared" si="302"/>
        <v>46269</v>
      </c>
      <c r="O204" s="74">
        <f t="shared" si="303"/>
        <v>46269</v>
      </c>
      <c r="P204" s="74">
        <v>46255</v>
      </c>
      <c r="Q204" s="74">
        <f t="shared" si="304"/>
        <v>46311</v>
      </c>
      <c r="R204" s="74">
        <f t="shared" si="305"/>
        <v>46311</v>
      </c>
      <c r="S204" s="74"/>
      <c r="T204" s="74">
        <f t="shared" si="306"/>
        <v>46325</v>
      </c>
      <c r="U204" s="74">
        <f t="shared" si="307"/>
        <v>46325</v>
      </c>
      <c r="V204" s="72"/>
      <c r="X204" s="183" t="str">
        <f t="shared" ca="1" si="274"/>
        <v>Completed</v>
      </c>
      <c r="Y204" s="183" t="str">
        <f t="shared" ca="1" si="275"/>
        <v>Completed</v>
      </c>
      <c r="Z204" s="183" t="str">
        <f t="shared" ca="1" si="276"/>
        <v/>
      </c>
      <c r="AA204" s="184" t="str">
        <f t="shared" ca="1" si="277"/>
        <v/>
      </c>
    </row>
    <row r="205" spans="1:27" s="64" customFormat="1" ht="9.5" customHeight="1" x14ac:dyDescent="0.25">
      <c r="A205" s="70" t="s">
        <v>61</v>
      </c>
      <c r="B205" s="70" t="s">
        <v>62</v>
      </c>
      <c r="C205" s="70" t="s">
        <v>92</v>
      </c>
      <c r="D205" s="124" t="s">
        <v>381</v>
      </c>
      <c r="E205" s="124" t="s">
        <v>199</v>
      </c>
      <c r="F205" s="125">
        <f t="shared" si="339"/>
        <v>0.7</v>
      </c>
      <c r="G205" s="125">
        <f t="shared" si="339"/>
        <v>0.7</v>
      </c>
      <c r="H205" s="125">
        <f t="shared" si="339"/>
        <v>0.7</v>
      </c>
      <c r="I205" s="125">
        <f t="shared" si="300"/>
        <v>0</v>
      </c>
      <c r="J205" s="81">
        <v>0.1</v>
      </c>
      <c r="K205" s="72">
        <v>46227</v>
      </c>
      <c r="L205" s="74">
        <f t="shared" si="301"/>
        <v>46227</v>
      </c>
      <c r="M205" s="72">
        <v>46178</v>
      </c>
      <c r="N205" s="74">
        <f t="shared" si="302"/>
        <v>46269</v>
      </c>
      <c r="O205" s="74">
        <f t="shared" si="303"/>
        <v>46269</v>
      </c>
      <c r="P205" s="74">
        <v>46255</v>
      </c>
      <c r="Q205" s="74">
        <f t="shared" si="304"/>
        <v>46311</v>
      </c>
      <c r="R205" s="74">
        <f t="shared" si="305"/>
        <v>46311</v>
      </c>
      <c r="S205" s="74"/>
      <c r="T205" s="74">
        <f t="shared" si="306"/>
        <v>46325</v>
      </c>
      <c r="U205" s="74">
        <f t="shared" si="307"/>
        <v>46325</v>
      </c>
      <c r="V205" s="74"/>
      <c r="X205" s="183" t="str">
        <f t="shared" ca="1" si="274"/>
        <v>Completed</v>
      </c>
      <c r="Y205" s="183" t="str">
        <f t="shared" ca="1" si="275"/>
        <v>Completed</v>
      </c>
      <c r="Z205" s="183" t="str">
        <f t="shared" ca="1" si="276"/>
        <v/>
      </c>
      <c r="AA205" s="184" t="str">
        <f t="shared" ca="1" si="277"/>
        <v/>
      </c>
    </row>
    <row r="206" spans="1:27" s="64" customFormat="1" ht="9.5" customHeight="1" x14ac:dyDescent="0.25">
      <c r="A206" s="70" t="s">
        <v>61</v>
      </c>
      <c r="B206" s="70" t="s">
        <v>62</v>
      </c>
      <c r="C206" s="70" t="s">
        <v>92</v>
      </c>
      <c r="D206" s="124" t="s">
        <v>382</v>
      </c>
      <c r="E206" s="124" t="s">
        <v>200</v>
      </c>
      <c r="F206" s="125">
        <f t="shared" ref="F206:F209" si="349">(COUNTIFS(K206,"&lt;="&amp;$D$1)*50%)+(COUNTIFS(N206,"&lt;="&amp;$D$1)*20%)+(COUNTIFS(Q206,"&lt;="&amp;$D$1)*10%)+(COUNTIFS(T206,"&lt;="&amp;$D$1)*20%)</f>
        <v>0.7</v>
      </c>
      <c r="G206" s="125">
        <f t="shared" ref="G206:G209" si="350">(COUNTIFS(L206,"&lt;="&amp;$D$1)*50%)+(COUNTIFS(O206,"&lt;="&amp;$D$1)*20%)+(COUNTIFS(R206,"&lt;="&amp;$D$1)*10%)+(COUNTIFS(U206,"&lt;="&amp;$D$1)*20%)</f>
        <v>0.7</v>
      </c>
      <c r="H206" s="125">
        <f t="shared" ref="H206:H209" si="351">(COUNTIFS(M206,"&lt;="&amp;$D$1)*50%)+(COUNTIFS(P206,"&lt;="&amp;$D$1)*20%)+(COUNTIFS(S206,"&lt;="&amp;$D$1)*10%)+(COUNTIFS(V206,"&lt;="&amp;$D$1)*20%)</f>
        <v>0.7</v>
      </c>
      <c r="I206" s="125">
        <f t="shared" ref="I206:I209" si="352">H206-F206</f>
        <v>0</v>
      </c>
      <c r="J206" s="81">
        <v>0.1</v>
      </c>
      <c r="K206" s="72">
        <v>46227</v>
      </c>
      <c r="L206" s="74">
        <f t="shared" si="301"/>
        <v>46227</v>
      </c>
      <c r="M206" s="72">
        <v>46178</v>
      </c>
      <c r="N206" s="74">
        <f t="shared" si="302"/>
        <v>46269</v>
      </c>
      <c r="O206" s="74">
        <f t="shared" si="303"/>
        <v>46269</v>
      </c>
      <c r="P206" s="74">
        <v>46255</v>
      </c>
      <c r="Q206" s="74">
        <f t="shared" si="304"/>
        <v>46311</v>
      </c>
      <c r="R206" s="74">
        <f t="shared" si="305"/>
        <v>46311</v>
      </c>
      <c r="S206" s="74"/>
      <c r="T206" s="74">
        <f t="shared" si="306"/>
        <v>46325</v>
      </c>
      <c r="U206" s="74">
        <f t="shared" si="307"/>
        <v>46325</v>
      </c>
      <c r="V206" s="74"/>
      <c r="X206" s="183" t="str">
        <f t="shared" ca="1" si="274"/>
        <v>Completed</v>
      </c>
      <c r="Y206" s="183" t="str">
        <f t="shared" ca="1" si="275"/>
        <v>Completed</v>
      </c>
      <c r="Z206" s="183" t="str">
        <f t="shared" ca="1" si="276"/>
        <v/>
      </c>
      <c r="AA206" s="184" t="str">
        <f t="shared" ca="1" si="277"/>
        <v/>
      </c>
    </row>
    <row r="207" spans="1:27" s="64" customFormat="1" ht="9.5" customHeight="1" x14ac:dyDescent="0.25">
      <c r="A207" s="70" t="s">
        <v>61</v>
      </c>
      <c r="B207" s="70" t="s">
        <v>62</v>
      </c>
      <c r="C207" s="70" t="s">
        <v>92</v>
      </c>
      <c r="D207" s="124" t="s">
        <v>383</v>
      </c>
      <c r="E207" s="124" t="s">
        <v>201</v>
      </c>
      <c r="F207" s="125">
        <f t="shared" si="349"/>
        <v>0.7</v>
      </c>
      <c r="G207" s="125">
        <f t="shared" si="350"/>
        <v>0.7</v>
      </c>
      <c r="H207" s="125">
        <f t="shared" si="351"/>
        <v>0.7</v>
      </c>
      <c r="I207" s="125">
        <f t="shared" si="352"/>
        <v>0</v>
      </c>
      <c r="J207" s="81">
        <v>0.1</v>
      </c>
      <c r="K207" s="72">
        <v>46227</v>
      </c>
      <c r="L207" s="74">
        <f t="shared" si="301"/>
        <v>46227</v>
      </c>
      <c r="M207" s="72">
        <v>46178</v>
      </c>
      <c r="N207" s="74">
        <f t="shared" si="302"/>
        <v>46269</v>
      </c>
      <c r="O207" s="74">
        <f t="shared" si="303"/>
        <v>46269</v>
      </c>
      <c r="P207" s="74">
        <v>46255</v>
      </c>
      <c r="Q207" s="74">
        <f t="shared" si="304"/>
        <v>46311</v>
      </c>
      <c r="R207" s="74">
        <f t="shared" si="305"/>
        <v>46311</v>
      </c>
      <c r="S207" s="74"/>
      <c r="T207" s="74">
        <f t="shared" si="306"/>
        <v>46325</v>
      </c>
      <c r="U207" s="74">
        <f t="shared" si="307"/>
        <v>46325</v>
      </c>
      <c r="V207" s="74"/>
      <c r="X207" s="183" t="str">
        <f t="shared" ca="1" si="274"/>
        <v>Completed</v>
      </c>
      <c r="Y207" s="183" t="str">
        <f t="shared" ca="1" si="275"/>
        <v>Completed</v>
      </c>
      <c r="Z207" s="183" t="str">
        <f t="shared" ca="1" si="276"/>
        <v/>
      </c>
      <c r="AA207" s="184" t="str">
        <f t="shared" ca="1" si="277"/>
        <v/>
      </c>
    </row>
    <row r="208" spans="1:27" s="64" customFormat="1" ht="9.5" customHeight="1" x14ac:dyDescent="0.25">
      <c r="A208" s="70" t="s">
        <v>61</v>
      </c>
      <c r="B208" s="70" t="s">
        <v>62</v>
      </c>
      <c r="C208" s="70" t="s">
        <v>92</v>
      </c>
      <c r="D208" s="124" t="s">
        <v>384</v>
      </c>
      <c r="E208" s="124" t="s">
        <v>202</v>
      </c>
      <c r="F208" s="125">
        <f t="shared" si="349"/>
        <v>0.7</v>
      </c>
      <c r="G208" s="125">
        <f t="shared" si="350"/>
        <v>0.7</v>
      </c>
      <c r="H208" s="125">
        <f t="shared" si="351"/>
        <v>0.7</v>
      </c>
      <c r="I208" s="125">
        <f t="shared" si="352"/>
        <v>0</v>
      </c>
      <c r="J208" s="81">
        <v>0.1</v>
      </c>
      <c r="K208" s="72">
        <v>46227</v>
      </c>
      <c r="L208" s="74">
        <f t="shared" si="301"/>
        <v>46227</v>
      </c>
      <c r="M208" s="72">
        <v>46178</v>
      </c>
      <c r="N208" s="74">
        <f t="shared" si="302"/>
        <v>46269</v>
      </c>
      <c r="O208" s="74">
        <f t="shared" si="303"/>
        <v>46269</v>
      </c>
      <c r="P208" s="74">
        <v>46255</v>
      </c>
      <c r="Q208" s="74">
        <f t="shared" si="304"/>
        <v>46311</v>
      </c>
      <c r="R208" s="74">
        <f t="shared" si="305"/>
        <v>46311</v>
      </c>
      <c r="S208" s="74"/>
      <c r="T208" s="74">
        <f t="shared" si="306"/>
        <v>46325</v>
      </c>
      <c r="U208" s="74">
        <f t="shared" si="307"/>
        <v>46325</v>
      </c>
      <c r="V208" s="74"/>
      <c r="X208" s="183" t="str">
        <f t="shared" ca="1" si="274"/>
        <v>Completed</v>
      </c>
      <c r="Y208" s="183" t="str">
        <f t="shared" ca="1" si="275"/>
        <v>Completed</v>
      </c>
      <c r="Z208" s="183" t="str">
        <f t="shared" ca="1" si="276"/>
        <v/>
      </c>
      <c r="AA208" s="184" t="str">
        <f t="shared" ca="1" si="277"/>
        <v/>
      </c>
    </row>
    <row r="209" spans="1:27" s="64" customFormat="1" ht="9.5" customHeight="1" x14ac:dyDescent="0.25">
      <c r="A209" s="70" t="s">
        <v>61</v>
      </c>
      <c r="B209" s="70" t="s">
        <v>62</v>
      </c>
      <c r="C209" s="70" t="s">
        <v>92</v>
      </c>
      <c r="D209" s="124" t="s">
        <v>385</v>
      </c>
      <c r="E209" s="124" t="s">
        <v>203</v>
      </c>
      <c r="F209" s="125">
        <f t="shared" si="349"/>
        <v>0.7</v>
      </c>
      <c r="G209" s="125">
        <f t="shared" si="350"/>
        <v>0.7</v>
      </c>
      <c r="H209" s="125">
        <f t="shared" si="351"/>
        <v>0.7</v>
      </c>
      <c r="I209" s="125">
        <f t="shared" si="352"/>
        <v>0</v>
      </c>
      <c r="J209" s="81">
        <v>0.1</v>
      </c>
      <c r="K209" s="72">
        <v>46227</v>
      </c>
      <c r="L209" s="74">
        <f t="shared" si="301"/>
        <v>46227</v>
      </c>
      <c r="M209" s="72">
        <v>46178</v>
      </c>
      <c r="N209" s="74">
        <f t="shared" si="302"/>
        <v>46269</v>
      </c>
      <c r="O209" s="74">
        <f t="shared" si="303"/>
        <v>46269</v>
      </c>
      <c r="P209" s="74">
        <v>46255</v>
      </c>
      <c r="Q209" s="74">
        <f t="shared" si="304"/>
        <v>46311</v>
      </c>
      <c r="R209" s="74">
        <f t="shared" si="305"/>
        <v>46311</v>
      </c>
      <c r="S209" s="74"/>
      <c r="T209" s="74">
        <f t="shared" si="306"/>
        <v>46325</v>
      </c>
      <c r="U209" s="74">
        <f t="shared" si="307"/>
        <v>46325</v>
      </c>
      <c r="V209" s="74"/>
      <c r="X209" s="183" t="str">
        <f t="shared" ca="1" si="274"/>
        <v>Completed</v>
      </c>
      <c r="Y209" s="183" t="str">
        <f t="shared" ca="1" si="275"/>
        <v>Completed</v>
      </c>
      <c r="Z209" s="183" t="str">
        <f t="shared" ca="1" si="276"/>
        <v/>
      </c>
      <c r="AA209" s="184" t="str">
        <f t="shared" ca="1" si="277"/>
        <v/>
      </c>
    </row>
    <row r="210" spans="1:27" s="64" customFormat="1" ht="9.5" customHeight="1" x14ac:dyDescent="0.25">
      <c r="A210" s="70" t="s">
        <v>61</v>
      </c>
      <c r="B210" s="70" t="s">
        <v>62</v>
      </c>
      <c r="C210" s="70" t="s">
        <v>92</v>
      </c>
      <c r="D210" s="124" t="s">
        <v>386</v>
      </c>
      <c r="E210" s="124" t="s">
        <v>204</v>
      </c>
      <c r="F210" s="125">
        <f t="shared" si="339"/>
        <v>0.7</v>
      </c>
      <c r="G210" s="125">
        <f t="shared" si="339"/>
        <v>0.7</v>
      </c>
      <c r="H210" s="125">
        <f t="shared" si="339"/>
        <v>0.7</v>
      </c>
      <c r="I210" s="125">
        <f t="shared" si="300"/>
        <v>0</v>
      </c>
      <c r="J210" s="81">
        <v>0.1</v>
      </c>
      <c r="K210" s="72">
        <v>46227</v>
      </c>
      <c r="L210" s="74">
        <f t="shared" si="301"/>
        <v>46227</v>
      </c>
      <c r="M210" s="72">
        <v>46178</v>
      </c>
      <c r="N210" s="74">
        <f t="shared" si="302"/>
        <v>46269</v>
      </c>
      <c r="O210" s="74">
        <f t="shared" si="303"/>
        <v>46269</v>
      </c>
      <c r="P210" s="74">
        <v>46255</v>
      </c>
      <c r="Q210" s="74">
        <f t="shared" si="304"/>
        <v>46311</v>
      </c>
      <c r="R210" s="74">
        <f t="shared" si="305"/>
        <v>46311</v>
      </c>
      <c r="S210" s="74"/>
      <c r="T210" s="74">
        <f t="shared" si="306"/>
        <v>46325</v>
      </c>
      <c r="U210" s="74">
        <f t="shared" si="307"/>
        <v>46325</v>
      </c>
      <c r="V210" s="72"/>
      <c r="X210" s="183" t="str">
        <f t="shared" ref="X210:X246" ca="1" si="353">IF(OR(M210&lt;&gt;""),"Completed",
IF(L210="","",IF(L210&lt;TODAY(),"Overdue",
IF(AND(L210&gt;=TODAY()-WEEKDAY(TODAY(),2)+1,L210&lt;=TODAY()-WEEKDAY(TODAY(),2)+7),"Follow-This Week",
IF(AND(L210&gt;=TODAY()-WEEKDAY(TODAY(),2)+8,L210&lt;=TODAY()-WEEKDAY(TODAY(),2)+14),"Follow-Next Week","")))))</f>
        <v>Completed</v>
      </c>
      <c r="Y210" s="183" t="str">
        <f t="shared" ref="Y210:Y246" ca="1" si="354">IF(OR(P210&lt;&gt;""),"Completed",IF(O210="","",
IF(O210&lt;TODAY(),"Overdue",
IF(AND(O210&gt;=TODAY()-WEEKDAY(TODAY(),2)+1,O210&lt;=TODAY()-WEEKDAY(TODAY(),2)+7),"Follow-This Week",
IF(AND(O210&gt;=TODAY()-WEEKDAY(TODAY(),2)+8,O210&lt;=TODAY()-WEEKDAY(TODAY(),2)+14),"Follow-Next Week","")))))</f>
        <v>Completed</v>
      </c>
      <c r="Z210" s="183" t="str">
        <f t="shared" ref="Z210:Z246" ca="1" si="355">IF(OR(S210&lt;&gt;""),"Completed",IF(R210="","",
IF(R210&lt;TODAY(),"Overdue",
IF(AND(R210&gt;=TODAY()-WEEKDAY(TODAY(),2)+1,R210&lt;=TODAY()-WEEKDAY(TODAY(),2)+7),"Follow-This Week",
IF(AND(R210&gt;=TODAY()-WEEKDAY(TODAY(),2)+8,R210&lt;=TODAY()-WEEKDAY(TODAY(),2)+14),"Follow-Next Week","")))))</f>
        <v/>
      </c>
      <c r="AA210" s="184" t="str">
        <f t="shared" ref="AA210:AA246" ca="1" si="356">IF(OR(V210&lt;&gt;""),"Completed",IF(U210="","",
IF(U210&lt;TODAY(),"Overdue",
IF(AND(U210&gt;=TODAY()-WEEKDAY(TODAY(),2)+1,U210&lt;=TODAY()-WEEKDAY(TODAY(),2)+7),"Follow-This Week",
IF(AND(U210&gt;=TODAY()-WEEKDAY(TODAY(),2)+8,U210&lt;=TODAY()-WEEKDAY(TODAY(),2)+14),"Follow-Next Week","")))))</f>
        <v/>
      </c>
    </row>
    <row r="211" spans="1:27" s="64" customFormat="1" ht="9.5" customHeight="1" x14ac:dyDescent="0.25">
      <c r="A211" s="70" t="s">
        <v>61</v>
      </c>
      <c r="B211" s="70" t="s">
        <v>62</v>
      </c>
      <c r="C211" s="70" t="s">
        <v>92</v>
      </c>
      <c r="D211" s="124" t="s">
        <v>387</v>
      </c>
      <c r="E211" s="124" t="s">
        <v>205</v>
      </c>
      <c r="F211" s="125">
        <f t="shared" si="339"/>
        <v>0.7</v>
      </c>
      <c r="G211" s="125">
        <f t="shared" si="339"/>
        <v>0.7</v>
      </c>
      <c r="H211" s="125">
        <f t="shared" si="339"/>
        <v>0.7</v>
      </c>
      <c r="I211" s="125">
        <f t="shared" si="300"/>
        <v>0</v>
      </c>
      <c r="J211" s="81">
        <v>0.1</v>
      </c>
      <c r="K211" s="72">
        <v>46227</v>
      </c>
      <c r="L211" s="74">
        <f t="shared" si="301"/>
        <v>46227</v>
      </c>
      <c r="M211" s="72">
        <v>46185</v>
      </c>
      <c r="N211" s="74">
        <f t="shared" si="302"/>
        <v>46269</v>
      </c>
      <c r="O211" s="74">
        <f t="shared" si="303"/>
        <v>46269</v>
      </c>
      <c r="P211" s="74">
        <v>46255</v>
      </c>
      <c r="Q211" s="74">
        <f t="shared" si="304"/>
        <v>46311</v>
      </c>
      <c r="R211" s="74">
        <f t="shared" si="305"/>
        <v>46311</v>
      </c>
      <c r="S211" s="74"/>
      <c r="T211" s="74">
        <f t="shared" si="306"/>
        <v>46325</v>
      </c>
      <c r="U211" s="74">
        <f t="shared" si="307"/>
        <v>46325</v>
      </c>
      <c r="V211" s="72"/>
      <c r="X211" s="183" t="str">
        <f t="shared" ca="1" si="353"/>
        <v>Completed</v>
      </c>
      <c r="Y211" s="183" t="str">
        <f t="shared" ca="1" si="354"/>
        <v>Completed</v>
      </c>
      <c r="Z211" s="183" t="str">
        <f t="shared" ca="1" si="355"/>
        <v/>
      </c>
      <c r="AA211" s="184" t="str">
        <f t="shared" ca="1" si="356"/>
        <v/>
      </c>
    </row>
    <row r="212" spans="1:27" s="64" customFormat="1" ht="9.5" customHeight="1" x14ac:dyDescent="0.25">
      <c r="A212" s="70" t="s">
        <v>61</v>
      </c>
      <c r="B212" s="70" t="s">
        <v>62</v>
      </c>
      <c r="C212" s="70" t="s">
        <v>92</v>
      </c>
      <c r="D212" s="75" t="s">
        <v>388</v>
      </c>
      <c r="E212" s="75" t="s">
        <v>206</v>
      </c>
      <c r="F212" s="116">
        <f t="shared" si="339"/>
        <v>0.7</v>
      </c>
      <c r="G212" s="116">
        <f t="shared" si="339"/>
        <v>0.7</v>
      </c>
      <c r="H212" s="116">
        <f t="shared" si="339"/>
        <v>0.7</v>
      </c>
      <c r="I212" s="116">
        <f t="shared" si="300"/>
        <v>0</v>
      </c>
      <c r="J212" s="81">
        <v>0.1</v>
      </c>
      <c r="K212" s="72">
        <v>46227</v>
      </c>
      <c r="L212" s="72">
        <f t="shared" si="301"/>
        <v>46227</v>
      </c>
      <c r="M212" s="72">
        <v>46178</v>
      </c>
      <c r="N212" s="72">
        <f t="shared" si="302"/>
        <v>46269</v>
      </c>
      <c r="O212" s="72">
        <f t="shared" si="303"/>
        <v>46269</v>
      </c>
      <c r="P212" s="74">
        <v>46255</v>
      </c>
      <c r="Q212" s="72">
        <f t="shared" si="304"/>
        <v>46311</v>
      </c>
      <c r="R212" s="72">
        <f t="shared" si="305"/>
        <v>46311</v>
      </c>
      <c r="S212" s="72"/>
      <c r="T212" s="72">
        <f t="shared" si="306"/>
        <v>46325</v>
      </c>
      <c r="U212" s="72">
        <f t="shared" si="307"/>
        <v>46325</v>
      </c>
      <c r="V212" s="72"/>
      <c r="X212" s="183" t="str">
        <f t="shared" ca="1" si="353"/>
        <v>Completed</v>
      </c>
      <c r="Y212" s="183" t="str">
        <f t="shared" ca="1" si="354"/>
        <v>Completed</v>
      </c>
      <c r="Z212" s="183" t="str">
        <f t="shared" ca="1" si="355"/>
        <v/>
      </c>
      <c r="AA212" s="184" t="str">
        <f t="shared" ca="1" si="356"/>
        <v/>
      </c>
    </row>
    <row r="213" spans="1:27" s="64" customFormat="1" ht="9.5" customHeight="1" x14ac:dyDescent="0.25">
      <c r="A213" s="70" t="s">
        <v>61</v>
      </c>
      <c r="B213" s="70" t="s">
        <v>62</v>
      </c>
      <c r="C213" s="70" t="s">
        <v>92</v>
      </c>
      <c r="D213" s="75" t="s">
        <v>432</v>
      </c>
      <c r="E213" s="75" t="s">
        <v>433</v>
      </c>
      <c r="F213" s="116">
        <f t="shared" si="339"/>
        <v>0.7</v>
      </c>
      <c r="G213" s="125">
        <f t="shared" si="339"/>
        <v>0.7</v>
      </c>
      <c r="H213" s="125">
        <f t="shared" si="339"/>
        <v>0.7</v>
      </c>
      <c r="I213" s="125">
        <f t="shared" si="300"/>
        <v>0</v>
      </c>
      <c r="J213" s="81">
        <v>0.1</v>
      </c>
      <c r="K213" s="72">
        <v>46227</v>
      </c>
      <c r="L213" s="74">
        <f t="shared" ref="L213:L230" si="357">K213</f>
        <v>46227</v>
      </c>
      <c r="M213" s="72">
        <v>46185</v>
      </c>
      <c r="N213" s="74">
        <f t="shared" ref="N213:N230" si="358">K213+42</f>
        <v>46269</v>
      </c>
      <c r="O213" s="74">
        <f t="shared" ref="O213:O230" si="359">N213</f>
        <v>46269</v>
      </c>
      <c r="P213" s="74">
        <v>46255</v>
      </c>
      <c r="Q213" s="74">
        <f t="shared" ref="Q213:Q230" si="360">N213+42</f>
        <v>46311</v>
      </c>
      <c r="R213" s="74">
        <f t="shared" ref="R213:R230" si="361">Q213</f>
        <v>46311</v>
      </c>
      <c r="S213" s="74"/>
      <c r="T213" s="74">
        <f t="shared" ref="T213:T230" si="362">Q213+14</f>
        <v>46325</v>
      </c>
      <c r="U213" s="74">
        <f t="shared" ref="U213:U230" si="363">T213</f>
        <v>46325</v>
      </c>
      <c r="V213" s="72"/>
      <c r="X213" s="183" t="str">
        <f t="shared" ca="1" si="353"/>
        <v>Completed</v>
      </c>
      <c r="Y213" s="183" t="str">
        <f t="shared" ca="1" si="354"/>
        <v>Completed</v>
      </c>
      <c r="Z213" s="183" t="str">
        <f t="shared" ca="1" si="355"/>
        <v/>
      </c>
      <c r="AA213" s="184" t="str">
        <f t="shared" ca="1" si="356"/>
        <v/>
      </c>
    </row>
    <row r="214" spans="1:27" s="64" customFormat="1" ht="9.5" customHeight="1" x14ac:dyDescent="0.25">
      <c r="A214" s="70" t="s">
        <v>61</v>
      </c>
      <c r="B214" s="70" t="s">
        <v>62</v>
      </c>
      <c r="C214" s="70" t="s">
        <v>92</v>
      </c>
      <c r="D214" s="75" t="s">
        <v>434</v>
      </c>
      <c r="E214" s="75" t="s">
        <v>435</v>
      </c>
      <c r="F214" s="116">
        <f t="shared" si="339"/>
        <v>0.7</v>
      </c>
      <c r="G214" s="125">
        <f t="shared" ref="G214:G230" si="364">(COUNTIFS(L214,"&lt;="&amp;$D$1)*50%)+(COUNTIFS(O214,"&lt;="&amp;$D$1)*20%)+(COUNTIFS(R214,"&lt;="&amp;$D$1)*10%)+(COUNTIFS(U214,"&lt;="&amp;$D$1)*20%)</f>
        <v>0.7</v>
      </c>
      <c r="H214" s="125">
        <f t="shared" ref="H214:H230" si="365">(COUNTIFS(M214,"&lt;="&amp;$D$1)*50%)+(COUNTIFS(P214,"&lt;="&amp;$D$1)*20%)+(COUNTIFS(S214,"&lt;="&amp;$D$1)*10%)+(COUNTIFS(V214,"&lt;="&amp;$D$1)*20%)</f>
        <v>0.7</v>
      </c>
      <c r="I214" s="125">
        <f t="shared" ref="I214:I230" si="366">H214-F214</f>
        <v>0</v>
      </c>
      <c r="J214" s="81">
        <v>0.1</v>
      </c>
      <c r="K214" s="72">
        <v>46227</v>
      </c>
      <c r="L214" s="74">
        <f t="shared" si="357"/>
        <v>46227</v>
      </c>
      <c r="M214" s="72">
        <v>46185</v>
      </c>
      <c r="N214" s="74">
        <f t="shared" si="358"/>
        <v>46269</v>
      </c>
      <c r="O214" s="74">
        <f t="shared" si="359"/>
        <v>46269</v>
      </c>
      <c r="P214" s="74">
        <v>46255</v>
      </c>
      <c r="Q214" s="74">
        <f t="shared" si="360"/>
        <v>46311</v>
      </c>
      <c r="R214" s="74">
        <f t="shared" si="361"/>
        <v>46311</v>
      </c>
      <c r="S214" s="74"/>
      <c r="T214" s="74">
        <f t="shared" si="362"/>
        <v>46325</v>
      </c>
      <c r="U214" s="74">
        <f t="shared" si="363"/>
        <v>46325</v>
      </c>
      <c r="V214" s="72"/>
      <c r="X214" s="183" t="str">
        <f t="shared" ca="1" si="353"/>
        <v>Completed</v>
      </c>
      <c r="Y214" s="183" t="str">
        <f t="shared" ca="1" si="354"/>
        <v>Completed</v>
      </c>
      <c r="Z214" s="183" t="str">
        <f t="shared" ca="1" si="355"/>
        <v/>
      </c>
      <c r="AA214" s="184" t="str">
        <f t="shared" ca="1" si="356"/>
        <v/>
      </c>
    </row>
    <row r="215" spans="1:27" s="64" customFormat="1" ht="9.5" customHeight="1" x14ac:dyDescent="0.25">
      <c r="A215" s="140" t="s">
        <v>61</v>
      </c>
      <c r="B215" s="140" t="s">
        <v>62</v>
      </c>
      <c r="C215" s="140" t="s">
        <v>92</v>
      </c>
      <c r="D215" s="141" t="s">
        <v>436</v>
      </c>
      <c r="E215" s="141" t="s">
        <v>523</v>
      </c>
      <c r="F215" s="142"/>
      <c r="G215" s="147"/>
      <c r="H215" s="147"/>
      <c r="I215" s="147"/>
      <c r="J215" s="143">
        <v>0.1</v>
      </c>
      <c r="K215" s="144">
        <v>46227</v>
      </c>
      <c r="L215" s="148">
        <f t="shared" si="357"/>
        <v>46227</v>
      </c>
      <c r="M215" s="188">
        <v>46248</v>
      </c>
      <c r="N215" s="148">
        <f t="shared" si="358"/>
        <v>46269</v>
      </c>
      <c r="O215" s="148">
        <f t="shared" si="359"/>
        <v>46269</v>
      </c>
      <c r="P215" s="188">
        <v>46248</v>
      </c>
      <c r="Q215" s="148">
        <f t="shared" si="360"/>
        <v>46311</v>
      </c>
      <c r="R215" s="148">
        <f t="shared" si="361"/>
        <v>46311</v>
      </c>
      <c r="S215" s="188">
        <v>46248</v>
      </c>
      <c r="T215" s="148">
        <f t="shared" si="362"/>
        <v>46325</v>
      </c>
      <c r="U215" s="148">
        <f t="shared" si="363"/>
        <v>46325</v>
      </c>
      <c r="V215" s="188">
        <v>46248</v>
      </c>
      <c r="X215" s="183" t="str">
        <f t="shared" ca="1" si="353"/>
        <v>Completed</v>
      </c>
      <c r="Y215" s="183" t="str">
        <f t="shared" ca="1" si="354"/>
        <v>Completed</v>
      </c>
      <c r="Z215" s="183" t="str">
        <f t="shared" ca="1" si="355"/>
        <v>Completed</v>
      </c>
      <c r="AA215" s="184" t="str">
        <f t="shared" ca="1" si="356"/>
        <v>Completed</v>
      </c>
    </row>
    <row r="216" spans="1:27" s="64" customFormat="1" ht="9.5" customHeight="1" x14ac:dyDescent="0.25">
      <c r="A216" s="70" t="s">
        <v>61</v>
      </c>
      <c r="B216" s="70" t="s">
        <v>62</v>
      </c>
      <c r="C216" s="70" t="s">
        <v>92</v>
      </c>
      <c r="D216" s="75" t="s">
        <v>436</v>
      </c>
      <c r="E216" s="75" t="s">
        <v>524</v>
      </c>
      <c r="F216" s="116">
        <f t="shared" ref="F216" si="367">(COUNTIFS(K216,"&lt;="&amp;$D$1)*50%)+(COUNTIFS(N216,"&lt;="&amp;$D$1)*20%)+(COUNTIFS(Q216,"&lt;="&amp;$D$1)*10%)+(COUNTIFS(T216,"&lt;="&amp;$D$1)*20%)</f>
        <v>0.5</v>
      </c>
      <c r="G216" s="125">
        <f t="shared" ref="G216" si="368">(COUNTIFS(L216,"&lt;="&amp;$D$1)*50%)+(COUNTIFS(O216,"&lt;="&amp;$D$1)*20%)+(COUNTIFS(R216,"&lt;="&amp;$D$1)*10%)+(COUNTIFS(U216,"&lt;="&amp;$D$1)*20%)</f>
        <v>0.5</v>
      </c>
      <c r="H216" s="125">
        <f t="shared" ref="H216" si="369">(COUNTIFS(M216,"&lt;="&amp;$D$1)*50%)+(COUNTIFS(P216,"&lt;="&amp;$D$1)*20%)+(COUNTIFS(S216,"&lt;="&amp;$D$1)*10%)+(COUNTIFS(V216,"&lt;="&amp;$D$1)*20%)</f>
        <v>0.5</v>
      </c>
      <c r="I216" s="125">
        <f t="shared" ref="I216" si="370">H216-F216</f>
        <v>0</v>
      </c>
      <c r="J216" s="81"/>
      <c r="K216" s="72">
        <v>46255</v>
      </c>
      <c r="L216" s="74">
        <f t="shared" ref="L216" si="371">K216</f>
        <v>46255</v>
      </c>
      <c r="M216" s="74">
        <v>46255</v>
      </c>
      <c r="N216" s="74">
        <f t="shared" ref="N216" si="372">K216+42</f>
        <v>46297</v>
      </c>
      <c r="O216" s="74">
        <f t="shared" ref="O216" si="373">N216</f>
        <v>46297</v>
      </c>
      <c r="P216" s="199"/>
      <c r="Q216" s="74">
        <f t="shared" ref="Q216" si="374">N216+42</f>
        <v>46339</v>
      </c>
      <c r="R216" s="74">
        <f t="shared" ref="R216" si="375">Q216</f>
        <v>46339</v>
      </c>
      <c r="S216" s="199"/>
      <c r="T216" s="74">
        <f t="shared" ref="T216" si="376">Q216+14</f>
        <v>46353</v>
      </c>
      <c r="U216" s="74">
        <f t="shared" ref="U216" si="377">T216</f>
        <v>46353</v>
      </c>
      <c r="V216" s="199"/>
      <c r="X216" s="183" t="str">
        <f t="shared" ref="X216" ca="1" si="378">IF(OR(M216&lt;&gt;""),"Completed",
IF(L216="","",IF(L216&lt;TODAY(),"Overdue",
IF(AND(L216&gt;=TODAY()-WEEKDAY(TODAY(),2)+1,L216&lt;=TODAY()-WEEKDAY(TODAY(),2)+7),"Follow-This Week",
IF(AND(L216&gt;=TODAY()-WEEKDAY(TODAY(),2)+8,L216&lt;=TODAY()-WEEKDAY(TODAY(),2)+14),"Follow-Next Week","")))))</f>
        <v>Completed</v>
      </c>
      <c r="Y216" s="183" t="str">
        <f t="shared" ref="Y216" ca="1" si="379">IF(OR(P216&lt;&gt;""),"Completed",IF(O216="","",
IF(O216&lt;TODAY(),"Overdue",
IF(AND(O216&gt;=TODAY()-WEEKDAY(TODAY(),2)+1,O216&lt;=TODAY()-WEEKDAY(TODAY(),2)+7),"Follow-This Week",
IF(AND(O216&gt;=TODAY()-WEEKDAY(TODAY(),2)+8,O216&lt;=TODAY()-WEEKDAY(TODAY(),2)+14),"Follow-Next Week","")))))</f>
        <v/>
      </c>
      <c r="Z216" s="183" t="str">
        <f t="shared" ref="Z216" ca="1" si="380">IF(OR(S216&lt;&gt;""),"Completed",IF(R216="","",
IF(R216&lt;TODAY(),"Overdue",
IF(AND(R216&gt;=TODAY()-WEEKDAY(TODAY(),2)+1,R216&lt;=TODAY()-WEEKDAY(TODAY(),2)+7),"Follow-This Week",
IF(AND(R216&gt;=TODAY()-WEEKDAY(TODAY(),2)+8,R216&lt;=TODAY()-WEEKDAY(TODAY(),2)+14),"Follow-Next Week","")))))</f>
        <v/>
      </c>
      <c r="AA216" s="184" t="str">
        <f t="shared" ref="AA216" ca="1" si="381">IF(OR(V216&lt;&gt;""),"Completed",IF(U216="","",
IF(U216&lt;TODAY(),"Overdue",
IF(AND(U216&gt;=TODAY()-WEEKDAY(TODAY(),2)+1,U216&lt;=TODAY()-WEEKDAY(TODAY(),2)+7),"Follow-This Week",
IF(AND(U216&gt;=TODAY()-WEEKDAY(TODAY(),2)+8,U216&lt;=TODAY()-WEEKDAY(TODAY(),2)+14),"Follow-Next Week","")))))</f>
        <v/>
      </c>
    </row>
    <row r="217" spans="1:27" s="64" customFormat="1" ht="9.5" customHeight="1" x14ac:dyDescent="0.25">
      <c r="A217" s="70" t="s">
        <v>61</v>
      </c>
      <c r="B217" s="70" t="s">
        <v>62</v>
      </c>
      <c r="C217" s="70" t="s">
        <v>92</v>
      </c>
      <c r="D217" s="75" t="s">
        <v>437</v>
      </c>
      <c r="E217" s="75" t="s">
        <v>438</v>
      </c>
      <c r="F217" s="116">
        <f t="shared" si="339"/>
        <v>0.7</v>
      </c>
      <c r="G217" s="116">
        <f t="shared" si="364"/>
        <v>0.7</v>
      </c>
      <c r="H217" s="116">
        <f t="shared" si="365"/>
        <v>0.7</v>
      </c>
      <c r="I217" s="116">
        <f t="shared" si="366"/>
        <v>0</v>
      </c>
      <c r="J217" s="81">
        <v>0.1</v>
      </c>
      <c r="K217" s="72">
        <v>46227</v>
      </c>
      <c r="L217" s="72">
        <f t="shared" si="357"/>
        <v>46227</v>
      </c>
      <c r="M217" s="74">
        <v>46255</v>
      </c>
      <c r="N217" s="72">
        <f t="shared" si="358"/>
        <v>46269</v>
      </c>
      <c r="O217" s="72">
        <f t="shared" si="359"/>
        <v>46269</v>
      </c>
      <c r="P217" s="200">
        <v>46269</v>
      </c>
      <c r="Q217" s="72">
        <f t="shared" si="360"/>
        <v>46311</v>
      </c>
      <c r="R217" s="72">
        <f t="shared" si="361"/>
        <v>46311</v>
      </c>
      <c r="S217" s="72"/>
      <c r="T217" s="72">
        <f t="shared" si="362"/>
        <v>46325</v>
      </c>
      <c r="U217" s="72">
        <f t="shared" si="363"/>
        <v>46325</v>
      </c>
      <c r="V217" s="72"/>
      <c r="X217" s="183" t="str">
        <f t="shared" ca="1" si="353"/>
        <v>Completed</v>
      </c>
      <c r="Y217" s="183" t="str">
        <f t="shared" ca="1" si="354"/>
        <v>Completed</v>
      </c>
      <c r="Z217" s="183" t="str">
        <f t="shared" ca="1" si="355"/>
        <v/>
      </c>
      <c r="AA217" s="184" t="str">
        <f t="shared" ca="1" si="356"/>
        <v/>
      </c>
    </row>
    <row r="218" spans="1:27" s="64" customFormat="1" ht="9.5" customHeight="1" x14ac:dyDescent="0.25">
      <c r="A218" s="70" t="s">
        <v>61</v>
      </c>
      <c r="B218" s="70" t="s">
        <v>62</v>
      </c>
      <c r="C218" s="70" t="s">
        <v>92</v>
      </c>
      <c r="D218" s="75" t="s">
        <v>439</v>
      </c>
      <c r="E218" s="75" t="s">
        <v>440</v>
      </c>
      <c r="F218" s="116">
        <f t="shared" si="339"/>
        <v>0.7</v>
      </c>
      <c r="G218" s="125">
        <f t="shared" si="364"/>
        <v>0.7</v>
      </c>
      <c r="H218" s="125">
        <f t="shared" si="365"/>
        <v>0</v>
      </c>
      <c r="I218" s="125">
        <f t="shared" si="366"/>
        <v>-0.7</v>
      </c>
      <c r="J218" s="81">
        <v>0.1</v>
      </c>
      <c r="K218" s="72">
        <v>46227</v>
      </c>
      <c r="L218" s="74">
        <f t="shared" si="357"/>
        <v>46227</v>
      </c>
      <c r="M218" s="148"/>
      <c r="N218" s="74">
        <f t="shared" si="358"/>
        <v>46269</v>
      </c>
      <c r="O218" s="74">
        <f t="shared" si="359"/>
        <v>46269</v>
      </c>
      <c r="P218" s="74"/>
      <c r="Q218" s="74">
        <f t="shared" si="360"/>
        <v>46311</v>
      </c>
      <c r="R218" s="74">
        <f t="shared" si="361"/>
        <v>46311</v>
      </c>
      <c r="S218" s="74"/>
      <c r="T218" s="74">
        <f t="shared" si="362"/>
        <v>46325</v>
      </c>
      <c r="U218" s="74">
        <f t="shared" si="363"/>
        <v>46325</v>
      </c>
      <c r="V218" s="72"/>
      <c r="X218" s="183" t="str">
        <f t="shared" ca="1" si="353"/>
        <v>Overdue</v>
      </c>
      <c r="Y218" s="183" t="str">
        <f t="shared" ca="1" si="354"/>
        <v>Overdue</v>
      </c>
      <c r="Z218" s="183" t="str">
        <f t="shared" ca="1" si="355"/>
        <v/>
      </c>
      <c r="AA218" s="184" t="str">
        <f t="shared" ca="1" si="356"/>
        <v/>
      </c>
    </row>
    <row r="219" spans="1:27" s="64" customFormat="1" ht="9.5" customHeight="1" x14ac:dyDescent="0.25">
      <c r="A219" s="70" t="s">
        <v>61</v>
      </c>
      <c r="B219" s="70" t="s">
        <v>62</v>
      </c>
      <c r="C219" s="70" t="s">
        <v>92</v>
      </c>
      <c r="D219" s="75" t="s">
        <v>441</v>
      </c>
      <c r="E219" s="75" t="s">
        <v>442</v>
      </c>
      <c r="F219" s="116">
        <f t="shared" si="339"/>
        <v>0.7</v>
      </c>
      <c r="G219" s="125">
        <f t="shared" si="364"/>
        <v>0.7</v>
      </c>
      <c r="H219" s="125">
        <f t="shared" si="365"/>
        <v>0</v>
      </c>
      <c r="I219" s="125">
        <f t="shared" si="366"/>
        <v>-0.7</v>
      </c>
      <c r="J219" s="81">
        <v>0.1</v>
      </c>
      <c r="K219" s="72">
        <v>46227</v>
      </c>
      <c r="L219" s="74">
        <f t="shared" si="357"/>
        <v>46227</v>
      </c>
      <c r="M219" s="148"/>
      <c r="N219" s="74">
        <f t="shared" si="358"/>
        <v>46269</v>
      </c>
      <c r="O219" s="74">
        <f t="shared" si="359"/>
        <v>46269</v>
      </c>
      <c r="P219" s="74"/>
      <c r="Q219" s="74">
        <f t="shared" si="360"/>
        <v>46311</v>
      </c>
      <c r="R219" s="74">
        <f t="shared" si="361"/>
        <v>46311</v>
      </c>
      <c r="S219" s="74"/>
      <c r="T219" s="74">
        <f t="shared" si="362"/>
        <v>46325</v>
      </c>
      <c r="U219" s="74">
        <f t="shared" si="363"/>
        <v>46325</v>
      </c>
      <c r="V219" s="72"/>
      <c r="X219" s="183" t="str">
        <f t="shared" ca="1" si="353"/>
        <v>Overdue</v>
      </c>
      <c r="Y219" s="183" t="str">
        <f t="shared" ca="1" si="354"/>
        <v>Overdue</v>
      </c>
      <c r="Z219" s="183" t="str">
        <f t="shared" ca="1" si="355"/>
        <v/>
      </c>
      <c r="AA219" s="184" t="str">
        <f t="shared" ca="1" si="356"/>
        <v/>
      </c>
    </row>
    <row r="220" spans="1:27" s="64" customFormat="1" ht="9.5" customHeight="1" x14ac:dyDescent="0.25">
      <c r="A220" s="140" t="s">
        <v>61</v>
      </c>
      <c r="B220" s="140" t="s">
        <v>62</v>
      </c>
      <c r="C220" s="140" t="s">
        <v>92</v>
      </c>
      <c r="D220" s="141" t="s">
        <v>443</v>
      </c>
      <c r="E220" s="141" t="s">
        <v>444</v>
      </c>
      <c r="F220" s="142">
        <f t="shared" si="339"/>
        <v>0.7</v>
      </c>
      <c r="G220" s="147">
        <f t="shared" si="364"/>
        <v>0.7</v>
      </c>
      <c r="H220" s="147">
        <f t="shared" si="365"/>
        <v>1</v>
      </c>
      <c r="I220" s="147">
        <f t="shared" si="366"/>
        <v>0.30000000000000004</v>
      </c>
      <c r="J220" s="143">
        <v>0.1</v>
      </c>
      <c r="K220" s="144">
        <v>46227</v>
      </c>
      <c r="L220" s="148">
        <f t="shared" si="357"/>
        <v>46227</v>
      </c>
      <c r="M220" s="148">
        <v>46255</v>
      </c>
      <c r="N220" s="148">
        <f t="shared" si="358"/>
        <v>46269</v>
      </c>
      <c r="O220" s="148">
        <f t="shared" si="359"/>
        <v>46269</v>
      </c>
      <c r="P220" s="148">
        <v>46255</v>
      </c>
      <c r="Q220" s="148">
        <f t="shared" si="360"/>
        <v>46311</v>
      </c>
      <c r="R220" s="148">
        <f t="shared" si="361"/>
        <v>46311</v>
      </c>
      <c r="S220" s="148">
        <v>46255</v>
      </c>
      <c r="T220" s="148">
        <f t="shared" si="362"/>
        <v>46325</v>
      </c>
      <c r="U220" s="148">
        <f t="shared" si="363"/>
        <v>46325</v>
      </c>
      <c r="V220" s="148">
        <v>46255</v>
      </c>
      <c r="X220" s="183" t="str">
        <f t="shared" ca="1" si="353"/>
        <v>Completed</v>
      </c>
      <c r="Y220" s="183" t="str">
        <f t="shared" ca="1" si="354"/>
        <v>Completed</v>
      </c>
      <c r="Z220" s="183" t="str">
        <f t="shared" ca="1" si="355"/>
        <v>Completed</v>
      </c>
      <c r="AA220" s="184" t="str">
        <f t="shared" ca="1" si="356"/>
        <v>Completed</v>
      </c>
    </row>
    <row r="221" spans="1:27" s="64" customFormat="1" ht="9.5" customHeight="1" x14ac:dyDescent="0.25">
      <c r="A221" s="70" t="s">
        <v>61</v>
      </c>
      <c r="B221" s="70" t="s">
        <v>62</v>
      </c>
      <c r="C221" s="70" t="s">
        <v>92</v>
      </c>
      <c r="D221" s="75" t="s">
        <v>445</v>
      </c>
      <c r="E221" s="75" t="s">
        <v>446</v>
      </c>
      <c r="F221" s="116">
        <f t="shared" si="339"/>
        <v>0.7</v>
      </c>
      <c r="G221" s="116">
        <f t="shared" si="364"/>
        <v>0.7</v>
      </c>
      <c r="H221" s="116">
        <f t="shared" si="365"/>
        <v>0.7</v>
      </c>
      <c r="I221" s="116">
        <f t="shared" si="366"/>
        <v>0</v>
      </c>
      <c r="J221" s="81">
        <v>0.1</v>
      </c>
      <c r="K221" s="72">
        <v>46227</v>
      </c>
      <c r="L221" s="72">
        <f t="shared" si="357"/>
        <v>46227</v>
      </c>
      <c r="M221" s="74">
        <v>46237</v>
      </c>
      <c r="N221" s="72">
        <f t="shared" si="358"/>
        <v>46269</v>
      </c>
      <c r="O221" s="72">
        <f t="shared" si="359"/>
        <v>46269</v>
      </c>
      <c r="P221" s="72">
        <v>46244</v>
      </c>
      <c r="Q221" s="72">
        <f t="shared" si="360"/>
        <v>46311</v>
      </c>
      <c r="R221" s="72">
        <f t="shared" si="361"/>
        <v>46311</v>
      </c>
      <c r="S221" s="72"/>
      <c r="T221" s="72">
        <f t="shared" si="362"/>
        <v>46325</v>
      </c>
      <c r="U221" s="72">
        <f t="shared" si="363"/>
        <v>46325</v>
      </c>
      <c r="V221" s="72"/>
      <c r="X221" s="183" t="str">
        <f t="shared" ca="1" si="353"/>
        <v>Completed</v>
      </c>
      <c r="Y221" s="183" t="str">
        <f t="shared" ca="1" si="354"/>
        <v>Completed</v>
      </c>
      <c r="Z221" s="183" t="str">
        <f t="shared" ca="1" si="355"/>
        <v/>
      </c>
      <c r="AA221" s="184" t="str">
        <f t="shared" ca="1" si="356"/>
        <v/>
      </c>
    </row>
    <row r="222" spans="1:27" s="64" customFormat="1" ht="9.5" customHeight="1" x14ac:dyDescent="0.25">
      <c r="A222" s="70" t="s">
        <v>61</v>
      </c>
      <c r="B222" s="70" t="s">
        <v>62</v>
      </c>
      <c r="C222" s="70" t="s">
        <v>92</v>
      </c>
      <c r="D222" s="75" t="s">
        <v>447</v>
      </c>
      <c r="E222" s="75" t="s">
        <v>448</v>
      </c>
      <c r="F222" s="116">
        <f t="shared" si="339"/>
        <v>0.7</v>
      </c>
      <c r="G222" s="125">
        <f t="shared" si="364"/>
        <v>0.7</v>
      </c>
      <c r="H222" s="125">
        <f t="shared" si="365"/>
        <v>0.7</v>
      </c>
      <c r="I222" s="125">
        <f t="shared" si="366"/>
        <v>0</v>
      </c>
      <c r="J222" s="81">
        <v>0.1</v>
      </c>
      <c r="K222" s="72">
        <v>46227</v>
      </c>
      <c r="L222" s="74">
        <f t="shared" si="357"/>
        <v>46227</v>
      </c>
      <c r="M222" s="74">
        <v>46237</v>
      </c>
      <c r="N222" s="74">
        <f t="shared" si="358"/>
        <v>46269</v>
      </c>
      <c r="O222" s="74">
        <f t="shared" si="359"/>
        <v>46269</v>
      </c>
      <c r="P222" s="72">
        <v>46244</v>
      </c>
      <c r="Q222" s="74">
        <f t="shared" si="360"/>
        <v>46311</v>
      </c>
      <c r="R222" s="74">
        <f t="shared" si="361"/>
        <v>46311</v>
      </c>
      <c r="S222" s="74"/>
      <c r="T222" s="74">
        <f t="shared" si="362"/>
        <v>46325</v>
      </c>
      <c r="U222" s="74">
        <f t="shared" si="363"/>
        <v>46325</v>
      </c>
      <c r="V222" s="72"/>
      <c r="X222" s="183" t="str">
        <f t="shared" ca="1" si="353"/>
        <v>Completed</v>
      </c>
      <c r="Y222" s="183" t="str">
        <f t="shared" ca="1" si="354"/>
        <v>Completed</v>
      </c>
      <c r="Z222" s="183" t="str">
        <f t="shared" ca="1" si="355"/>
        <v/>
      </c>
      <c r="AA222" s="184" t="str">
        <f t="shared" ca="1" si="356"/>
        <v/>
      </c>
    </row>
    <row r="223" spans="1:27" s="64" customFormat="1" ht="9.5" customHeight="1" x14ac:dyDescent="0.25">
      <c r="A223" s="140" t="s">
        <v>61</v>
      </c>
      <c r="B223" s="140" t="s">
        <v>62</v>
      </c>
      <c r="C223" s="140" t="s">
        <v>92</v>
      </c>
      <c r="D223" s="141" t="s">
        <v>449</v>
      </c>
      <c r="E223" s="141" t="s">
        <v>520</v>
      </c>
      <c r="F223" s="142"/>
      <c r="G223" s="147"/>
      <c r="H223" s="147"/>
      <c r="I223" s="147"/>
      <c r="J223" s="143">
        <v>0.1</v>
      </c>
      <c r="K223" s="144">
        <v>46227</v>
      </c>
      <c r="L223" s="148">
        <f t="shared" si="357"/>
        <v>46227</v>
      </c>
      <c r="M223" s="188">
        <v>46248</v>
      </c>
      <c r="N223" s="148">
        <f t="shared" si="358"/>
        <v>46269</v>
      </c>
      <c r="O223" s="148">
        <f t="shared" si="359"/>
        <v>46269</v>
      </c>
      <c r="P223" s="188">
        <v>46248</v>
      </c>
      <c r="Q223" s="148">
        <f t="shared" si="360"/>
        <v>46311</v>
      </c>
      <c r="R223" s="148">
        <f t="shared" si="361"/>
        <v>46311</v>
      </c>
      <c r="S223" s="188">
        <v>46248</v>
      </c>
      <c r="T223" s="148">
        <f t="shared" si="362"/>
        <v>46325</v>
      </c>
      <c r="U223" s="148">
        <f t="shared" si="363"/>
        <v>46325</v>
      </c>
      <c r="V223" s="188">
        <v>46248</v>
      </c>
      <c r="X223" s="183" t="str">
        <f t="shared" ca="1" si="353"/>
        <v>Completed</v>
      </c>
      <c r="Y223" s="183" t="str">
        <f t="shared" ca="1" si="354"/>
        <v>Completed</v>
      </c>
      <c r="Z223" s="183" t="str">
        <f t="shared" ca="1" si="355"/>
        <v>Completed</v>
      </c>
      <c r="AA223" s="184" t="str">
        <f t="shared" ca="1" si="356"/>
        <v>Completed</v>
      </c>
    </row>
    <row r="224" spans="1:27" s="64" customFormat="1" ht="9.5" customHeight="1" x14ac:dyDescent="0.25">
      <c r="A224" s="70" t="s">
        <v>61</v>
      </c>
      <c r="B224" s="70" t="s">
        <v>62</v>
      </c>
      <c r="C224" s="70" t="s">
        <v>92</v>
      </c>
      <c r="D224" s="75" t="s">
        <v>450</v>
      </c>
      <c r="E224" s="75" t="s">
        <v>451</v>
      </c>
      <c r="F224" s="116">
        <f t="shared" si="339"/>
        <v>0.7</v>
      </c>
      <c r="G224" s="125">
        <f t="shared" si="364"/>
        <v>0.7</v>
      </c>
      <c r="H224" s="125">
        <f t="shared" si="365"/>
        <v>0.7</v>
      </c>
      <c r="I224" s="125">
        <f t="shared" si="366"/>
        <v>0</v>
      </c>
      <c r="J224" s="81">
        <v>0.1</v>
      </c>
      <c r="K224" s="72">
        <v>46227</v>
      </c>
      <c r="L224" s="74">
        <f t="shared" si="357"/>
        <v>46227</v>
      </c>
      <c r="M224" s="74">
        <v>46237</v>
      </c>
      <c r="N224" s="74">
        <f t="shared" si="358"/>
        <v>46269</v>
      </c>
      <c r="O224" s="74">
        <f t="shared" si="359"/>
        <v>46269</v>
      </c>
      <c r="P224" s="72">
        <v>46244</v>
      </c>
      <c r="Q224" s="74">
        <f t="shared" si="360"/>
        <v>46311</v>
      </c>
      <c r="R224" s="74">
        <f t="shared" si="361"/>
        <v>46311</v>
      </c>
      <c r="S224" s="74"/>
      <c r="T224" s="74">
        <f t="shared" si="362"/>
        <v>46325</v>
      </c>
      <c r="U224" s="74">
        <f t="shared" si="363"/>
        <v>46325</v>
      </c>
      <c r="V224" s="72"/>
      <c r="X224" s="183" t="str">
        <f t="shared" ca="1" si="353"/>
        <v>Completed</v>
      </c>
      <c r="Y224" s="183" t="str">
        <f t="shared" ca="1" si="354"/>
        <v>Completed</v>
      </c>
      <c r="Z224" s="183" t="str">
        <f t="shared" ca="1" si="355"/>
        <v/>
      </c>
      <c r="AA224" s="184" t="str">
        <f t="shared" ca="1" si="356"/>
        <v/>
      </c>
    </row>
    <row r="225" spans="1:27" s="64" customFormat="1" ht="9.5" customHeight="1" x14ac:dyDescent="0.25">
      <c r="A225" s="70" t="s">
        <v>61</v>
      </c>
      <c r="B225" s="70" t="s">
        <v>62</v>
      </c>
      <c r="C225" s="70" t="s">
        <v>92</v>
      </c>
      <c r="D225" s="75" t="s">
        <v>452</v>
      </c>
      <c r="E225" s="75" t="s">
        <v>453</v>
      </c>
      <c r="F225" s="116">
        <f t="shared" si="339"/>
        <v>0.7</v>
      </c>
      <c r="G225" s="116">
        <f t="shared" si="364"/>
        <v>0.7</v>
      </c>
      <c r="H225" s="116">
        <f t="shared" si="365"/>
        <v>0.7</v>
      </c>
      <c r="I225" s="116">
        <f t="shared" si="366"/>
        <v>0</v>
      </c>
      <c r="J225" s="81">
        <v>0.1</v>
      </c>
      <c r="K225" s="72">
        <v>46227</v>
      </c>
      <c r="L225" s="72">
        <f t="shared" si="357"/>
        <v>46227</v>
      </c>
      <c r="M225" s="74">
        <v>46237</v>
      </c>
      <c r="N225" s="72">
        <f t="shared" si="358"/>
        <v>46269</v>
      </c>
      <c r="O225" s="72">
        <f t="shared" si="359"/>
        <v>46269</v>
      </c>
      <c r="P225" s="72">
        <v>46244</v>
      </c>
      <c r="Q225" s="72">
        <f t="shared" si="360"/>
        <v>46311</v>
      </c>
      <c r="R225" s="72">
        <f t="shared" si="361"/>
        <v>46311</v>
      </c>
      <c r="S225" s="72"/>
      <c r="T225" s="72">
        <f t="shared" si="362"/>
        <v>46325</v>
      </c>
      <c r="U225" s="72">
        <f t="shared" si="363"/>
        <v>46325</v>
      </c>
      <c r="V225" s="72"/>
      <c r="X225" s="183" t="str">
        <f t="shared" ca="1" si="353"/>
        <v>Completed</v>
      </c>
      <c r="Y225" s="183" t="str">
        <f t="shared" ca="1" si="354"/>
        <v>Completed</v>
      </c>
      <c r="Z225" s="183" t="str">
        <f t="shared" ca="1" si="355"/>
        <v/>
      </c>
      <c r="AA225" s="184" t="str">
        <f t="shared" ca="1" si="356"/>
        <v/>
      </c>
    </row>
    <row r="226" spans="1:27" s="64" customFormat="1" ht="9.5" customHeight="1" x14ac:dyDescent="0.25">
      <c r="A226" s="70" t="s">
        <v>61</v>
      </c>
      <c r="B226" s="70" t="s">
        <v>62</v>
      </c>
      <c r="C226" s="70" t="s">
        <v>92</v>
      </c>
      <c r="D226" s="75" t="s">
        <v>454</v>
      </c>
      <c r="E226" s="75" t="s">
        <v>455</v>
      </c>
      <c r="F226" s="116">
        <f t="shared" si="339"/>
        <v>0.7</v>
      </c>
      <c r="G226" s="125">
        <f t="shared" si="364"/>
        <v>0.7</v>
      </c>
      <c r="H226" s="125">
        <f t="shared" si="365"/>
        <v>0.7</v>
      </c>
      <c r="I226" s="125">
        <f t="shared" si="366"/>
        <v>0</v>
      </c>
      <c r="J226" s="81">
        <v>0.1</v>
      </c>
      <c r="K226" s="72">
        <v>46227</v>
      </c>
      <c r="L226" s="74">
        <f t="shared" si="357"/>
        <v>46227</v>
      </c>
      <c r="M226" s="74">
        <v>46237</v>
      </c>
      <c r="N226" s="74">
        <f t="shared" si="358"/>
        <v>46269</v>
      </c>
      <c r="O226" s="74">
        <f t="shared" si="359"/>
        <v>46269</v>
      </c>
      <c r="P226" s="72">
        <v>46244</v>
      </c>
      <c r="Q226" s="74">
        <f t="shared" si="360"/>
        <v>46311</v>
      </c>
      <c r="R226" s="74">
        <f t="shared" si="361"/>
        <v>46311</v>
      </c>
      <c r="S226" s="74"/>
      <c r="T226" s="74">
        <f t="shared" si="362"/>
        <v>46325</v>
      </c>
      <c r="U226" s="74">
        <f t="shared" si="363"/>
        <v>46325</v>
      </c>
      <c r="V226" s="72"/>
      <c r="X226" s="183" t="str">
        <f t="shared" ca="1" si="353"/>
        <v>Completed</v>
      </c>
      <c r="Y226" s="183" t="str">
        <f t="shared" ca="1" si="354"/>
        <v>Completed</v>
      </c>
      <c r="Z226" s="183" t="str">
        <f t="shared" ca="1" si="355"/>
        <v/>
      </c>
      <c r="AA226" s="184" t="str">
        <f t="shared" ca="1" si="356"/>
        <v/>
      </c>
    </row>
    <row r="227" spans="1:27" s="64" customFormat="1" ht="9.5" customHeight="1" x14ac:dyDescent="0.25">
      <c r="A227" s="140" t="s">
        <v>61</v>
      </c>
      <c r="B227" s="140" t="s">
        <v>62</v>
      </c>
      <c r="C227" s="140" t="s">
        <v>92</v>
      </c>
      <c r="D227" s="141" t="s">
        <v>456</v>
      </c>
      <c r="E227" s="141" t="s">
        <v>504</v>
      </c>
      <c r="F227" s="142">
        <f t="shared" si="339"/>
        <v>0.7</v>
      </c>
      <c r="G227" s="147">
        <f t="shared" si="364"/>
        <v>0.7</v>
      </c>
      <c r="H227" s="147">
        <f t="shared" si="365"/>
        <v>1</v>
      </c>
      <c r="I227" s="147">
        <f t="shared" si="366"/>
        <v>0.30000000000000004</v>
      </c>
      <c r="J227" s="143">
        <v>0.1</v>
      </c>
      <c r="K227" s="144">
        <v>46227</v>
      </c>
      <c r="L227" s="148">
        <f t="shared" si="357"/>
        <v>46227</v>
      </c>
      <c r="M227" s="188">
        <v>46234</v>
      </c>
      <c r="N227" s="148">
        <f t="shared" si="358"/>
        <v>46269</v>
      </c>
      <c r="O227" s="148">
        <f t="shared" si="359"/>
        <v>46269</v>
      </c>
      <c r="P227" s="188">
        <v>46234</v>
      </c>
      <c r="Q227" s="148">
        <f t="shared" si="360"/>
        <v>46311</v>
      </c>
      <c r="R227" s="148">
        <f t="shared" si="361"/>
        <v>46311</v>
      </c>
      <c r="S227" s="188">
        <v>46234</v>
      </c>
      <c r="T227" s="148">
        <f t="shared" si="362"/>
        <v>46325</v>
      </c>
      <c r="U227" s="148">
        <f t="shared" si="363"/>
        <v>46325</v>
      </c>
      <c r="V227" s="188">
        <v>46234</v>
      </c>
      <c r="X227" s="183" t="str">
        <f t="shared" ca="1" si="353"/>
        <v>Completed</v>
      </c>
      <c r="Y227" s="183" t="str">
        <f t="shared" ca="1" si="354"/>
        <v>Completed</v>
      </c>
      <c r="Z227" s="183" t="str">
        <f t="shared" ca="1" si="355"/>
        <v>Completed</v>
      </c>
      <c r="AA227" s="184" t="str">
        <f t="shared" ca="1" si="356"/>
        <v>Completed</v>
      </c>
    </row>
    <row r="228" spans="1:27" s="64" customFormat="1" ht="9.5" customHeight="1" x14ac:dyDescent="0.25">
      <c r="A228" s="140" t="s">
        <v>61</v>
      </c>
      <c r="B228" s="140" t="s">
        <v>62</v>
      </c>
      <c r="C228" s="140" t="s">
        <v>92</v>
      </c>
      <c r="D228" s="141" t="s">
        <v>457</v>
      </c>
      <c r="E228" s="141" t="s">
        <v>505</v>
      </c>
      <c r="F228" s="142">
        <f t="shared" si="339"/>
        <v>0.7</v>
      </c>
      <c r="G228" s="147">
        <f t="shared" si="364"/>
        <v>0.7</v>
      </c>
      <c r="H228" s="147">
        <f t="shared" si="365"/>
        <v>1</v>
      </c>
      <c r="I228" s="147">
        <f t="shared" si="366"/>
        <v>0.30000000000000004</v>
      </c>
      <c r="J228" s="143">
        <v>0.1</v>
      </c>
      <c r="K228" s="144">
        <v>46227</v>
      </c>
      <c r="L228" s="148">
        <f t="shared" si="357"/>
        <v>46227</v>
      </c>
      <c r="M228" s="188">
        <v>46234</v>
      </c>
      <c r="N228" s="148">
        <f t="shared" si="358"/>
        <v>46269</v>
      </c>
      <c r="O228" s="148">
        <f t="shared" si="359"/>
        <v>46269</v>
      </c>
      <c r="P228" s="188">
        <v>46234</v>
      </c>
      <c r="Q228" s="148">
        <f t="shared" si="360"/>
        <v>46311</v>
      </c>
      <c r="R228" s="148">
        <f t="shared" si="361"/>
        <v>46311</v>
      </c>
      <c r="S228" s="188">
        <v>46234</v>
      </c>
      <c r="T228" s="148">
        <f t="shared" si="362"/>
        <v>46325</v>
      </c>
      <c r="U228" s="148">
        <f t="shared" si="363"/>
        <v>46325</v>
      </c>
      <c r="V228" s="188">
        <v>46234</v>
      </c>
      <c r="X228" s="183" t="str">
        <f t="shared" ca="1" si="353"/>
        <v>Completed</v>
      </c>
      <c r="Y228" s="183" t="str">
        <f t="shared" ca="1" si="354"/>
        <v>Completed</v>
      </c>
      <c r="Z228" s="183" t="str">
        <f t="shared" ca="1" si="355"/>
        <v>Completed</v>
      </c>
      <c r="AA228" s="184" t="str">
        <f t="shared" ca="1" si="356"/>
        <v>Completed</v>
      </c>
    </row>
    <row r="229" spans="1:27" s="64" customFormat="1" ht="9.5" customHeight="1" x14ac:dyDescent="0.25">
      <c r="A229" s="140" t="s">
        <v>61</v>
      </c>
      <c r="B229" s="140" t="s">
        <v>62</v>
      </c>
      <c r="C229" s="140" t="s">
        <v>92</v>
      </c>
      <c r="D229" s="141" t="s">
        <v>458</v>
      </c>
      <c r="E229" s="141" t="s">
        <v>506</v>
      </c>
      <c r="F229" s="142">
        <f t="shared" si="339"/>
        <v>0.7</v>
      </c>
      <c r="G229" s="142">
        <f t="shared" si="364"/>
        <v>0.7</v>
      </c>
      <c r="H229" s="142">
        <f t="shared" si="365"/>
        <v>1</v>
      </c>
      <c r="I229" s="142">
        <f t="shared" si="366"/>
        <v>0.30000000000000004</v>
      </c>
      <c r="J229" s="143">
        <v>0.1</v>
      </c>
      <c r="K229" s="144">
        <v>46227</v>
      </c>
      <c r="L229" s="144">
        <f t="shared" si="357"/>
        <v>46227</v>
      </c>
      <c r="M229" s="188">
        <v>46234</v>
      </c>
      <c r="N229" s="144">
        <f t="shared" si="358"/>
        <v>46269</v>
      </c>
      <c r="O229" s="144">
        <f t="shared" si="359"/>
        <v>46269</v>
      </c>
      <c r="P229" s="188">
        <v>46234</v>
      </c>
      <c r="Q229" s="144">
        <f t="shared" si="360"/>
        <v>46311</v>
      </c>
      <c r="R229" s="144">
        <f t="shared" si="361"/>
        <v>46311</v>
      </c>
      <c r="S229" s="188">
        <v>46235</v>
      </c>
      <c r="T229" s="144">
        <f t="shared" si="362"/>
        <v>46325</v>
      </c>
      <c r="U229" s="144">
        <f t="shared" si="363"/>
        <v>46325</v>
      </c>
      <c r="V229" s="188">
        <v>46234</v>
      </c>
      <c r="X229" s="183" t="str">
        <f t="shared" ca="1" si="353"/>
        <v>Completed</v>
      </c>
      <c r="Y229" s="183" t="str">
        <f t="shared" ca="1" si="354"/>
        <v>Completed</v>
      </c>
      <c r="Z229" s="183" t="str">
        <f t="shared" ca="1" si="355"/>
        <v>Completed</v>
      </c>
      <c r="AA229" s="184" t="str">
        <f t="shared" ca="1" si="356"/>
        <v>Completed</v>
      </c>
    </row>
    <row r="230" spans="1:27" s="145" customFormat="1" ht="9.5" customHeight="1" x14ac:dyDescent="0.25">
      <c r="A230" s="140" t="s">
        <v>61</v>
      </c>
      <c r="B230" s="140" t="s">
        <v>62</v>
      </c>
      <c r="C230" s="140" t="s">
        <v>92</v>
      </c>
      <c r="D230" s="141" t="s">
        <v>459</v>
      </c>
      <c r="E230" s="141" t="s">
        <v>460</v>
      </c>
      <c r="F230" s="142">
        <f t="shared" si="339"/>
        <v>0.7</v>
      </c>
      <c r="G230" s="147">
        <f t="shared" si="364"/>
        <v>0.7</v>
      </c>
      <c r="H230" s="147">
        <f t="shared" si="365"/>
        <v>1</v>
      </c>
      <c r="I230" s="147">
        <f t="shared" si="366"/>
        <v>0.30000000000000004</v>
      </c>
      <c r="J230" s="143">
        <v>0</v>
      </c>
      <c r="K230" s="144">
        <v>46227</v>
      </c>
      <c r="L230" s="148">
        <f t="shared" si="357"/>
        <v>46227</v>
      </c>
      <c r="M230" s="188">
        <v>46234</v>
      </c>
      <c r="N230" s="148">
        <f t="shared" si="358"/>
        <v>46269</v>
      </c>
      <c r="O230" s="148">
        <f t="shared" si="359"/>
        <v>46269</v>
      </c>
      <c r="P230" s="188">
        <v>46234</v>
      </c>
      <c r="Q230" s="148">
        <f t="shared" si="360"/>
        <v>46311</v>
      </c>
      <c r="R230" s="148">
        <f t="shared" si="361"/>
        <v>46311</v>
      </c>
      <c r="S230" s="188">
        <v>46236</v>
      </c>
      <c r="T230" s="148">
        <f t="shared" si="362"/>
        <v>46325</v>
      </c>
      <c r="U230" s="148">
        <f t="shared" si="363"/>
        <v>46325</v>
      </c>
      <c r="V230" s="188">
        <v>46234</v>
      </c>
      <c r="X230" s="183" t="str">
        <f t="shared" ca="1" si="353"/>
        <v>Completed</v>
      </c>
      <c r="Y230" s="183" t="str">
        <f t="shared" ca="1" si="354"/>
        <v>Completed</v>
      </c>
      <c r="Z230" s="183" t="str">
        <f t="shared" ca="1" si="355"/>
        <v>Completed</v>
      </c>
      <c r="AA230" s="184" t="str">
        <f t="shared" ca="1" si="356"/>
        <v>Completed</v>
      </c>
    </row>
    <row r="231" spans="1:27" s="64" customFormat="1" ht="9.5" customHeight="1" x14ac:dyDescent="0.25">
      <c r="A231" s="70" t="s">
        <v>61</v>
      </c>
      <c r="B231" s="70" t="s">
        <v>62</v>
      </c>
      <c r="C231" s="70" t="s">
        <v>92</v>
      </c>
      <c r="D231" s="75" t="s">
        <v>389</v>
      </c>
      <c r="E231" s="75" t="s">
        <v>207</v>
      </c>
      <c r="F231" s="116">
        <f t="shared" si="339"/>
        <v>0.7</v>
      </c>
      <c r="G231" s="116">
        <f t="shared" si="339"/>
        <v>0.7</v>
      </c>
      <c r="H231" s="116">
        <f t="shared" si="339"/>
        <v>0.7</v>
      </c>
      <c r="I231" s="116">
        <f t="shared" si="300"/>
        <v>0</v>
      </c>
      <c r="J231" s="81">
        <v>0.1</v>
      </c>
      <c r="K231" s="72">
        <v>46227</v>
      </c>
      <c r="L231" s="72">
        <f t="shared" si="301"/>
        <v>46227</v>
      </c>
      <c r="M231" s="72">
        <v>46185</v>
      </c>
      <c r="N231" s="72">
        <f t="shared" si="302"/>
        <v>46269</v>
      </c>
      <c r="O231" s="72">
        <f t="shared" si="303"/>
        <v>46269</v>
      </c>
      <c r="P231" s="74">
        <v>46255</v>
      </c>
      <c r="Q231" s="72">
        <f t="shared" si="304"/>
        <v>46311</v>
      </c>
      <c r="R231" s="72">
        <f t="shared" si="305"/>
        <v>46311</v>
      </c>
      <c r="S231" s="72"/>
      <c r="T231" s="72">
        <f t="shared" si="306"/>
        <v>46325</v>
      </c>
      <c r="U231" s="72">
        <f t="shared" si="307"/>
        <v>46325</v>
      </c>
      <c r="V231" s="72"/>
      <c r="X231" s="183" t="str">
        <f t="shared" ca="1" si="353"/>
        <v>Completed</v>
      </c>
      <c r="Y231" s="183" t="str">
        <f t="shared" ca="1" si="354"/>
        <v>Completed</v>
      </c>
      <c r="Z231" s="183" t="str">
        <f t="shared" ca="1" si="355"/>
        <v/>
      </c>
      <c r="AA231" s="184" t="str">
        <f t="shared" ca="1" si="356"/>
        <v/>
      </c>
    </row>
    <row r="232" spans="1:27" s="64" customFormat="1" ht="9.5" customHeight="1" x14ac:dyDescent="0.25">
      <c r="A232" s="70" t="s">
        <v>61</v>
      </c>
      <c r="B232" s="70" t="s">
        <v>62</v>
      </c>
      <c r="C232" s="70" t="s">
        <v>92</v>
      </c>
      <c r="D232" s="75" t="s">
        <v>390</v>
      </c>
      <c r="E232" s="75" t="s">
        <v>208</v>
      </c>
      <c r="F232" s="116">
        <f t="shared" si="339"/>
        <v>0.7</v>
      </c>
      <c r="G232" s="116">
        <f t="shared" si="339"/>
        <v>0.7</v>
      </c>
      <c r="H232" s="116">
        <f t="shared" si="339"/>
        <v>1</v>
      </c>
      <c r="I232" s="116">
        <f t="shared" si="300"/>
        <v>0.30000000000000004</v>
      </c>
      <c r="J232" s="81">
        <v>0.1</v>
      </c>
      <c r="K232" s="72">
        <v>46227</v>
      </c>
      <c r="L232" s="72">
        <f t="shared" si="301"/>
        <v>46227</v>
      </c>
      <c r="M232" s="72">
        <v>46185</v>
      </c>
      <c r="N232" s="72">
        <f t="shared" si="302"/>
        <v>46269</v>
      </c>
      <c r="O232" s="72">
        <f t="shared" si="303"/>
        <v>46269</v>
      </c>
      <c r="P232" s="72">
        <v>46192</v>
      </c>
      <c r="Q232" s="72">
        <f t="shared" si="304"/>
        <v>46311</v>
      </c>
      <c r="R232" s="72">
        <f t="shared" si="305"/>
        <v>46311</v>
      </c>
      <c r="S232" s="74">
        <v>46255</v>
      </c>
      <c r="T232" s="72">
        <f t="shared" si="306"/>
        <v>46325</v>
      </c>
      <c r="U232" s="72">
        <f t="shared" si="307"/>
        <v>46325</v>
      </c>
      <c r="V232" s="200">
        <v>46269</v>
      </c>
      <c r="X232" s="183" t="str">
        <f t="shared" ca="1" si="353"/>
        <v>Completed</v>
      </c>
      <c r="Y232" s="183" t="str">
        <f t="shared" ca="1" si="354"/>
        <v>Completed</v>
      </c>
      <c r="Z232" s="183" t="str">
        <f t="shared" ca="1" si="355"/>
        <v>Completed</v>
      </c>
      <c r="AA232" s="184" t="str">
        <f t="shared" ca="1" si="356"/>
        <v>Completed</v>
      </c>
    </row>
    <row r="233" spans="1:27" s="64" customFormat="1" ht="9.5" customHeight="1" x14ac:dyDescent="0.25">
      <c r="A233" s="70" t="s">
        <v>61</v>
      </c>
      <c r="B233" s="70" t="s">
        <v>62</v>
      </c>
      <c r="C233" s="70" t="s">
        <v>92</v>
      </c>
      <c r="D233" s="75" t="s">
        <v>391</v>
      </c>
      <c r="E233" s="75" t="s">
        <v>209</v>
      </c>
      <c r="F233" s="116">
        <f t="shared" si="339"/>
        <v>0.7</v>
      </c>
      <c r="G233" s="116">
        <f t="shared" si="339"/>
        <v>0.7</v>
      </c>
      <c r="H233" s="116">
        <f t="shared" si="339"/>
        <v>0.79999999999999993</v>
      </c>
      <c r="I233" s="116">
        <f t="shared" si="300"/>
        <v>9.9999999999999978E-2</v>
      </c>
      <c r="J233" s="81">
        <v>0.1</v>
      </c>
      <c r="K233" s="72">
        <v>46227</v>
      </c>
      <c r="L233" s="72">
        <f t="shared" si="301"/>
        <v>46227</v>
      </c>
      <c r="M233" s="72">
        <v>46185</v>
      </c>
      <c r="N233" s="72">
        <f t="shared" si="302"/>
        <v>46269</v>
      </c>
      <c r="O233" s="72">
        <f t="shared" si="303"/>
        <v>46269</v>
      </c>
      <c r="P233" s="72">
        <v>46192</v>
      </c>
      <c r="Q233" s="72">
        <f t="shared" si="304"/>
        <v>46311</v>
      </c>
      <c r="R233" s="72">
        <f t="shared" si="305"/>
        <v>46311</v>
      </c>
      <c r="S233" s="74">
        <v>46255</v>
      </c>
      <c r="T233" s="72">
        <f t="shared" si="306"/>
        <v>46325</v>
      </c>
      <c r="U233" s="72">
        <f t="shared" si="307"/>
        <v>46325</v>
      </c>
      <c r="V233" s="72"/>
      <c r="X233" s="183" t="str">
        <f t="shared" ca="1" si="353"/>
        <v>Completed</v>
      </c>
      <c r="Y233" s="183" t="str">
        <f t="shared" ca="1" si="354"/>
        <v>Completed</v>
      </c>
      <c r="Z233" s="183" t="str">
        <f t="shared" ca="1" si="355"/>
        <v>Completed</v>
      </c>
      <c r="AA233" s="184" t="str">
        <f t="shared" ca="1" si="356"/>
        <v/>
      </c>
    </row>
    <row r="234" spans="1:27" s="64" customFormat="1" ht="9.5" customHeight="1" x14ac:dyDescent="0.25">
      <c r="A234" s="70" t="s">
        <v>61</v>
      </c>
      <c r="B234" s="70" t="s">
        <v>62</v>
      </c>
      <c r="C234" s="70" t="s">
        <v>92</v>
      </c>
      <c r="D234" s="75" t="s">
        <v>392</v>
      </c>
      <c r="E234" s="75" t="s">
        <v>210</v>
      </c>
      <c r="F234" s="116">
        <f t="shared" si="339"/>
        <v>0.7</v>
      </c>
      <c r="G234" s="116">
        <f t="shared" si="339"/>
        <v>0.7</v>
      </c>
      <c r="H234" s="116">
        <f t="shared" si="339"/>
        <v>0.7</v>
      </c>
      <c r="I234" s="116">
        <f t="shared" si="300"/>
        <v>0</v>
      </c>
      <c r="J234" s="81">
        <v>0.1</v>
      </c>
      <c r="K234" s="72">
        <v>46227</v>
      </c>
      <c r="L234" s="72">
        <f t="shared" si="301"/>
        <v>46227</v>
      </c>
      <c r="M234" s="72">
        <v>46171</v>
      </c>
      <c r="N234" s="72">
        <f t="shared" si="302"/>
        <v>46269</v>
      </c>
      <c r="O234" s="72">
        <f t="shared" si="303"/>
        <v>46269</v>
      </c>
      <c r="P234" s="74">
        <v>46255</v>
      </c>
      <c r="Q234" s="72">
        <f t="shared" si="304"/>
        <v>46311</v>
      </c>
      <c r="R234" s="72">
        <f t="shared" si="305"/>
        <v>46311</v>
      </c>
      <c r="S234" s="72"/>
      <c r="T234" s="72">
        <f t="shared" si="306"/>
        <v>46325</v>
      </c>
      <c r="U234" s="72">
        <f t="shared" si="307"/>
        <v>46325</v>
      </c>
      <c r="V234" s="72"/>
      <c r="X234" s="183" t="str">
        <f t="shared" ca="1" si="353"/>
        <v>Completed</v>
      </c>
      <c r="Y234" s="183" t="str">
        <f t="shared" ca="1" si="354"/>
        <v>Completed</v>
      </c>
      <c r="Z234" s="183" t="str">
        <f t="shared" ca="1" si="355"/>
        <v/>
      </c>
      <c r="AA234" s="184" t="str">
        <f t="shared" ca="1" si="356"/>
        <v/>
      </c>
    </row>
    <row r="235" spans="1:27" s="64" customFormat="1" ht="9.5" customHeight="1" x14ac:dyDescent="0.25">
      <c r="A235" s="70" t="s">
        <v>61</v>
      </c>
      <c r="B235" s="70" t="s">
        <v>62</v>
      </c>
      <c r="C235" s="70" t="s">
        <v>92</v>
      </c>
      <c r="D235" s="75" t="s">
        <v>393</v>
      </c>
      <c r="E235" s="75" t="s">
        <v>211</v>
      </c>
      <c r="F235" s="116">
        <f t="shared" si="339"/>
        <v>0.7</v>
      </c>
      <c r="G235" s="116">
        <f t="shared" si="339"/>
        <v>0.7</v>
      </c>
      <c r="H235" s="116">
        <f t="shared" si="339"/>
        <v>0.7</v>
      </c>
      <c r="I235" s="116">
        <f t="shared" si="300"/>
        <v>0</v>
      </c>
      <c r="J235" s="81">
        <v>0.1</v>
      </c>
      <c r="K235" s="72">
        <v>46227</v>
      </c>
      <c r="L235" s="72">
        <f t="shared" si="301"/>
        <v>46227</v>
      </c>
      <c r="M235" s="72">
        <v>46171</v>
      </c>
      <c r="N235" s="72">
        <f t="shared" si="302"/>
        <v>46269</v>
      </c>
      <c r="O235" s="72">
        <f t="shared" si="303"/>
        <v>46269</v>
      </c>
      <c r="P235" s="74">
        <v>46255</v>
      </c>
      <c r="Q235" s="72">
        <f t="shared" si="304"/>
        <v>46311</v>
      </c>
      <c r="R235" s="72">
        <f t="shared" si="305"/>
        <v>46311</v>
      </c>
      <c r="S235" s="72"/>
      <c r="T235" s="72">
        <f t="shared" si="306"/>
        <v>46325</v>
      </c>
      <c r="U235" s="72">
        <f t="shared" si="307"/>
        <v>46325</v>
      </c>
      <c r="V235" s="72"/>
      <c r="X235" s="183" t="str">
        <f t="shared" ca="1" si="353"/>
        <v>Completed</v>
      </c>
      <c r="Y235" s="183" t="str">
        <f t="shared" ca="1" si="354"/>
        <v>Completed</v>
      </c>
      <c r="Z235" s="183" t="str">
        <f t="shared" ca="1" si="355"/>
        <v/>
      </c>
      <c r="AA235" s="184" t="str">
        <f t="shared" ca="1" si="356"/>
        <v/>
      </c>
    </row>
    <row r="236" spans="1:27" s="64" customFormat="1" ht="9.5" customHeight="1" x14ac:dyDescent="0.25">
      <c r="A236" s="70" t="s">
        <v>61</v>
      </c>
      <c r="B236" s="70" t="s">
        <v>62</v>
      </c>
      <c r="C236" s="70" t="s">
        <v>92</v>
      </c>
      <c r="D236" s="75" t="s">
        <v>394</v>
      </c>
      <c r="E236" s="75" t="s">
        <v>212</v>
      </c>
      <c r="F236" s="116">
        <f t="shared" si="339"/>
        <v>0.7</v>
      </c>
      <c r="G236" s="116">
        <f t="shared" si="339"/>
        <v>0.7</v>
      </c>
      <c r="H236" s="116">
        <f t="shared" si="339"/>
        <v>0.7</v>
      </c>
      <c r="I236" s="116">
        <f t="shared" si="300"/>
        <v>0</v>
      </c>
      <c r="J236" s="81">
        <v>0.1</v>
      </c>
      <c r="K236" s="72">
        <v>46227</v>
      </c>
      <c r="L236" s="72">
        <f t="shared" si="301"/>
        <v>46227</v>
      </c>
      <c r="M236" s="72">
        <v>46248</v>
      </c>
      <c r="N236" s="72">
        <f t="shared" si="302"/>
        <v>46269</v>
      </c>
      <c r="O236" s="72">
        <f t="shared" si="303"/>
        <v>46269</v>
      </c>
      <c r="P236" s="200">
        <v>46269</v>
      </c>
      <c r="Q236" s="72">
        <f t="shared" si="304"/>
        <v>46311</v>
      </c>
      <c r="R236" s="72">
        <f t="shared" si="305"/>
        <v>46311</v>
      </c>
      <c r="S236" s="72"/>
      <c r="T236" s="72">
        <f t="shared" si="306"/>
        <v>46325</v>
      </c>
      <c r="U236" s="72">
        <f t="shared" si="307"/>
        <v>46325</v>
      </c>
      <c r="V236" s="72"/>
      <c r="X236" s="183" t="str">
        <f t="shared" ca="1" si="353"/>
        <v>Completed</v>
      </c>
      <c r="Y236" s="183" t="str">
        <f t="shared" ca="1" si="354"/>
        <v>Completed</v>
      </c>
      <c r="Z236" s="183" t="str">
        <f t="shared" ca="1" si="355"/>
        <v/>
      </c>
      <c r="AA236" s="184" t="str">
        <f t="shared" ca="1" si="356"/>
        <v/>
      </c>
    </row>
    <row r="237" spans="1:27" s="64" customFormat="1" ht="9.5" customHeight="1" x14ac:dyDescent="0.25">
      <c r="A237" s="70" t="s">
        <v>61</v>
      </c>
      <c r="B237" s="70" t="s">
        <v>62</v>
      </c>
      <c r="C237" s="70" t="s">
        <v>92</v>
      </c>
      <c r="D237" s="75" t="s">
        <v>395</v>
      </c>
      <c r="E237" s="75" t="s">
        <v>213</v>
      </c>
      <c r="F237" s="116">
        <f t="shared" si="339"/>
        <v>0.7</v>
      </c>
      <c r="G237" s="116">
        <f t="shared" si="339"/>
        <v>0.7</v>
      </c>
      <c r="H237" s="116">
        <f t="shared" si="339"/>
        <v>0.7</v>
      </c>
      <c r="I237" s="116">
        <f t="shared" si="300"/>
        <v>0</v>
      </c>
      <c r="J237" s="81">
        <v>0.1</v>
      </c>
      <c r="K237" s="72">
        <v>46227</v>
      </c>
      <c r="L237" s="72">
        <f t="shared" si="301"/>
        <v>46227</v>
      </c>
      <c r="M237" s="72">
        <v>46248</v>
      </c>
      <c r="N237" s="72">
        <f t="shared" si="302"/>
        <v>46269</v>
      </c>
      <c r="O237" s="72">
        <f t="shared" si="303"/>
        <v>46269</v>
      </c>
      <c r="P237" s="200">
        <v>46269</v>
      </c>
      <c r="Q237" s="72">
        <f t="shared" si="304"/>
        <v>46311</v>
      </c>
      <c r="R237" s="72">
        <f t="shared" si="305"/>
        <v>46311</v>
      </c>
      <c r="S237" s="72"/>
      <c r="T237" s="72">
        <f t="shared" si="306"/>
        <v>46325</v>
      </c>
      <c r="U237" s="72">
        <f t="shared" si="307"/>
        <v>46325</v>
      </c>
      <c r="V237" s="72"/>
      <c r="X237" s="183" t="str">
        <f t="shared" ca="1" si="353"/>
        <v>Completed</v>
      </c>
      <c r="Y237" s="183" t="str">
        <f t="shared" ca="1" si="354"/>
        <v>Completed</v>
      </c>
      <c r="Z237" s="183" t="str">
        <f t="shared" ca="1" si="355"/>
        <v/>
      </c>
      <c r="AA237" s="184" t="str">
        <f t="shared" ca="1" si="356"/>
        <v/>
      </c>
    </row>
    <row r="238" spans="1:27" s="64" customFormat="1" ht="9.5" customHeight="1" x14ac:dyDescent="0.25">
      <c r="A238" s="70" t="s">
        <v>61</v>
      </c>
      <c r="B238" s="70" t="s">
        <v>62</v>
      </c>
      <c r="C238" s="70" t="s">
        <v>92</v>
      </c>
      <c r="D238" s="75" t="s">
        <v>396</v>
      </c>
      <c r="E238" s="75" t="s">
        <v>214</v>
      </c>
      <c r="F238" s="116">
        <f t="shared" si="339"/>
        <v>0.7</v>
      </c>
      <c r="G238" s="116">
        <f t="shared" si="339"/>
        <v>0.7</v>
      </c>
      <c r="H238" s="116">
        <f t="shared" si="339"/>
        <v>0.7</v>
      </c>
      <c r="I238" s="116">
        <f t="shared" si="300"/>
        <v>0</v>
      </c>
      <c r="J238" s="81">
        <v>0.1</v>
      </c>
      <c r="K238" s="72">
        <v>46227</v>
      </c>
      <c r="L238" s="72">
        <f t="shared" si="301"/>
        <v>46227</v>
      </c>
      <c r="M238" s="72">
        <v>46185</v>
      </c>
      <c r="N238" s="72">
        <f t="shared" si="302"/>
        <v>46269</v>
      </c>
      <c r="O238" s="72">
        <f t="shared" si="303"/>
        <v>46269</v>
      </c>
      <c r="P238" s="74">
        <v>46255</v>
      </c>
      <c r="Q238" s="72">
        <f t="shared" si="304"/>
        <v>46311</v>
      </c>
      <c r="R238" s="72">
        <f t="shared" si="305"/>
        <v>46311</v>
      </c>
      <c r="S238" s="72"/>
      <c r="T238" s="72">
        <f t="shared" si="306"/>
        <v>46325</v>
      </c>
      <c r="U238" s="72">
        <f t="shared" si="307"/>
        <v>46325</v>
      </c>
      <c r="V238" s="72"/>
      <c r="X238" s="183" t="str">
        <f t="shared" ca="1" si="353"/>
        <v>Completed</v>
      </c>
      <c r="Y238" s="183" t="str">
        <f t="shared" ca="1" si="354"/>
        <v>Completed</v>
      </c>
      <c r="Z238" s="183" t="str">
        <f t="shared" ca="1" si="355"/>
        <v/>
      </c>
      <c r="AA238" s="184" t="str">
        <f t="shared" ca="1" si="356"/>
        <v/>
      </c>
    </row>
    <row r="239" spans="1:27" s="64" customFormat="1" ht="9.5" customHeight="1" x14ac:dyDescent="0.25">
      <c r="A239" s="70" t="s">
        <v>61</v>
      </c>
      <c r="B239" s="70" t="s">
        <v>62</v>
      </c>
      <c r="C239" s="70" t="s">
        <v>92</v>
      </c>
      <c r="D239" s="75" t="s">
        <v>397</v>
      </c>
      <c r="E239" s="75" t="s">
        <v>215</v>
      </c>
      <c r="F239" s="116">
        <f t="shared" si="339"/>
        <v>0.7</v>
      </c>
      <c r="G239" s="116">
        <f t="shared" si="339"/>
        <v>0.7</v>
      </c>
      <c r="H239" s="116">
        <f t="shared" si="339"/>
        <v>1</v>
      </c>
      <c r="I239" s="116">
        <f t="shared" si="300"/>
        <v>0.30000000000000004</v>
      </c>
      <c r="J239" s="81">
        <v>0.1</v>
      </c>
      <c r="K239" s="72">
        <v>46227</v>
      </c>
      <c r="L239" s="72">
        <f t="shared" si="301"/>
        <v>46227</v>
      </c>
      <c r="M239" s="72">
        <v>46185</v>
      </c>
      <c r="N239" s="72">
        <f t="shared" si="302"/>
        <v>46269</v>
      </c>
      <c r="O239" s="72">
        <f t="shared" si="303"/>
        <v>46269</v>
      </c>
      <c r="P239" s="72">
        <v>46192</v>
      </c>
      <c r="Q239" s="72">
        <f t="shared" si="304"/>
        <v>46311</v>
      </c>
      <c r="R239" s="72">
        <f t="shared" si="305"/>
        <v>46311</v>
      </c>
      <c r="S239" s="74">
        <v>46255</v>
      </c>
      <c r="T239" s="72">
        <f t="shared" si="306"/>
        <v>46325</v>
      </c>
      <c r="U239" s="72">
        <f t="shared" si="307"/>
        <v>46325</v>
      </c>
      <c r="V239" s="200">
        <v>46269</v>
      </c>
      <c r="X239" s="183" t="str">
        <f t="shared" ca="1" si="353"/>
        <v>Completed</v>
      </c>
      <c r="Y239" s="183" t="str">
        <f t="shared" ca="1" si="354"/>
        <v>Completed</v>
      </c>
      <c r="Z239" s="183" t="str">
        <f t="shared" ca="1" si="355"/>
        <v>Completed</v>
      </c>
      <c r="AA239" s="184" t="str">
        <f t="shared" ca="1" si="356"/>
        <v>Completed</v>
      </c>
    </row>
    <row r="240" spans="1:27" s="64" customFormat="1" ht="9.5" customHeight="1" x14ac:dyDescent="0.25">
      <c r="A240" s="70" t="s">
        <v>61</v>
      </c>
      <c r="B240" s="70" t="s">
        <v>62</v>
      </c>
      <c r="C240" s="70" t="s">
        <v>92</v>
      </c>
      <c r="D240" s="75" t="s">
        <v>398</v>
      </c>
      <c r="E240" s="75" t="s">
        <v>216</v>
      </c>
      <c r="F240" s="116">
        <f t="shared" si="339"/>
        <v>0.7</v>
      </c>
      <c r="G240" s="116">
        <f t="shared" si="339"/>
        <v>0.7</v>
      </c>
      <c r="H240" s="116">
        <f t="shared" si="339"/>
        <v>0.7</v>
      </c>
      <c r="I240" s="116">
        <f t="shared" si="300"/>
        <v>0</v>
      </c>
      <c r="J240" s="81">
        <v>0.1</v>
      </c>
      <c r="K240" s="72">
        <v>46227</v>
      </c>
      <c r="L240" s="72">
        <f t="shared" si="301"/>
        <v>46227</v>
      </c>
      <c r="M240" s="72">
        <v>46171</v>
      </c>
      <c r="N240" s="72">
        <f t="shared" si="302"/>
        <v>46269</v>
      </c>
      <c r="O240" s="72">
        <f t="shared" si="303"/>
        <v>46269</v>
      </c>
      <c r="P240" s="74">
        <v>46255</v>
      </c>
      <c r="Q240" s="72">
        <f t="shared" si="304"/>
        <v>46311</v>
      </c>
      <c r="R240" s="72">
        <f t="shared" si="305"/>
        <v>46311</v>
      </c>
      <c r="S240" s="74"/>
      <c r="T240" s="72">
        <f t="shared" si="306"/>
        <v>46325</v>
      </c>
      <c r="U240" s="72">
        <f t="shared" si="307"/>
        <v>46325</v>
      </c>
      <c r="V240" s="72"/>
      <c r="X240" s="183" t="str">
        <f t="shared" ca="1" si="353"/>
        <v>Completed</v>
      </c>
      <c r="Y240" s="183" t="str">
        <f t="shared" ca="1" si="354"/>
        <v>Completed</v>
      </c>
      <c r="Z240" s="183" t="str">
        <f t="shared" ca="1" si="355"/>
        <v/>
      </c>
      <c r="AA240" s="184" t="str">
        <f t="shared" ca="1" si="356"/>
        <v/>
      </c>
    </row>
    <row r="241" spans="1:27" s="64" customFormat="1" ht="9.5" customHeight="1" x14ac:dyDescent="0.25">
      <c r="A241" s="70" t="s">
        <v>61</v>
      </c>
      <c r="B241" s="70" t="s">
        <v>62</v>
      </c>
      <c r="C241" s="70" t="s">
        <v>92</v>
      </c>
      <c r="D241" s="75" t="s">
        <v>399</v>
      </c>
      <c r="E241" s="75" t="s">
        <v>217</v>
      </c>
      <c r="F241" s="116">
        <f t="shared" si="339"/>
        <v>0.7</v>
      </c>
      <c r="G241" s="116">
        <f t="shared" si="339"/>
        <v>0.7</v>
      </c>
      <c r="H241" s="116">
        <f t="shared" si="339"/>
        <v>0.7</v>
      </c>
      <c r="I241" s="116">
        <f t="shared" si="300"/>
        <v>0</v>
      </c>
      <c r="J241" s="81">
        <v>0.1</v>
      </c>
      <c r="K241" s="72">
        <v>46227</v>
      </c>
      <c r="L241" s="72">
        <f t="shared" si="301"/>
        <v>46227</v>
      </c>
      <c r="M241" s="72">
        <v>46171</v>
      </c>
      <c r="N241" s="72">
        <f t="shared" si="302"/>
        <v>46269</v>
      </c>
      <c r="O241" s="72">
        <f t="shared" si="303"/>
        <v>46269</v>
      </c>
      <c r="P241" s="74">
        <v>46255</v>
      </c>
      <c r="Q241" s="72">
        <f t="shared" si="304"/>
        <v>46311</v>
      </c>
      <c r="R241" s="72">
        <f t="shared" si="305"/>
        <v>46311</v>
      </c>
      <c r="S241" s="74"/>
      <c r="T241" s="72">
        <f t="shared" si="306"/>
        <v>46325</v>
      </c>
      <c r="U241" s="72">
        <f t="shared" si="307"/>
        <v>46325</v>
      </c>
      <c r="V241" s="72"/>
      <c r="X241" s="183" t="str">
        <f t="shared" ca="1" si="353"/>
        <v>Completed</v>
      </c>
      <c r="Y241" s="183" t="str">
        <f t="shared" ca="1" si="354"/>
        <v>Completed</v>
      </c>
      <c r="Z241" s="183" t="str">
        <f t="shared" ca="1" si="355"/>
        <v/>
      </c>
      <c r="AA241" s="184" t="str">
        <f t="shared" ca="1" si="356"/>
        <v/>
      </c>
    </row>
    <row r="242" spans="1:27" s="64" customFormat="1" ht="9.5" customHeight="1" x14ac:dyDescent="0.25">
      <c r="A242" s="70" t="s">
        <v>61</v>
      </c>
      <c r="B242" s="70" t="s">
        <v>62</v>
      </c>
      <c r="C242" s="70" t="s">
        <v>92</v>
      </c>
      <c r="D242" s="75" t="s">
        <v>400</v>
      </c>
      <c r="E242" s="75" t="s">
        <v>218</v>
      </c>
      <c r="F242" s="116">
        <f t="shared" si="339"/>
        <v>0.7</v>
      </c>
      <c r="G242" s="116">
        <f t="shared" si="339"/>
        <v>0.7</v>
      </c>
      <c r="H242" s="116">
        <f t="shared" si="339"/>
        <v>0.7</v>
      </c>
      <c r="I242" s="116">
        <f t="shared" si="300"/>
        <v>0</v>
      </c>
      <c r="J242" s="81">
        <v>0.1</v>
      </c>
      <c r="K242" s="72">
        <v>46227</v>
      </c>
      <c r="L242" s="72">
        <f t="shared" si="301"/>
        <v>46227</v>
      </c>
      <c r="M242" s="72">
        <v>46171</v>
      </c>
      <c r="N242" s="72">
        <f t="shared" si="302"/>
        <v>46269</v>
      </c>
      <c r="O242" s="72">
        <f t="shared" si="303"/>
        <v>46269</v>
      </c>
      <c r="P242" s="74">
        <v>46255</v>
      </c>
      <c r="Q242" s="72">
        <f t="shared" si="304"/>
        <v>46311</v>
      </c>
      <c r="R242" s="72">
        <f t="shared" si="305"/>
        <v>46311</v>
      </c>
      <c r="S242" s="74"/>
      <c r="T242" s="72">
        <f t="shared" si="306"/>
        <v>46325</v>
      </c>
      <c r="U242" s="72">
        <f t="shared" si="307"/>
        <v>46325</v>
      </c>
      <c r="V242" s="72"/>
      <c r="X242" s="183" t="str">
        <f t="shared" ca="1" si="353"/>
        <v>Completed</v>
      </c>
      <c r="Y242" s="183" t="str">
        <f t="shared" ca="1" si="354"/>
        <v>Completed</v>
      </c>
      <c r="Z242" s="183" t="str">
        <f t="shared" ca="1" si="355"/>
        <v/>
      </c>
      <c r="AA242" s="184" t="str">
        <f t="shared" ca="1" si="356"/>
        <v/>
      </c>
    </row>
    <row r="243" spans="1:27" s="64" customFormat="1" ht="9.5" customHeight="1" x14ac:dyDescent="0.25">
      <c r="A243" s="70" t="s">
        <v>61</v>
      </c>
      <c r="B243" s="70" t="s">
        <v>62</v>
      </c>
      <c r="C243" s="70" t="s">
        <v>92</v>
      </c>
      <c r="D243" s="75" t="s">
        <v>401</v>
      </c>
      <c r="E243" s="75" t="s">
        <v>219</v>
      </c>
      <c r="F243" s="116">
        <f t="shared" si="339"/>
        <v>0.7</v>
      </c>
      <c r="G243" s="116">
        <f t="shared" si="339"/>
        <v>0.7</v>
      </c>
      <c r="H243" s="116">
        <f t="shared" si="339"/>
        <v>0.7</v>
      </c>
      <c r="I243" s="116">
        <f t="shared" si="300"/>
        <v>0</v>
      </c>
      <c r="J243" s="81">
        <v>0.1</v>
      </c>
      <c r="K243" s="72">
        <v>46227</v>
      </c>
      <c r="L243" s="72">
        <f t="shared" si="301"/>
        <v>46227</v>
      </c>
      <c r="M243" s="72">
        <v>46171</v>
      </c>
      <c r="N243" s="72">
        <f t="shared" si="302"/>
        <v>46269</v>
      </c>
      <c r="O243" s="72">
        <f t="shared" si="303"/>
        <v>46269</v>
      </c>
      <c r="P243" s="74">
        <v>46255</v>
      </c>
      <c r="Q243" s="72">
        <f t="shared" si="304"/>
        <v>46311</v>
      </c>
      <c r="R243" s="72">
        <f t="shared" si="305"/>
        <v>46311</v>
      </c>
      <c r="S243" s="74"/>
      <c r="T243" s="72">
        <f t="shared" si="306"/>
        <v>46325</v>
      </c>
      <c r="U243" s="72">
        <f t="shared" si="307"/>
        <v>46325</v>
      </c>
      <c r="V243" s="72"/>
      <c r="X243" s="183" t="str">
        <f t="shared" ca="1" si="353"/>
        <v>Completed</v>
      </c>
      <c r="Y243" s="183" t="str">
        <f t="shared" ca="1" si="354"/>
        <v>Completed</v>
      </c>
      <c r="Z243" s="183" t="str">
        <f t="shared" ca="1" si="355"/>
        <v/>
      </c>
      <c r="AA243" s="184" t="str">
        <f t="shared" ca="1" si="356"/>
        <v/>
      </c>
    </row>
    <row r="244" spans="1:27" s="64" customFormat="1" ht="9.5" customHeight="1" x14ac:dyDescent="0.25">
      <c r="A244" s="70" t="s">
        <v>61</v>
      </c>
      <c r="B244" s="70" t="s">
        <v>62</v>
      </c>
      <c r="C244" s="70" t="s">
        <v>92</v>
      </c>
      <c r="D244" s="75" t="s">
        <v>402</v>
      </c>
      <c r="E244" s="75" t="s">
        <v>220</v>
      </c>
      <c r="F244" s="116">
        <f t="shared" si="339"/>
        <v>0.79999999999999993</v>
      </c>
      <c r="G244" s="116">
        <f t="shared" si="339"/>
        <v>0.79999999999999993</v>
      </c>
      <c r="H244" s="116">
        <f t="shared" si="339"/>
        <v>0.7</v>
      </c>
      <c r="I244" s="116">
        <f t="shared" si="300"/>
        <v>-9.9999999999999978E-2</v>
      </c>
      <c r="J244" s="81">
        <v>0.1</v>
      </c>
      <c r="K244" s="72">
        <v>46185</v>
      </c>
      <c r="L244" s="72">
        <f t="shared" si="301"/>
        <v>46185</v>
      </c>
      <c r="M244" s="72">
        <v>46185</v>
      </c>
      <c r="N244" s="72">
        <f t="shared" si="302"/>
        <v>46227</v>
      </c>
      <c r="O244" s="72">
        <f t="shared" si="303"/>
        <v>46227</v>
      </c>
      <c r="P244" s="74">
        <v>46255</v>
      </c>
      <c r="Q244" s="72">
        <f t="shared" si="304"/>
        <v>46269</v>
      </c>
      <c r="R244" s="72">
        <f t="shared" si="305"/>
        <v>46269</v>
      </c>
      <c r="S244" s="74"/>
      <c r="T244" s="72">
        <f t="shared" si="306"/>
        <v>46283</v>
      </c>
      <c r="U244" s="72">
        <f t="shared" si="307"/>
        <v>46283</v>
      </c>
      <c r="V244" s="107"/>
      <c r="X244" s="183" t="str">
        <f t="shared" ca="1" si="353"/>
        <v>Completed</v>
      </c>
      <c r="Y244" s="183" t="str">
        <f t="shared" ca="1" si="354"/>
        <v>Completed</v>
      </c>
      <c r="Z244" s="183" t="str">
        <f t="shared" ca="1" si="355"/>
        <v>Overdue</v>
      </c>
      <c r="AA244" s="184" t="str">
        <f t="shared" ca="1" si="356"/>
        <v/>
      </c>
    </row>
    <row r="245" spans="1:27" s="64" customFormat="1" ht="9.5" customHeight="1" x14ac:dyDescent="0.25">
      <c r="A245" s="70" t="s">
        <v>61</v>
      </c>
      <c r="B245" s="70" t="s">
        <v>62</v>
      </c>
      <c r="C245" s="80" t="s">
        <v>92</v>
      </c>
      <c r="D245" s="124" t="s">
        <v>403</v>
      </c>
      <c r="E245" s="124" t="s">
        <v>221</v>
      </c>
      <c r="F245" s="125">
        <f t="shared" ref="F245" si="382">(COUNTIFS(K245,"&lt;="&amp;$D$1)*50%)+(COUNTIFS(N245,"&lt;="&amp;$D$1)*20%)+(COUNTIFS(Q245,"&lt;="&amp;$D$1)*10%)+(COUNTIFS(T245,"&lt;="&amp;$D$1)*20%)</f>
        <v>0.79999999999999993</v>
      </c>
      <c r="G245" s="125">
        <f t="shared" ref="G245" si="383">(COUNTIFS(L245,"&lt;="&amp;$D$1)*50%)+(COUNTIFS(O245,"&lt;="&amp;$D$1)*20%)+(COUNTIFS(R245,"&lt;="&amp;$D$1)*10%)+(COUNTIFS(U245,"&lt;="&amp;$D$1)*20%)</f>
        <v>0.79999999999999993</v>
      </c>
      <c r="H245" s="125">
        <f t="shared" ref="H245" si="384">(COUNTIFS(M245,"&lt;="&amp;$D$1)*50%)+(COUNTIFS(P245,"&lt;="&amp;$D$1)*20%)+(COUNTIFS(S245,"&lt;="&amp;$D$1)*10%)+(COUNTIFS(V245,"&lt;="&amp;$D$1)*20%)</f>
        <v>0.7</v>
      </c>
      <c r="I245" s="125">
        <f t="shared" ref="I245" si="385">H245-F245</f>
        <v>-9.9999999999999978E-2</v>
      </c>
      <c r="J245" s="81">
        <v>0.1</v>
      </c>
      <c r="K245" s="74">
        <v>46185</v>
      </c>
      <c r="L245" s="74">
        <f t="shared" si="301"/>
        <v>46185</v>
      </c>
      <c r="M245" s="72">
        <v>46185</v>
      </c>
      <c r="N245" s="74">
        <f t="shared" si="302"/>
        <v>46227</v>
      </c>
      <c r="O245" s="74">
        <f t="shared" si="303"/>
        <v>46227</v>
      </c>
      <c r="P245" s="74">
        <v>46255</v>
      </c>
      <c r="Q245" s="74">
        <f t="shared" si="304"/>
        <v>46269</v>
      </c>
      <c r="R245" s="74">
        <f t="shared" si="305"/>
        <v>46269</v>
      </c>
      <c r="S245" s="74"/>
      <c r="T245" s="74">
        <f t="shared" si="306"/>
        <v>46283</v>
      </c>
      <c r="U245" s="74">
        <f t="shared" si="307"/>
        <v>46283</v>
      </c>
      <c r="V245" s="74"/>
      <c r="X245" s="183" t="str">
        <f t="shared" ca="1" si="353"/>
        <v>Completed</v>
      </c>
      <c r="Y245" s="183" t="str">
        <f t="shared" ca="1" si="354"/>
        <v>Completed</v>
      </c>
      <c r="Z245" s="183" t="str">
        <f t="shared" ca="1" si="355"/>
        <v>Overdue</v>
      </c>
      <c r="AA245" s="184" t="str">
        <f t="shared" ca="1" si="356"/>
        <v/>
      </c>
    </row>
    <row r="246" spans="1:27" s="64" customFormat="1" ht="9.5" customHeight="1" x14ac:dyDescent="0.25">
      <c r="A246" s="70" t="s">
        <v>61</v>
      </c>
      <c r="B246" s="70" t="s">
        <v>62</v>
      </c>
      <c r="C246" s="70" t="s">
        <v>92</v>
      </c>
      <c r="D246" s="124" t="s">
        <v>465</v>
      </c>
      <c r="E246" s="124" t="s">
        <v>466</v>
      </c>
      <c r="F246" s="125">
        <f t="shared" ref="F246" si="386">(COUNTIFS(K246,"&lt;="&amp;$D$1)*50%)+(COUNTIFS(N246,"&lt;="&amp;$D$1)*20%)+(COUNTIFS(Q246,"&lt;="&amp;$D$1)*10%)+(COUNTIFS(T246,"&lt;="&amp;$D$1)*20%)</f>
        <v>0.79999999999999993</v>
      </c>
      <c r="G246" s="125">
        <f t="shared" ref="G246" si="387">(COUNTIFS(L246,"&lt;="&amp;$D$1)*50%)+(COUNTIFS(O246,"&lt;="&amp;$D$1)*20%)+(COUNTIFS(R246,"&lt;="&amp;$D$1)*10%)+(COUNTIFS(U246,"&lt;="&amp;$D$1)*20%)</f>
        <v>0.79999999999999993</v>
      </c>
      <c r="H246" s="125">
        <f t="shared" ref="H246" si="388">(COUNTIFS(M246,"&lt;="&amp;$D$1)*50%)+(COUNTIFS(P246,"&lt;="&amp;$D$1)*20%)+(COUNTIFS(S246,"&lt;="&amp;$D$1)*10%)+(COUNTIFS(V246,"&lt;="&amp;$D$1)*20%)</f>
        <v>0.7</v>
      </c>
      <c r="I246" s="125">
        <f t="shared" ref="I246" si="389">H246-F246</f>
        <v>-9.9999999999999978E-2</v>
      </c>
      <c r="J246" s="81">
        <v>0.1</v>
      </c>
      <c r="K246" s="74">
        <v>46185</v>
      </c>
      <c r="L246" s="74">
        <f t="shared" ref="L246" si="390">K246</f>
        <v>46185</v>
      </c>
      <c r="M246" s="72">
        <v>46185</v>
      </c>
      <c r="N246" s="74">
        <f t="shared" ref="N246" si="391">K246+42</f>
        <v>46227</v>
      </c>
      <c r="O246" s="74">
        <f t="shared" ref="O246" si="392">N246</f>
        <v>46227</v>
      </c>
      <c r="P246" s="74">
        <v>46255</v>
      </c>
      <c r="Q246" s="74">
        <f t="shared" ref="Q246" si="393">N246+42</f>
        <v>46269</v>
      </c>
      <c r="R246" s="74">
        <f t="shared" ref="R246" si="394">Q246</f>
        <v>46269</v>
      </c>
      <c r="S246" s="74"/>
      <c r="T246" s="74">
        <f t="shared" ref="T246" si="395">Q246+14</f>
        <v>46283</v>
      </c>
      <c r="U246" s="74">
        <f t="shared" ref="U246" si="396">T246</f>
        <v>46283</v>
      </c>
      <c r="V246" s="74"/>
      <c r="X246" s="183" t="str">
        <f t="shared" ca="1" si="353"/>
        <v>Completed</v>
      </c>
      <c r="Y246" s="183" t="str">
        <f t="shared" ca="1" si="354"/>
        <v>Completed</v>
      </c>
      <c r="Z246" s="183" t="str">
        <f t="shared" ca="1" si="355"/>
        <v>Overdue</v>
      </c>
      <c r="AA246" s="184" t="str">
        <f t="shared" ca="1" si="356"/>
        <v/>
      </c>
    </row>
    <row r="247" spans="1:27" s="64" customFormat="1" ht="10.5" customHeight="1" x14ac:dyDescent="0.25">
      <c r="A247" s="70" t="s">
        <v>61</v>
      </c>
      <c r="B247" s="70" t="s">
        <v>58</v>
      </c>
      <c r="C247" s="70" t="s">
        <v>92</v>
      </c>
      <c r="D247" s="75" t="s">
        <v>238</v>
      </c>
      <c r="E247" s="75" t="s">
        <v>59</v>
      </c>
      <c r="F247" s="116">
        <f t="shared" ref="F247:H250" si="397">(COUNTIFS(K247,"&lt;="&amp;$D$1)*50%)+(COUNTIFS(N247,"&lt;="&amp;$D$1)*20%)+(COUNTIFS(Q247,"&lt;="&amp;$D$1)*10%)+(COUNTIFS(T247,"&lt;="&amp;$D$1)*20%)</f>
        <v>0</v>
      </c>
      <c r="G247" s="116">
        <f t="shared" si="397"/>
        <v>0</v>
      </c>
      <c r="H247" s="116">
        <f t="shared" si="397"/>
        <v>0</v>
      </c>
      <c r="I247" s="116">
        <f t="shared" ref="I247:I249" si="398">H247-F247</f>
        <v>0</v>
      </c>
      <c r="J247" s="89">
        <v>1.5</v>
      </c>
      <c r="K247" s="72"/>
      <c r="L247" s="72"/>
      <c r="M247" s="76"/>
      <c r="N247" s="72"/>
      <c r="O247" s="72"/>
      <c r="P247" s="76"/>
      <c r="Q247" s="72"/>
      <c r="R247" s="72"/>
      <c r="S247" s="76"/>
      <c r="T247" s="72"/>
      <c r="U247" s="72"/>
      <c r="V247" s="72"/>
      <c r="X247" s="183" t="str">
        <f ca="1">IF(OR(M249&lt;&gt;""),"Completed",
IF(L249="","",IF(L249&lt;TODAY(),"Overdue",
IF(AND(L249&gt;=TODAY()-WEEKDAY(TODAY(),2)+1,L249&lt;=TODAY()-WEEKDAY(TODAY(),2)+7),"Follow-This Week",
IF(AND(L249&gt;=TODAY()-WEEKDAY(TODAY(),2)+8,L249&lt;=TODAY()-WEEKDAY(TODAY(),2)+14),"Follow-Next Week","")))))</f>
        <v/>
      </c>
      <c r="Y247" s="183" t="str">
        <f ca="1">IF(OR(P249&lt;&gt;""),"Completed",IF(O249="","",
IF(O249&lt;TODAY(),"Overdue",
IF(AND(O249&gt;=TODAY()-WEEKDAY(TODAY(),2)+1,O249&lt;=TODAY()-WEEKDAY(TODAY(),2)+7),"Follow-This Week",
IF(AND(O249&gt;=TODAY()-WEEKDAY(TODAY(),2)+8,O249&lt;=TODAY()-WEEKDAY(TODAY(),2)+14),"Follow-Next Week","")))))</f>
        <v/>
      </c>
      <c r="Z247" s="183" t="str">
        <f ca="1">IF(OR(S249&lt;&gt;""),"Completed",IF(R249="","",
IF(R249&lt;TODAY(),"Overdue",
IF(AND(R249&gt;=TODAY()-WEEKDAY(TODAY(),2)+1,R249&lt;=TODAY()-WEEKDAY(TODAY(),2)+7),"Follow-This Week",
IF(AND(R249&gt;=TODAY()-WEEKDAY(TODAY(),2)+8,R249&lt;=TODAY()-WEEKDAY(TODAY(),2)+14),"Follow-Next Week","")))))</f>
        <v/>
      </c>
      <c r="AA247" s="184" t="str">
        <f ca="1">IF(OR(V249&lt;&gt;""),"Completed",IF(U249="","",
IF(U249&lt;TODAY(),"Overdue",
IF(AND(U249&gt;=TODAY()-WEEKDAY(TODAY(),2)+1,U249&lt;=TODAY()-WEEKDAY(TODAY(),2)+7),"Follow-This Week",
IF(AND(U249&gt;=TODAY()-WEEKDAY(TODAY(),2)+8,U249&lt;=TODAY()-WEEKDAY(TODAY(),2)+14),"Follow-Next Week","")))))</f>
        <v/>
      </c>
    </row>
    <row r="248" spans="1:27" s="64" customFormat="1" ht="10.5" customHeight="1" x14ac:dyDescent="0.25">
      <c r="A248" s="70" t="s">
        <v>61</v>
      </c>
      <c r="B248" s="70" t="s">
        <v>58</v>
      </c>
      <c r="C248" s="80" t="s">
        <v>92</v>
      </c>
      <c r="D248" s="75" t="s">
        <v>239</v>
      </c>
      <c r="E248" s="75" t="s">
        <v>59</v>
      </c>
      <c r="F248" s="116">
        <f t="shared" si="397"/>
        <v>0</v>
      </c>
      <c r="G248" s="116">
        <f t="shared" si="397"/>
        <v>0</v>
      </c>
      <c r="H248" s="116">
        <f t="shared" si="397"/>
        <v>0</v>
      </c>
      <c r="I248" s="116">
        <f t="shared" si="398"/>
        <v>0</v>
      </c>
      <c r="J248" s="89">
        <v>1.5</v>
      </c>
      <c r="K248" s="72"/>
      <c r="L248" s="72"/>
      <c r="M248" s="76"/>
      <c r="N248" s="72"/>
      <c r="O248" s="72"/>
      <c r="P248" s="76"/>
      <c r="Q248" s="72"/>
      <c r="R248" s="72"/>
      <c r="S248" s="76"/>
      <c r="T248" s="72"/>
      <c r="U248" s="72"/>
      <c r="V248" s="72"/>
      <c r="X248" s="183" t="str">
        <f ca="1">IF(OR(M250&lt;&gt;""),"Completed",
IF(L250="","",IF(L250&lt;TODAY(),"Overdue",
IF(AND(L250&gt;=TODAY()-WEEKDAY(TODAY(),2)+1,L250&lt;=TODAY()-WEEKDAY(TODAY(),2)+7),"Follow-This Week",
IF(AND(L250&gt;=TODAY()-WEEKDAY(TODAY(),2)+8,L250&lt;=TODAY()-WEEKDAY(TODAY(),2)+14),"Follow-Next Week","")))))</f>
        <v/>
      </c>
      <c r="Y248" s="183" t="str">
        <f ca="1">IF(OR(P250&lt;&gt;""),"Completed",IF(O250="","",
IF(O250&lt;TODAY(),"Overdue",
IF(AND(O250&gt;=TODAY()-WEEKDAY(TODAY(),2)+1,O250&lt;=TODAY()-WEEKDAY(TODAY(),2)+7),"Follow-This Week",
IF(AND(O250&gt;=TODAY()-WEEKDAY(TODAY(),2)+8,O250&lt;=TODAY()-WEEKDAY(TODAY(),2)+14),"Follow-Next Week","")))))</f>
        <v/>
      </c>
      <c r="Z248" s="183" t="str">
        <f ca="1">IF(OR(S250&lt;&gt;""),"Completed",IF(R250="","",
IF(R250&lt;TODAY(),"Overdue",
IF(AND(R250&gt;=TODAY()-WEEKDAY(TODAY(),2)+1,R250&lt;=TODAY()-WEEKDAY(TODAY(),2)+7),"Follow-This Week",
IF(AND(R250&gt;=TODAY()-WEEKDAY(TODAY(),2)+8,R250&lt;=TODAY()-WEEKDAY(TODAY(),2)+14),"Follow-Next Week","")))))</f>
        <v/>
      </c>
      <c r="AA248" s="184" t="str">
        <f ca="1">IF(OR(V250&lt;&gt;""),"Completed",IF(U250="","",
IF(U250&lt;TODAY(),"Overdue",
IF(AND(U250&gt;=TODAY()-WEEKDAY(TODAY(),2)+1,U250&lt;=TODAY()-WEEKDAY(TODAY(),2)+7),"Follow-This Week",
IF(AND(U250&gt;=TODAY()-WEEKDAY(TODAY(),2)+8,U250&lt;=TODAY()-WEEKDAY(TODAY(),2)+14),"Follow-Next Week","")))))</f>
        <v/>
      </c>
    </row>
    <row r="249" spans="1:27" s="64" customFormat="1" ht="10.5" customHeight="1" x14ac:dyDescent="0.25">
      <c r="A249" s="70" t="s">
        <v>61</v>
      </c>
      <c r="B249" s="70" t="s">
        <v>58</v>
      </c>
      <c r="C249" s="70" t="s">
        <v>92</v>
      </c>
      <c r="D249" s="75" t="s">
        <v>240</v>
      </c>
      <c r="E249" s="75" t="s">
        <v>59</v>
      </c>
      <c r="F249" s="116">
        <f t="shared" si="397"/>
        <v>0</v>
      </c>
      <c r="G249" s="116">
        <f t="shared" si="397"/>
        <v>0</v>
      </c>
      <c r="H249" s="116">
        <f t="shared" si="397"/>
        <v>0</v>
      </c>
      <c r="I249" s="116">
        <f t="shared" si="398"/>
        <v>0</v>
      </c>
      <c r="J249" s="89">
        <v>1.5</v>
      </c>
      <c r="K249" s="72"/>
      <c r="L249" s="72"/>
      <c r="M249" s="76"/>
      <c r="N249" s="72"/>
      <c r="O249" s="72"/>
      <c r="P249" s="76"/>
      <c r="Q249" s="72"/>
      <c r="R249" s="72"/>
      <c r="S249" s="76"/>
      <c r="T249" s="72"/>
      <c r="U249" s="72"/>
      <c r="V249" s="72"/>
      <c r="X249" s="183" t="str">
        <f ca="1">IF(OR(M251&lt;&gt;""),"Completed",
IF(L251="","",IF(L251&lt;TODAY(),"Overdue",
IF(AND(L251&gt;=TODAY()-WEEKDAY(TODAY(),2)+1,L251&lt;=TODAY()-WEEKDAY(TODAY(),2)+7),"Follow-This Week",
IF(AND(L251&gt;=TODAY()-WEEKDAY(TODAY(),2)+8,L251&lt;=TODAY()-WEEKDAY(TODAY(),2)+14),"Follow-Next Week","")))))</f>
        <v/>
      </c>
      <c r="Y249" s="183" t="str">
        <f ca="1">IF(OR(P251&lt;&gt;""),"Completed",IF(O251="","",
IF(O251&lt;TODAY(),"Overdue",
IF(AND(O251&gt;=TODAY()-WEEKDAY(TODAY(),2)+1,O251&lt;=TODAY()-WEEKDAY(TODAY(),2)+7),"Follow-This Week",
IF(AND(O251&gt;=TODAY()-WEEKDAY(TODAY(),2)+8,O251&lt;=TODAY()-WEEKDAY(TODAY(),2)+14),"Follow-Next Week","")))))</f>
        <v/>
      </c>
      <c r="Z249" s="183" t="str">
        <f ca="1">IF(OR(S251&lt;&gt;""),"Completed",IF(R251="","",
IF(R251&lt;TODAY(),"Overdue",
IF(AND(R251&gt;=TODAY()-WEEKDAY(TODAY(),2)+1,R251&lt;=TODAY()-WEEKDAY(TODAY(),2)+7),"Follow-This Week",
IF(AND(R251&gt;=TODAY()-WEEKDAY(TODAY(),2)+8,R251&lt;=TODAY()-WEEKDAY(TODAY(),2)+14),"Follow-Next Week","")))))</f>
        <v/>
      </c>
      <c r="AA249" s="184" t="str">
        <f ca="1">IF(OR(V251&lt;&gt;""),"Completed",IF(U251="","",
IF(U251&lt;TODAY(),"Overdue",
IF(AND(U251&gt;=TODAY()-WEEKDAY(TODAY(),2)+1,U251&lt;=TODAY()-WEEKDAY(TODAY(),2)+7),"Follow-This Week",
IF(AND(U251&gt;=TODAY()-WEEKDAY(TODAY(),2)+8,U251&lt;=TODAY()-WEEKDAY(TODAY(),2)+14),"Follow-Next Week","")))))</f>
        <v/>
      </c>
    </row>
    <row r="250" spans="1:27" s="64" customFormat="1" ht="10.5" customHeight="1" thickBot="1" x14ac:dyDescent="0.3">
      <c r="A250" s="70" t="s">
        <v>61</v>
      </c>
      <c r="B250" s="70" t="s">
        <v>58</v>
      </c>
      <c r="C250" s="80" t="s">
        <v>92</v>
      </c>
      <c r="D250" s="75" t="s">
        <v>241</v>
      </c>
      <c r="E250" s="75" t="s">
        <v>59</v>
      </c>
      <c r="F250" s="116">
        <f t="shared" si="397"/>
        <v>0</v>
      </c>
      <c r="G250" s="116">
        <f t="shared" si="397"/>
        <v>0</v>
      </c>
      <c r="H250" s="116">
        <f t="shared" si="397"/>
        <v>0</v>
      </c>
      <c r="I250" s="116">
        <f t="shared" ref="I250" si="399">H250-F250</f>
        <v>0</v>
      </c>
      <c r="J250" s="90">
        <v>1.5</v>
      </c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X250" s="185" t="str">
        <f ca="1">IF(OR(M252&lt;&gt;""),"Completed",
IF(L252="","",IF(L252&lt;TODAY(),"Overdue",
IF(AND(L252&gt;=TODAY()-WEEKDAY(TODAY(),2)+1,L252&lt;=TODAY()-WEEKDAY(TODAY(),2)+7),"Follow-This Week",
IF(AND(L252&gt;=TODAY()-WEEKDAY(TODAY(),2)+8,L252&lt;=TODAY()-WEEKDAY(TODAY(),2)+14),"Follow-Next Week","")))))</f>
        <v/>
      </c>
      <c r="Y250" s="185" t="str">
        <f ca="1">IF(OR(P252&lt;&gt;""),"Completed",IF(O252="","",
IF(O252&lt;TODAY(),"Overdue",
IF(AND(O252&gt;=TODAY()-WEEKDAY(TODAY(),2)+1,O252&lt;=TODAY()-WEEKDAY(TODAY(),2)+7),"Follow-This Week",
IF(AND(O252&gt;=TODAY()-WEEKDAY(TODAY(),2)+8,O252&lt;=TODAY()-WEEKDAY(TODAY(),2)+14),"Follow-Next Week","")))))</f>
        <v/>
      </c>
      <c r="Z250" s="185" t="str">
        <f ca="1">IF(OR(S252&lt;&gt;""),"Completed",IF(R252="","",
IF(R252&lt;TODAY(),"Overdue",
IF(AND(R252&gt;=TODAY()-WEEKDAY(TODAY(),2)+1,R252&lt;=TODAY()-WEEKDAY(TODAY(),2)+7),"Follow-This Week",
IF(AND(R252&gt;=TODAY()-WEEKDAY(TODAY(),2)+8,R252&lt;=TODAY()-WEEKDAY(TODAY(),2)+14),"Follow-Next Week","")))))</f>
        <v/>
      </c>
      <c r="AA250" s="186" t="str">
        <f ca="1">IF(OR(V252&lt;&gt;""),"Completed",IF(U252="","",
IF(U252&lt;TODAY(),"Overdue",
IF(AND(U252&gt;=TODAY()-WEEKDAY(TODAY(),2)+1,U252&lt;=TODAY()-WEEKDAY(TODAY(),2)+7),"Follow-This Week",
IF(AND(U252&gt;=TODAY()-WEEKDAY(TODAY(),2)+8,U252&lt;=TODAY()-WEEKDAY(TODAY(),2)+14),"Follow-Next Week","")))))</f>
        <v/>
      </c>
    </row>
    <row r="251" spans="1:27" s="64" customFormat="1" ht="10.5" customHeight="1" x14ac:dyDescent="0.35">
      <c r="C251" s="108"/>
      <c r="D251" s="108"/>
      <c r="E251" s="77" t="s">
        <v>37</v>
      </c>
      <c r="F251" s="116"/>
      <c r="G251" s="116"/>
      <c r="H251" s="116"/>
      <c r="I251" s="116"/>
      <c r="J251" s="126">
        <f>SUM(J4:J250)</f>
        <v>100.00000000000001</v>
      </c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X251" s="176"/>
      <c r="Y251"/>
      <c r="Z251"/>
      <c r="AA251"/>
    </row>
  </sheetData>
  <autoFilter ref="A3:V251" xr:uid="{5A1295D6-99E8-46B3-B573-A79B1DC59D48}"/>
  <mergeCells count="5">
    <mergeCell ref="X2:AA2"/>
    <mergeCell ref="K2:M2"/>
    <mergeCell ref="N2:P2"/>
    <mergeCell ref="Q2:S2"/>
    <mergeCell ref="T2:V2"/>
  </mergeCells>
  <phoneticPr fontId="27" type="noConversion"/>
  <conditionalFormatting sqref="K14:K15">
    <cfRule type="cellIs" dxfId="259" priority="485" operator="equal">
      <formula>45443</formula>
    </cfRule>
    <cfRule type="expression" dxfId="258" priority="486">
      <formula>"if $C$1&lt;"</formula>
    </cfRule>
    <cfRule type="expression" dxfId="257" priority="487">
      <formula>"if $G$4&gt;$C$1 and $H$4 is ""null"""</formula>
    </cfRule>
  </conditionalFormatting>
  <conditionalFormatting sqref="K115:K117">
    <cfRule type="expression" dxfId="256" priority="815">
      <formula>"if $G$4&gt;$C$1 and $H$4 is ""null"""</formula>
    </cfRule>
    <cfRule type="cellIs" dxfId="255" priority="814" operator="equal">
      <formula>45443</formula>
    </cfRule>
  </conditionalFormatting>
  <conditionalFormatting sqref="K203:K243">
    <cfRule type="expression" dxfId="254" priority="28">
      <formula>"if $C$1&lt;"</formula>
    </cfRule>
  </conditionalFormatting>
  <conditionalFormatting sqref="K4:L7 O4:O7 O9:O10 R4:R7 R9:R10 U4:U7 U9:U10 K8:K10 L9:L10">
    <cfRule type="expression" dxfId="253" priority="129">
      <formula>"if $C$1&lt;"</formula>
    </cfRule>
  </conditionalFormatting>
  <conditionalFormatting sqref="K9:L13">
    <cfRule type="expression" dxfId="252" priority="31">
      <formula>"if $G$4&gt;$C$1 and $H$4 is ""null"""</formula>
    </cfRule>
    <cfRule type="cellIs" dxfId="251" priority="30" operator="equal">
      <formula>45443</formula>
    </cfRule>
  </conditionalFormatting>
  <conditionalFormatting sqref="K60:L180 K244:L251 O11:O13 R11:R13 U11:U13 U16:U17 K16:L46 O16:O46 R16:R46 T18:U45 U46 T46:T76 O51 R51 O53 R53 O55 R55 O57 R57 O59:O185 R59:R185 L181:L185 L238:L243 O238:O246 R238:R246 N247:O250 Q247:R250 U51 U53 U55 U57 U59:U185 U238:U250 K11:L13 K47:K59 K181:K189">
    <cfRule type="expression" dxfId="250" priority="925">
      <formula>"if $C$1&lt;"</formula>
    </cfRule>
  </conditionalFormatting>
  <conditionalFormatting sqref="K245:L246">
    <cfRule type="cellIs" dxfId="249" priority="517" operator="equal">
      <formula>45443</formula>
    </cfRule>
    <cfRule type="expression" dxfId="248" priority="519">
      <formula>"if $G$4&gt;$C$1 and $H$4 is ""null"""</formula>
    </cfRule>
  </conditionalFormatting>
  <conditionalFormatting sqref="L5:L7">
    <cfRule type="expression" dxfId="247" priority="130">
      <formula>"if $G$4&gt;$C$1 and $H$4 is ""null"""</formula>
    </cfRule>
  </conditionalFormatting>
  <conditionalFormatting sqref="L14:L15">
    <cfRule type="expression" dxfId="246" priority="483">
      <formula>"if $C$1&lt;"</formula>
    </cfRule>
  </conditionalFormatting>
  <conditionalFormatting sqref="L14:L46 P250 O59:O185 O238:O250 O11:O46 R59:R185 R238:R251 R11:R20 U11:U17 T18:U20 S20 R21:U21 T22:U45 R22:R46 U46 T46:T76 O51 R51 O53 R53 O55 R55 O57:P57 R57 L60:L185 L238:L1048576 O251:P1048576">
    <cfRule type="cellIs" dxfId="245" priority="500" operator="equal">
      <formula>45443</formula>
    </cfRule>
  </conditionalFormatting>
  <conditionalFormatting sqref="L187:L188 L189:M189 K190:L191 K192:K200">
    <cfRule type="expression" dxfId="244" priority="239">
      <formula>"if $G$4&gt;$C$1 and $H$4 is ""null"""</formula>
    </cfRule>
    <cfRule type="cellIs" dxfId="243" priority="237" operator="equal">
      <formula>45443</formula>
    </cfRule>
    <cfRule type="expression" dxfId="242" priority="238">
      <formula>"if $C$1&lt;"</formula>
    </cfRule>
  </conditionalFormatting>
  <conditionalFormatting sqref="L195">
    <cfRule type="cellIs" dxfId="241" priority="775" operator="equal">
      <formula>45443</formula>
    </cfRule>
    <cfRule type="expression" dxfId="240" priority="776">
      <formula>"if $C$1&lt;"</formula>
    </cfRule>
    <cfRule type="expression" dxfId="239" priority="777">
      <formula>"if $G$4&gt;$C$1 and $H$4 is ""null"""</formula>
    </cfRule>
  </conditionalFormatting>
  <conditionalFormatting sqref="L197:L200 K201:L202 L203">
    <cfRule type="expression" dxfId="238" priority="833">
      <formula>"if $C$1&lt;"</formula>
    </cfRule>
  </conditionalFormatting>
  <conditionalFormatting sqref="L197:L203">
    <cfRule type="expression" dxfId="237" priority="834">
      <formula>"if $G$4&gt;$C$1 and $H$4 is ""null"""</formula>
    </cfRule>
    <cfRule type="cellIs" dxfId="236" priority="832" operator="equal">
      <formula>45443</formula>
    </cfRule>
  </conditionalFormatting>
  <conditionalFormatting sqref="L210:L211 L219:L220 L223:L224 L227:L228">
    <cfRule type="cellIs" dxfId="235" priority="768" operator="equal">
      <formula>45443</formula>
    </cfRule>
    <cfRule type="expression" dxfId="234" priority="770">
      <formula>"if $G$4&gt;$C$1 and $H$4 is ""null"""</formula>
    </cfRule>
  </conditionalFormatting>
  <conditionalFormatting sqref="L210:L211 L223:L224 L227:L228">
    <cfRule type="expression" dxfId="233" priority="846">
      <formula>"if $C$1&lt;"</formula>
    </cfRule>
  </conditionalFormatting>
  <conditionalFormatting sqref="L214:L216">
    <cfRule type="cellIs" dxfId="232" priority="26" operator="equal">
      <formula>45443</formula>
    </cfRule>
    <cfRule type="expression" dxfId="231" priority="27">
      <formula>"if $G$4&gt;$C$1 and $H$4 is ""null"""</formula>
    </cfRule>
    <cfRule type="expression" dxfId="230" priority="29">
      <formula>"if $C$1&lt;"</formula>
    </cfRule>
  </conditionalFormatting>
  <conditionalFormatting sqref="L219:L220">
    <cfRule type="expression" dxfId="229" priority="769">
      <formula>"if $C$1&lt;"</formula>
    </cfRule>
  </conditionalFormatting>
  <conditionalFormatting sqref="L238:L251 O51 R51 O53 R53 O55 R55 O57 R57 O59:O76 R59:R76 L60:L76 O238:O250 R238:R250">
    <cfRule type="expression" dxfId="228" priority="847">
      <formula>"if $G$4&gt;$C$1 and $H$4 is ""null"""</formula>
    </cfRule>
  </conditionalFormatting>
  <conditionalFormatting sqref="M7:M9">
    <cfRule type="cellIs" dxfId="227" priority="105" operator="equal">
      <formula>45443</formula>
    </cfRule>
  </conditionalFormatting>
  <conditionalFormatting sqref="M20:M21">
    <cfRule type="expression" dxfId="226" priority="166">
      <formula>"if $C$1&lt;"</formula>
    </cfRule>
    <cfRule type="expression" dxfId="225" priority="167">
      <formula>"if $G$4&gt;$C$1 and $H$4 is ""null"""</formula>
    </cfRule>
    <cfRule type="cellIs" dxfId="224" priority="165" operator="equal">
      <formula>45443</formula>
    </cfRule>
  </conditionalFormatting>
  <conditionalFormatting sqref="M26">
    <cfRule type="cellIs" dxfId="223" priority="150" operator="equal">
      <formula>45443</formula>
    </cfRule>
  </conditionalFormatting>
  <conditionalFormatting sqref="M28:M29">
    <cfRule type="cellIs" dxfId="222" priority="676" operator="equal">
      <formula>45443</formula>
    </cfRule>
  </conditionalFormatting>
  <conditionalFormatting sqref="M46:M49">
    <cfRule type="expression" dxfId="221" priority="164">
      <formula>"if $G$4&gt;$C$1 and $H$4 is ""null"""</formula>
    </cfRule>
    <cfRule type="expression" dxfId="220" priority="163">
      <formula>"if $C$1&lt;"</formula>
    </cfRule>
    <cfRule type="cellIs" dxfId="219" priority="162" operator="equal">
      <formula>45443</formula>
    </cfRule>
  </conditionalFormatting>
  <conditionalFormatting sqref="M51 M53">
    <cfRule type="expression" dxfId="218" priority="135">
      <formula>"if $C$1&lt;"</formula>
    </cfRule>
    <cfRule type="cellIs" dxfId="217" priority="134" operator="equal">
      <formula>45443</formula>
    </cfRule>
    <cfRule type="expression" dxfId="216" priority="136">
      <formula>"if $G$4&gt;$C$1 and $H$4 is ""null"""</formula>
    </cfRule>
  </conditionalFormatting>
  <conditionalFormatting sqref="M60:M76">
    <cfRule type="cellIs" dxfId="215" priority="752" operator="equal">
      <formula>45443</formula>
    </cfRule>
  </conditionalFormatting>
  <conditionalFormatting sqref="M154:M155">
    <cfRule type="expression" dxfId="214" priority="160">
      <formula>"if $C$1&lt;"</formula>
    </cfRule>
    <cfRule type="expression" dxfId="213" priority="161">
      <formula>"if $G$4&gt;$C$1 and $H$4 is ""null"""</formula>
    </cfRule>
    <cfRule type="cellIs" dxfId="212" priority="159" operator="equal">
      <formula>45443</formula>
    </cfRule>
  </conditionalFormatting>
  <conditionalFormatting sqref="M177:M178">
    <cfRule type="expression" dxfId="211" priority="671">
      <formula>"if $C$1&lt;"</formula>
    </cfRule>
    <cfRule type="expression" dxfId="210" priority="672">
      <formula>"if $G$4&gt;$C$1 and $H$4 is ""null"""</formula>
    </cfRule>
    <cfRule type="cellIs" dxfId="209" priority="670" operator="equal">
      <formula>45443</formula>
    </cfRule>
  </conditionalFormatting>
  <conditionalFormatting sqref="M190:M195">
    <cfRule type="cellIs" dxfId="208" priority="156" operator="equal">
      <formula>45443</formula>
    </cfRule>
    <cfRule type="expression" dxfId="207" priority="157">
      <formula>"if $C$1&lt;"</formula>
    </cfRule>
    <cfRule type="expression" dxfId="206" priority="158">
      <formula>"if $G$4&gt;$C$1 and $H$4 is ""null"""</formula>
    </cfRule>
  </conditionalFormatting>
  <conditionalFormatting sqref="M201:M210 M212">
    <cfRule type="cellIs" dxfId="205" priority="153" operator="equal">
      <formula>45443</formula>
    </cfRule>
    <cfRule type="expression" dxfId="204" priority="154">
      <formula>"if $C$1&lt;"</formula>
    </cfRule>
    <cfRule type="expression" dxfId="203" priority="155">
      <formula>"if $G$4&gt;$C$1 and $H$4 is ""null"""</formula>
    </cfRule>
  </conditionalFormatting>
  <conditionalFormatting sqref="N7:N15">
    <cfRule type="expression" dxfId="202" priority="121">
      <formula>"if $C$1&lt;"</formula>
    </cfRule>
  </conditionalFormatting>
  <conditionalFormatting sqref="N9:N15">
    <cfRule type="expression" dxfId="201" priority="122">
      <formula>"if $G$4&gt;$C$1 and $H$4 is ""null"""</formula>
    </cfRule>
    <cfRule type="cellIs" dxfId="200" priority="120" operator="equal">
      <formula>45443</formula>
    </cfRule>
  </conditionalFormatting>
  <conditionalFormatting sqref="N36:N39 O1:P3">
    <cfRule type="cellIs" dxfId="199" priority="924" operator="equal">
      <formula>45443</formula>
    </cfRule>
  </conditionalFormatting>
  <conditionalFormatting sqref="N36:N39">
    <cfRule type="expression" dxfId="198" priority="873">
      <formula>"if $G$4&gt;$C$1 and $H$4 is ""null"""</formula>
    </cfRule>
    <cfRule type="expression" dxfId="197" priority="872">
      <formula>"if $C$1&lt;"</formula>
    </cfRule>
  </conditionalFormatting>
  <conditionalFormatting sqref="N77:N92">
    <cfRule type="expression" dxfId="196" priority="265">
      <formula>"if $C$1&lt;"</formula>
    </cfRule>
  </conditionalFormatting>
  <conditionalFormatting sqref="O4:O7 L1:L7 P7:P9">
    <cfRule type="cellIs" dxfId="195" priority="128" operator="equal">
      <formula>45443</formula>
    </cfRule>
  </conditionalFormatting>
  <conditionalFormatting sqref="O4:O7">
    <cfRule type="expression" dxfId="194" priority="119">
      <formula>"if $G$4&gt;$C$1 and $H$4 is ""null"""</formula>
    </cfRule>
  </conditionalFormatting>
  <conditionalFormatting sqref="O9:O10">
    <cfRule type="expression" dxfId="193" priority="118">
      <formula>"if $G$4&gt;$C$1 and $H$4 is ""null"""</formula>
    </cfRule>
    <cfRule type="cellIs" dxfId="192" priority="117" operator="equal">
      <formula>45443</formula>
    </cfRule>
  </conditionalFormatting>
  <conditionalFormatting sqref="O14:O15">
    <cfRule type="expression" dxfId="191" priority="224">
      <formula>"if $C$1&lt;"</formula>
    </cfRule>
  </conditionalFormatting>
  <conditionalFormatting sqref="O93:O185">
    <cfRule type="expression" dxfId="190" priority="236">
      <formula>"if $G$4&gt;$C$1 and $H$4 is ""null"""</formula>
    </cfRule>
  </conditionalFormatting>
  <conditionalFormatting sqref="O187:O191">
    <cfRule type="cellIs" dxfId="189" priority="221" operator="equal">
      <formula>45443</formula>
    </cfRule>
    <cfRule type="expression" dxfId="188" priority="222">
      <formula>"if $C$1&lt;"</formula>
    </cfRule>
    <cfRule type="expression" dxfId="187" priority="223">
      <formula>"if $G$4&gt;$C$1 and $H$4 is ""null"""</formula>
    </cfRule>
  </conditionalFormatting>
  <conditionalFormatting sqref="O195 O197:O203">
    <cfRule type="cellIs" dxfId="186" priority="230" operator="equal">
      <formula>45443</formula>
    </cfRule>
    <cfRule type="expression" dxfId="185" priority="232">
      <formula>"if $G$4&gt;$C$1 and $H$4 is ""null"""</formula>
    </cfRule>
    <cfRule type="expression" dxfId="184" priority="231">
      <formula>"if $C$1&lt;"</formula>
    </cfRule>
  </conditionalFormatting>
  <conditionalFormatting sqref="O210:O211 O219:O220 O223:O224 O227:O228">
    <cfRule type="cellIs" dxfId="183" priority="227" operator="equal">
      <formula>45443</formula>
    </cfRule>
    <cfRule type="expression" dxfId="182" priority="228">
      <formula>"if $G$4&gt;$C$1 and $H$4 is ""null"""</formula>
    </cfRule>
    <cfRule type="expression" dxfId="181" priority="233">
      <formula>"if $C$1&lt;"</formula>
    </cfRule>
  </conditionalFormatting>
  <conditionalFormatting sqref="O214:O216">
    <cfRule type="cellIs" dxfId="180" priority="23" operator="equal">
      <formula>45443</formula>
    </cfRule>
    <cfRule type="expression" dxfId="179" priority="24">
      <formula>"if $G$4&gt;$C$1 and $H$4 is ""null"""</formula>
    </cfRule>
    <cfRule type="expression" dxfId="178" priority="25">
      <formula>"if $C$1&lt;"</formula>
    </cfRule>
  </conditionalFormatting>
  <conditionalFormatting sqref="O245:O246">
    <cfRule type="expression" dxfId="177" priority="226">
      <formula>"if $G$4&gt;$C$1 and $H$4 is ""null"""</formula>
    </cfRule>
    <cfRule type="cellIs" dxfId="176" priority="225" operator="equal">
      <formula>45443</formula>
    </cfRule>
  </conditionalFormatting>
  <conditionalFormatting sqref="P16:P17">
    <cfRule type="expression" dxfId="175" priority="83">
      <formula>"if $C$1&lt;"</formula>
    </cfRule>
    <cfRule type="expression" dxfId="174" priority="84">
      <formula>"if $G$4&gt;$C$1 and $H$4 is ""null"""</formula>
    </cfRule>
    <cfRule type="cellIs" dxfId="173" priority="85" operator="equal">
      <formula>45443</formula>
    </cfRule>
  </conditionalFormatting>
  <conditionalFormatting sqref="P20:P22">
    <cfRule type="expression" dxfId="172" priority="81">
      <formula>"if $G$4&gt;$C$1 and $H$4 is ""null"""</formula>
    </cfRule>
    <cfRule type="expression" dxfId="171" priority="80">
      <formula>"if $C$1&lt;"</formula>
    </cfRule>
  </conditionalFormatting>
  <conditionalFormatting sqref="P20:P23">
    <cfRule type="cellIs" dxfId="170" priority="82" operator="equal">
      <formula>45443</formula>
    </cfRule>
  </conditionalFormatting>
  <conditionalFormatting sqref="P26:P29 P32:P35 P39 P42:P45 P54:P76">
    <cfRule type="cellIs" dxfId="169" priority="131" operator="equal">
      <formula>45443</formula>
    </cfRule>
  </conditionalFormatting>
  <conditionalFormatting sqref="P48:P49">
    <cfRule type="expression" dxfId="168" priority="77">
      <formula>"if $C$1&lt;"</formula>
    </cfRule>
    <cfRule type="expression" dxfId="167" priority="78">
      <formula>"if $G$4&gt;$C$1 and $H$4 is ""null"""</formula>
    </cfRule>
    <cfRule type="cellIs" dxfId="166" priority="79" operator="equal">
      <formula>45443</formula>
    </cfRule>
  </conditionalFormatting>
  <conditionalFormatting sqref="P80">
    <cfRule type="cellIs" dxfId="165" priority="137" operator="equal">
      <formula>45443</formula>
    </cfRule>
  </conditionalFormatting>
  <conditionalFormatting sqref="P82 P85 P97:P99">
    <cfRule type="cellIs" dxfId="164" priority="492" operator="equal">
      <formula>45443</formula>
    </cfRule>
  </conditionalFormatting>
  <conditionalFormatting sqref="P87:P89">
    <cfRule type="cellIs" dxfId="163" priority="35" operator="equal">
      <formula>45443</formula>
    </cfRule>
  </conditionalFormatting>
  <conditionalFormatting sqref="P89">
    <cfRule type="expression" dxfId="162" priority="33">
      <formula>"if $C$1&lt;"</formula>
    </cfRule>
    <cfRule type="expression" dxfId="161" priority="34">
      <formula>"if $G$4&gt;$C$1 and $H$4 is ""null"""</formula>
    </cfRule>
  </conditionalFormatting>
  <conditionalFormatting sqref="P92:P93">
    <cfRule type="expression" dxfId="160" priority="42">
      <formula>"if $C$1&lt;"</formula>
    </cfRule>
    <cfRule type="expression" dxfId="159" priority="43">
      <formula>"if $G$4&gt;$C$1 and $H$4 is ""null"""</formula>
    </cfRule>
    <cfRule type="cellIs" dxfId="158" priority="44" operator="equal">
      <formula>45443</formula>
    </cfRule>
  </conditionalFormatting>
  <conditionalFormatting sqref="P134:P145 P168 P170:P176">
    <cfRule type="cellIs" dxfId="157" priority="675" operator="equal">
      <formula>45443</formula>
    </cfRule>
    <cfRule type="expression" dxfId="156" priority="647">
      <formula>"if $C$1&lt;"</formula>
    </cfRule>
    <cfRule type="expression" dxfId="155" priority="648">
      <formula>"if $G$4&gt;$C$1 and $H$4 is ""null"""</formula>
    </cfRule>
  </conditionalFormatting>
  <conditionalFormatting sqref="P156:P166">
    <cfRule type="expression" dxfId="154" priority="7">
      <formula>"if $C$1&lt;"</formula>
    </cfRule>
    <cfRule type="expression" dxfId="153" priority="8">
      <formula>"if $G$4&gt;$C$1 and $H$4 is ""null"""</formula>
    </cfRule>
  </conditionalFormatting>
  <conditionalFormatting sqref="P156:P167">
    <cfRule type="cellIs" dxfId="152" priority="9" operator="equal">
      <formula>45443</formula>
    </cfRule>
  </conditionalFormatting>
  <conditionalFormatting sqref="P169">
    <cfRule type="cellIs" dxfId="151" priority="151" operator="equal">
      <formula>45443</formula>
    </cfRule>
  </conditionalFormatting>
  <conditionalFormatting sqref="P177:P196">
    <cfRule type="cellIs" dxfId="150" priority="6" operator="equal">
      <formula>45443</formula>
    </cfRule>
  </conditionalFormatting>
  <conditionalFormatting sqref="P179:P188">
    <cfRule type="expression" dxfId="149" priority="4">
      <formula>"if $C$1&lt;"</formula>
    </cfRule>
    <cfRule type="expression" dxfId="148" priority="5">
      <formula>"if $G$4&gt;$C$1 and $H$4 is ""null"""</formula>
    </cfRule>
  </conditionalFormatting>
  <conditionalFormatting sqref="P197">
    <cfRule type="cellIs" dxfId="147" priority="3" operator="equal">
      <formula>45443</formula>
    </cfRule>
    <cfRule type="expression" dxfId="146" priority="2">
      <formula>"if $G$4&gt;$C$1 and $H$4 is ""null"""</formula>
    </cfRule>
    <cfRule type="expression" dxfId="145" priority="1">
      <formula>"if $C$1&lt;"</formula>
    </cfRule>
  </conditionalFormatting>
  <conditionalFormatting sqref="P218:P219 P232:P233 P239 S240:S246 S238">
    <cfRule type="cellIs" dxfId="144" priority="587" operator="equal">
      <formula>45443</formula>
    </cfRule>
  </conditionalFormatting>
  <conditionalFormatting sqref="P218:P219 P232:P233 P239 S240:S246">
    <cfRule type="expression" dxfId="143" priority="512">
      <formula>"if $C$1&lt;"</formula>
    </cfRule>
    <cfRule type="expression" dxfId="142" priority="513">
      <formula>"if $G$4&gt;$C$1 and $H$4 is ""null"""</formula>
    </cfRule>
  </conditionalFormatting>
  <conditionalFormatting sqref="P250">
    <cfRule type="expression" dxfId="141" priority="253">
      <formula>"if $G$4&gt;$C$1 and $H$4 is ""null"""</formula>
    </cfRule>
    <cfRule type="expression" dxfId="140" priority="254">
      <formula>"if $C$1&lt;"</formula>
    </cfRule>
  </conditionalFormatting>
  <conditionalFormatting sqref="Q7:Q15">
    <cfRule type="expression" dxfId="139" priority="107">
      <formula>"if $C$1&lt;"</formula>
    </cfRule>
  </conditionalFormatting>
  <conditionalFormatting sqref="Q9:Q15">
    <cfRule type="expression" dxfId="138" priority="108">
      <formula>"if $G$4&gt;$C$1 and $H$4 is ""null"""</formula>
    </cfRule>
    <cfRule type="cellIs" dxfId="137" priority="106" operator="equal">
      <formula>45443</formula>
    </cfRule>
  </conditionalFormatting>
  <conditionalFormatting sqref="Q36:Q39">
    <cfRule type="expression" dxfId="136" priority="183">
      <formula>"if $C$1&lt;"</formula>
    </cfRule>
    <cfRule type="cellIs" dxfId="135" priority="185" operator="equal">
      <formula>45443</formula>
    </cfRule>
    <cfRule type="expression" dxfId="134" priority="184">
      <formula>"if $G$4&gt;$C$1 and $H$4 is ""null"""</formula>
    </cfRule>
  </conditionalFormatting>
  <conditionalFormatting sqref="Q77:Q92">
    <cfRule type="expression" dxfId="133" priority="178">
      <formula>"if $C$1&lt;"</formula>
    </cfRule>
  </conditionalFormatting>
  <conditionalFormatting sqref="R4:R7">
    <cfRule type="expression" dxfId="132" priority="116">
      <formula>"if $G$4&gt;$C$1 and $H$4 is ""null"""</formula>
    </cfRule>
    <cfRule type="cellIs" dxfId="131" priority="115" operator="equal">
      <formula>45443</formula>
    </cfRule>
  </conditionalFormatting>
  <conditionalFormatting sqref="R9:R10">
    <cfRule type="expression" dxfId="130" priority="114">
      <formula>"if $G$4&gt;$C$1 and $H$4 is ""null"""</formula>
    </cfRule>
    <cfRule type="cellIs" dxfId="129" priority="113" operator="equal">
      <formula>45443</formula>
    </cfRule>
  </conditionalFormatting>
  <conditionalFormatting sqref="R14:R15">
    <cfRule type="expression" dxfId="128" priority="207">
      <formula>"if $C$1&lt;"</formula>
    </cfRule>
  </conditionalFormatting>
  <conditionalFormatting sqref="R93:R185">
    <cfRule type="expression" dxfId="127" priority="220">
      <formula>"if $G$4&gt;$C$1 and $H$4 is ""null"""</formula>
    </cfRule>
  </conditionalFormatting>
  <conditionalFormatting sqref="R187:R191">
    <cfRule type="expression" dxfId="126" priority="205">
      <formula>"if $C$1&lt;"</formula>
    </cfRule>
    <cfRule type="cellIs" dxfId="125" priority="204" operator="equal">
      <formula>45443</formula>
    </cfRule>
    <cfRule type="expression" dxfId="124" priority="206">
      <formula>"if $G$4&gt;$C$1 and $H$4 is ""null"""</formula>
    </cfRule>
  </conditionalFormatting>
  <conditionalFormatting sqref="R195 R197:R203">
    <cfRule type="expression" dxfId="123" priority="215">
      <formula>"if $G$4&gt;$C$1 and $H$4 is ""null"""</formula>
    </cfRule>
    <cfRule type="expression" dxfId="122" priority="214">
      <formula>"if $C$1&lt;"</formula>
    </cfRule>
    <cfRule type="cellIs" dxfId="121" priority="213" operator="equal">
      <formula>45443</formula>
    </cfRule>
  </conditionalFormatting>
  <conditionalFormatting sqref="R210:R211 R219:R220 R223:R224 R227:R228">
    <cfRule type="expression" dxfId="120" priority="216">
      <formula>"if $C$1&lt;"</formula>
    </cfRule>
    <cfRule type="expression" dxfId="119" priority="211">
      <formula>"if $G$4&gt;$C$1 and $H$4 is ""null"""</formula>
    </cfRule>
    <cfRule type="cellIs" dxfId="118" priority="210" operator="equal">
      <formula>45443</formula>
    </cfRule>
  </conditionalFormatting>
  <conditionalFormatting sqref="R214:R216">
    <cfRule type="expression" dxfId="117" priority="22">
      <formula>"if $C$1&lt;"</formula>
    </cfRule>
    <cfRule type="expression" dxfId="116" priority="21">
      <formula>"if $G$4&gt;$C$1 and $H$4 is ""null"""</formula>
    </cfRule>
    <cfRule type="cellIs" dxfId="115" priority="20" operator="equal">
      <formula>45443</formula>
    </cfRule>
  </conditionalFormatting>
  <conditionalFormatting sqref="R245:R246">
    <cfRule type="expression" dxfId="114" priority="209">
      <formula>"if $G$4&gt;$C$1 and $H$4 is ""null"""</formula>
    </cfRule>
    <cfRule type="cellIs" dxfId="113" priority="208" operator="equal">
      <formula>45443</formula>
    </cfRule>
  </conditionalFormatting>
  <conditionalFormatting sqref="S16:S17">
    <cfRule type="cellIs" dxfId="112" priority="599" operator="equal">
      <formula>45443</formula>
    </cfRule>
  </conditionalFormatting>
  <conditionalFormatting sqref="S22">
    <cfRule type="expression" dxfId="111" priority="66">
      <formula>"if $G$4&gt;$C$1 and $H$4 is ""null"""</formula>
    </cfRule>
    <cfRule type="cellIs" dxfId="110" priority="67" operator="equal">
      <formula>45443</formula>
    </cfRule>
    <cfRule type="expression" dxfId="109" priority="65">
      <formula>"if $C$1&lt;"</formula>
    </cfRule>
  </conditionalFormatting>
  <conditionalFormatting sqref="S32:S33">
    <cfRule type="cellIs" dxfId="108" priority="575" operator="equal">
      <formula>45443</formula>
    </cfRule>
  </conditionalFormatting>
  <conditionalFormatting sqref="S40">
    <cfRule type="cellIs" dxfId="107" priority="595" operator="equal">
      <formula>45443</formula>
    </cfRule>
  </conditionalFormatting>
  <conditionalFormatting sqref="S42:S43">
    <cfRule type="cellIs" dxfId="106" priority="61" operator="equal">
      <formula>45443</formula>
    </cfRule>
  </conditionalFormatting>
  <conditionalFormatting sqref="S76">
    <cfRule type="cellIs" dxfId="105" priority="493" operator="equal">
      <formula>45443</formula>
    </cfRule>
  </conditionalFormatting>
  <conditionalFormatting sqref="S80">
    <cfRule type="cellIs" dxfId="104" priority="59" operator="equal">
      <formula>45443</formula>
    </cfRule>
    <cfRule type="expression" dxfId="103" priority="57">
      <formula>"if $C$1&lt;"</formula>
    </cfRule>
    <cfRule type="expression" dxfId="102" priority="58">
      <formula>"if $G$4&gt;$C$1 and $H$4 is ""null"""</formula>
    </cfRule>
  </conditionalFormatting>
  <conditionalFormatting sqref="S82">
    <cfRule type="expression" dxfId="101" priority="54">
      <formula>"if $C$1&lt;"</formula>
    </cfRule>
    <cfRule type="expression" dxfId="100" priority="55">
      <formula>"if $G$4&gt;$C$1 and $H$4 is ""null"""</formula>
    </cfRule>
    <cfRule type="cellIs" dxfId="99" priority="56" operator="equal">
      <formula>45443</formula>
    </cfRule>
  </conditionalFormatting>
  <conditionalFormatting sqref="S85">
    <cfRule type="expression" dxfId="98" priority="51">
      <formula>"if $C$1&lt;"</formula>
    </cfRule>
    <cfRule type="expression" dxfId="97" priority="52">
      <formula>"if $G$4&gt;$C$1 and $H$4 is ""null"""</formula>
    </cfRule>
    <cfRule type="cellIs" dxfId="96" priority="53" operator="equal">
      <formula>45443</formula>
    </cfRule>
  </conditionalFormatting>
  <conditionalFormatting sqref="S87:S89">
    <cfRule type="expression" dxfId="95" priority="45">
      <formula>"if $C$1&lt;"</formula>
    </cfRule>
    <cfRule type="expression" dxfId="94" priority="46">
      <formula>"if $G$4&gt;$C$1 and $H$4 is ""null"""</formula>
    </cfRule>
    <cfRule type="cellIs" dxfId="93" priority="47" operator="equal">
      <formula>45443</formula>
    </cfRule>
  </conditionalFormatting>
  <conditionalFormatting sqref="S93 S97:S101 S103:S117">
    <cfRule type="cellIs" dxfId="92" priority="469" operator="equal">
      <formula>45443</formula>
    </cfRule>
  </conditionalFormatting>
  <conditionalFormatting sqref="S119:S124">
    <cfRule type="expression" dxfId="91" priority="789">
      <formula>"if $G$4&gt;$C$1 and $H$4 is ""null"""</formula>
    </cfRule>
    <cfRule type="expression" dxfId="90" priority="788">
      <formula>"if $C$1&lt;"</formula>
    </cfRule>
  </conditionalFormatting>
  <conditionalFormatting sqref="S119:S147 S149:S164">
    <cfRule type="cellIs" dxfId="89" priority="787" operator="equal">
      <formula>45443</formula>
    </cfRule>
  </conditionalFormatting>
  <conditionalFormatting sqref="S149:S166 S170:S172 S125:S147 S174 S176">
    <cfRule type="expression" dxfId="88" priority="614">
      <formula>"if $C$1&lt;"</formula>
    </cfRule>
    <cfRule type="expression" dxfId="87" priority="615">
      <formula>"if $G$4&gt;$C$1 and $H$4 is ""null"""</formula>
    </cfRule>
  </conditionalFormatting>
  <conditionalFormatting sqref="S165:S170">
    <cfRule type="cellIs" dxfId="86" priority="38" operator="equal">
      <formula>45443</formula>
    </cfRule>
  </conditionalFormatting>
  <conditionalFormatting sqref="S167:S169">
    <cfRule type="expression" dxfId="85" priority="36">
      <formula>"if $C$1&lt;"</formula>
    </cfRule>
    <cfRule type="expression" dxfId="84" priority="37">
      <formula>"if $G$4&gt;$C$1 and $H$4 is ""null"""</formula>
    </cfRule>
  </conditionalFormatting>
  <conditionalFormatting sqref="S171:S172 S174 S176">
    <cfRule type="expression" dxfId="83" priority="842">
      <formula>"if $G$4&gt;$C$1 and $H$4 is ""null"""</formula>
    </cfRule>
    <cfRule type="expression" dxfId="82" priority="841">
      <formula>"if $C$1&lt;"</formula>
    </cfRule>
    <cfRule type="cellIs" dxfId="81" priority="717" operator="equal">
      <formula>45443</formula>
    </cfRule>
  </conditionalFormatting>
  <conditionalFormatting sqref="S173 S175 S177:S183">
    <cfRule type="cellIs" dxfId="80" priority="602" operator="equal">
      <formula>45443</formula>
    </cfRule>
  </conditionalFormatting>
  <conditionalFormatting sqref="S179:S183">
    <cfRule type="expression" dxfId="79" priority="612">
      <formula>"if $G$4&gt;$C$1 and $H$4 is ""null"""</formula>
    </cfRule>
    <cfRule type="expression" dxfId="78" priority="611">
      <formula>"if $C$1&lt;"</formula>
    </cfRule>
  </conditionalFormatting>
  <conditionalFormatting sqref="S186">
    <cfRule type="expression" dxfId="77" priority="488">
      <formula>"if $C$1&lt;"</formula>
    </cfRule>
    <cfRule type="expression" dxfId="76" priority="489">
      <formula>"if $G$4&gt;$C$1 and $H$4 is ""null"""</formula>
    </cfRule>
  </conditionalFormatting>
  <conditionalFormatting sqref="S186:S193">
    <cfRule type="cellIs" dxfId="75" priority="490" operator="equal">
      <formula>45443</formula>
    </cfRule>
  </conditionalFormatting>
  <conditionalFormatting sqref="S207:S214 S217:S219 S221:S222 S224:S226">
    <cfRule type="expression" dxfId="74" priority="592">
      <formula>"if $C$1&lt;"</formula>
    </cfRule>
    <cfRule type="expression" dxfId="73" priority="593">
      <formula>"if $G$4&gt;$C$1 and $H$4 is ""null"""</formula>
    </cfRule>
    <cfRule type="cellIs" dxfId="72" priority="594" operator="equal">
      <formula>45443</formula>
    </cfRule>
  </conditionalFormatting>
  <conditionalFormatting sqref="S238">
    <cfRule type="expression" dxfId="71" priority="658">
      <formula>"if $G$4&gt;$C$1 and $H$4 is ""null"""</formula>
    </cfRule>
    <cfRule type="expression" dxfId="70" priority="657">
      <formula>"if $C$1&lt;"</formula>
    </cfRule>
  </conditionalFormatting>
  <conditionalFormatting sqref="S250">
    <cfRule type="expression" dxfId="69" priority="251">
      <formula>"if $C$1&lt;"</formula>
    </cfRule>
    <cfRule type="expression" dxfId="68" priority="250">
      <formula>"if $G$4&gt;$C$1 and $H$4 is ""null"""</formula>
    </cfRule>
    <cfRule type="cellIs" dxfId="67" priority="249" operator="equal">
      <formula>45443</formula>
    </cfRule>
  </conditionalFormatting>
  <conditionalFormatting sqref="T4:T5">
    <cfRule type="cellIs" dxfId="66" priority="903" operator="equal">
      <formula>45443</formula>
    </cfRule>
    <cfRule type="expression" dxfId="65" priority="904">
      <formula>"if $C$1&lt;"</formula>
    </cfRule>
    <cfRule type="expression" dxfId="64" priority="905">
      <formula>"if $G$4&gt;$C$1 and $H$4 is ""null"""</formula>
    </cfRule>
  </conditionalFormatting>
  <conditionalFormatting sqref="T7:T15">
    <cfRule type="expression" dxfId="63" priority="124">
      <formula>"if $C$1&lt;"</formula>
    </cfRule>
  </conditionalFormatting>
  <conditionalFormatting sqref="T9:T15">
    <cfRule type="expression" dxfId="62" priority="125">
      <formula>"if $G$4&gt;$C$1 and $H$4 is ""null"""</formula>
    </cfRule>
    <cfRule type="cellIs" dxfId="61" priority="123" operator="equal">
      <formula>45443</formula>
    </cfRule>
  </conditionalFormatting>
  <conditionalFormatting sqref="T77:T92">
    <cfRule type="expression" dxfId="60" priority="287">
      <formula>"if $C$1&lt;"</formula>
    </cfRule>
  </conditionalFormatting>
  <conditionalFormatting sqref="T242 V242">
    <cfRule type="expression" dxfId="59" priority="645">
      <formula>"if $C$1&lt;"</formula>
    </cfRule>
    <cfRule type="cellIs" dxfId="58" priority="644" operator="equal">
      <formula>45443</formula>
    </cfRule>
    <cfRule type="expression" dxfId="57" priority="646">
      <formula>"if $G$4&gt;$C$1 and $H$4 is ""null"""</formula>
    </cfRule>
  </conditionalFormatting>
  <conditionalFormatting sqref="T247:T250 M250">
    <cfRule type="cellIs" dxfId="56" priority="261" operator="equal">
      <formula>45443</formula>
    </cfRule>
    <cfRule type="expression" dxfId="55" priority="263">
      <formula>"if $C$1&lt;"</formula>
    </cfRule>
    <cfRule type="expression" dxfId="54" priority="262">
      <formula>"if $G$4&gt;$C$1 and $H$4 is ""null"""</formula>
    </cfRule>
  </conditionalFormatting>
  <conditionalFormatting sqref="U4:U7">
    <cfRule type="cellIs" dxfId="53" priority="111" operator="equal">
      <formula>45443</formula>
    </cfRule>
    <cfRule type="expression" dxfId="52" priority="112">
      <formula>"if $G$4&gt;$C$1 and $H$4 is ""null"""</formula>
    </cfRule>
  </conditionalFormatting>
  <conditionalFormatting sqref="U9:U10">
    <cfRule type="expression" dxfId="51" priority="110">
      <formula>"if $G$4&gt;$C$1 and $H$4 is ""null"""</formula>
    </cfRule>
    <cfRule type="cellIs" dxfId="50" priority="109" operator="equal">
      <formula>45443</formula>
    </cfRule>
  </conditionalFormatting>
  <conditionalFormatting sqref="U11:U17 O11:O46 R11:R46 L14:L46 T18:U45 U46 T46:T76 L93:L185 K4:L4">
    <cfRule type="expression" dxfId="49" priority="926">
      <formula>"if $G$4&gt;$C$1 and $H$4 is ""null"""</formula>
    </cfRule>
  </conditionalFormatting>
  <conditionalFormatting sqref="U14:U15">
    <cfRule type="expression" dxfId="48" priority="189">
      <formula>"if $C$1&lt;"</formula>
    </cfRule>
  </conditionalFormatting>
  <conditionalFormatting sqref="U51 U53 U55 U57 U59:U76">
    <cfRule type="expression" dxfId="47" priority="199">
      <formula>"if $G$4&gt;$C$1 and $H$4 is ""null"""</formula>
    </cfRule>
  </conditionalFormatting>
  <conditionalFormatting sqref="U51 U53 U55 U57 U59:U185 U238:U250">
    <cfRule type="cellIs" dxfId="46" priority="190" operator="equal">
      <formula>45443</formula>
    </cfRule>
  </conditionalFormatting>
  <conditionalFormatting sqref="U93:U185">
    <cfRule type="expression" dxfId="45" priority="203">
      <formula>"if $G$4&gt;$C$1 and $H$4 is ""null"""</formula>
    </cfRule>
  </conditionalFormatting>
  <conditionalFormatting sqref="U187:U191">
    <cfRule type="expression" dxfId="44" priority="188">
      <formula>"if $G$4&gt;$C$1 and $H$4 is ""null"""</formula>
    </cfRule>
    <cfRule type="expression" dxfId="43" priority="187">
      <formula>"if $C$1&lt;"</formula>
    </cfRule>
    <cfRule type="cellIs" dxfId="42" priority="186" operator="equal">
      <formula>45443</formula>
    </cfRule>
  </conditionalFormatting>
  <conditionalFormatting sqref="U195 U197:U203">
    <cfRule type="expression" dxfId="41" priority="196">
      <formula>"if $C$1&lt;"</formula>
    </cfRule>
    <cfRule type="expression" dxfId="40" priority="197">
      <formula>"if $G$4&gt;$C$1 and $H$4 is ""null"""</formula>
    </cfRule>
    <cfRule type="cellIs" dxfId="39" priority="195" operator="equal">
      <formula>45443</formula>
    </cfRule>
  </conditionalFormatting>
  <conditionalFormatting sqref="U210:U211 U219:U220 U223:U224 U227:U228">
    <cfRule type="expression" dxfId="38" priority="198">
      <formula>"if $C$1&lt;"</formula>
    </cfRule>
    <cfRule type="cellIs" dxfId="37" priority="193" operator="equal">
      <formula>45443</formula>
    </cfRule>
    <cfRule type="expression" dxfId="36" priority="194">
      <formula>"if $G$4&gt;$C$1 and $H$4 is ""null"""</formula>
    </cfRule>
  </conditionalFormatting>
  <conditionalFormatting sqref="U214:U216">
    <cfRule type="cellIs" dxfId="35" priority="17" operator="equal">
      <formula>45443</formula>
    </cfRule>
    <cfRule type="expression" dxfId="34" priority="18">
      <formula>"if $G$4&gt;$C$1 and $H$4 is ""null"""</formula>
    </cfRule>
    <cfRule type="expression" dxfId="33" priority="19">
      <formula>"if $C$1&lt;"</formula>
    </cfRule>
  </conditionalFormatting>
  <conditionalFormatting sqref="U238:U250">
    <cfRule type="expression" dxfId="32" priority="192">
      <formula>"if $G$4&gt;$C$1 and $H$4 is ""null"""</formula>
    </cfRule>
  </conditionalFormatting>
  <conditionalFormatting sqref="V22">
    <cfRule type="cellIs" dxfId="31" priority="64" operator="equal">
      <formula>45443</formula>
    </cfRule>
    <cfRule type="expression" dxfId="30" priority="63">
      <formula>"if $G$4&gt;$C$1 and $H$4 is ""null"""</formula>
    </cfRule>
    <cfRule type="expression" dxfId="29" priority="62">
      <formula>"if $C$1&lt;"</formula>
    </cfRule>
  </conditionalFormatting>
  <conditionalFormatting sqref="V42:V43">
    <cfRule type="cellIs" dxfId="28" priority="60" operator="equal">
      <formula>45443</formula>
    </cfRule>
  </conditionalFormatting>
  <conditionalFormatting sqref="V77:V79">
    <cfRule type="cellIs" dxfId="27" priority="146" operator="equal">
      <formula>45443</formula>
    </cfRule>
    <cfRule type="expression" dxfId="26" priority="145">
      <formula>"if $G$4&gt;$C$1 and $H$4 is ""null"""</formula>
    </cfRule>
    <cfRule type="expression" dxfId="25" priority="144">
      <formula>"if $C$1&lt;"</formula>
    </cfRule>
  </conditionalFormatting>
  <conditionalFormatting sqref="V81">
    <cfRule type="cellIs" dxfId="24" priority="143" operator="equal">
      <formula>45443</formula>
    </cfRule>
    <cfRule type="expression" dxfId="23" priority="142">
      <formula>"if $G$4&gt;$C$1 and $H$4 is ""null"""</formula>
    </cfRule>
    <cfRule type="expression" dxfId="22" priority="141">
      <formula>"if $C$1&lt;"</formula>
    </cfRule>
  </conditionalFormatting>
  <conditionalFormatting sqref="V83:V84">
    <cfRule type="cellIs" dxfId="21" priority="140" operator="equal">
      <formula>45443</formula>
    </cfRule>
    <cfRule type="expression" dxfId="20" priority="139">
      <formula>"if $G$4&gt;$C$1 and $H$4 is ""null"""</formula>
    </cfRule>
    <cfRule type="expression" dxfId="19" priority="138">
      <formula>"if $C$1&lt;"</formula>
    </cfRule>
  </conditionalFormatting>
  <conditionalFormatting sqref="V179:V180 V182:V183 V187">
    <cfRule type="cellIs" dxfId="18" priority="837" operator="equal">
      <formula>45443</formula>
    </cfRule>
    <cfRule type="expression" dxfId="17" priority="839">
      <formula>"if $C$1&lt;"</formula>
    </cfRule>
    <cfRule type="expression" dxfId="16" priority="840">
      <formula>"if $G$4&gt;$C$1 and $H$4 is ""null"""</formula>
    </cfRule>
  </conditionalFormatting>
  <conditionalFormatting sqref="V190:V191">
    <cfRule type="expression" dxfId="15" priority="242">
      <formula>"if $G$4&gt;$C$1 and $H$4 is ""null"""</formula>
    </cfRule>
    <cfRule type="cellIs" dxfId="14" priority="240" operator="equal">
      <formula>45443</formula>
    </cfRule>
    <cfRule type="expression" dxfId="13" priority="241">
      <formula>"if $C$1&lt;"</formula>
    </cfRule>
  </conditionalFormatting>
  <conditionalFormatting sqref="V245:V246">
    <cfRule type="expression" dxfId="12" priority="515">
      <formula>"if $C$1&lt;"</formula>
    </cfRule>
    <cfRule type="cellIs" dxfId="11" priority="514" operator="equal">
      <formula>45443</formula>
    </cfRule>
    <cfRule type="expression" dxfId="10" priority="516">
      <formula>"if $G$4&gt;$C$1 and $H$4 is ""null"""</formula>
    </cfRule>
  </conditionalFormatting>
  <conditionalFormatting sqref="X1:X12 Y3:AA12 Y217:AA250 X217:X1048576">
    <cfRule type="containsText" dxfId="9" priority="95" operator="containsText" text="Follow-This week">
      <formula>NOT(ISERROR(SEARCH("Follow-This week",X1)))</formula>
    </cfRule>
    <cfRule type="containsText" dxfId="8" priority="93" operator="containsText" text="Overdue">
      <formula>NOT(ISERROR(SEARCH("Overdue",X1)))</formula>
    </cfRule>
    <cfRule type="containsText" dxfId="7" priority="94" operator="containsText" text="Follow-Next Week">
      <formula>NOT(ISERROR(SEARCH("Follow-Next Week",X1)))</formula>
    </cfRule>
    <cfRule type="containsText" dxfId="6" priority="96" operator="containsText" text="completed">
      <formula>NOT(ISERROR(SEARCH("completed",X1)))</formula>
    </cfRule>
  </conditionalFormatting>
  <conditionalFormatting sqref="X13:AA216">
    <cfRule type="containsText" dxfId="5" priority="15" operator="containsText" text="Follow-This week">
      <formula>NOT(ISERROR(SEARCH("Follow-This week",X13)))</formula>
    </cfRule>
    <cfRule type="containsText" dxfId="4" priority="14" operator="containsText" text="Follow-Next Week">
      <formula>NOT(ISERROR(SEARCH("Follow-Next Week",X13)))</formula>
    </cfRule>
    <cfRule type="containsText" dxfId="3" priority="13" operator="containsText" text="Overdue">
      <formula>NOT(ISERROR(SEARCH("Overdue",X13)))</formula>
    </cfRule>
    <cfRule type="containsText" dxfId="2" priority="16" operator="containsText" text="completed">
      <formula>NOT(ISERROR(SEARCH("completed",X13)))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13" t="s">
        <v>36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  <c r="CO4" s="213"/>
      <c r="CP4" s="213"/>
      <c r="CQ4" s="213"/>
      <c r="CR4" s="213"/>
      <c r="CS4" s="27"/>
    </row>
    <row r="5" spans="1:97" ht="45" x14ac:dyDescent="0.35">
      <c r="B5" s="26"/>
      <c r="C5" s="214" t="s">
        <v>56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8" t="s">
        <v>25</v>
      </c>
      <c r="E6" s="208" t="s">
        <v>26</v>
      </c>
      <c r="F6" s="210" t="s">
        <v>30</v>
      </c>
      <c r="G6" s="211"/>
      <c r="H6" s="211"/>
      <c r="I6" s="212"/>
      <c r="J6" s="210" t="s">
        <v>27</v>
      </c>
      <c r="K6" s="211"/>
      <c r="L6" s="211"/>
      <c r="M6" s="212"/>
      <c r="N6" s="210" t="s">
        <v>28</v>
      </c>
      <c r="O6" s="211"/>
      <c r="P6" s="211"/>
      <c r="Q6" s="212"/>
    </row>
    <row r="7" spans="1:17" ht="24.5" customHeight="1" thickBot="1" x14ac:dyDescent="0.4">
      <c r="D7" s="209"/>
      <c r="E7" s="209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2026-09-05T04:35:14Z</cp:lastPrinted>
  <dcterms:created xsi:type="dcterms:W3CDTF">2024-04-23T01:26:48Z</dcterms:created>
  <dcterms:modified xsi:type="dcterms:W3CDTF">2026-09-05T08:07:29Z</dcterms:modified>
</cp:coreProperties>
</file>