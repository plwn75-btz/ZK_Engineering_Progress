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0_cut-off_7Aug26\"/>
    </mc:Choice>
  </mc:AlternateContent>
  <xr:revisionPtr revIDLastSave="0" documentId="13_ncr:1_{9DAD821E-A91D-4A41-91F0-E2C88CEF46BC}" xr6:coauthVersionLast="47" xr6:coauthVersionMax="47" xr10:uidLastSave="{00000000-0000-0000-0000-000000000000}"/>
  <bookViews>
    <workbookView xWindow="-110" yWindow="-110" windowWidth="25820" windowHeight="15500" firstSheet="1" activeTab="4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EDSR!$A$3:$V$242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0" i="1" l="1"/>
  <c r="N40" i="1"/>
  <c r="Q40" i="1" s="1"/>
  <c r="L40" i="1"/>
  <c r="H40" i="1"/>
  <c r="X39" i="1"/>
  <c r="N39" i="1"/>
  <c r="Q39" i="1" s="1"/>
  <c r="L39" i="1"/>
  <c r="H39" i="1"/>
  <c r="N44" i="1"/>
  <c r="Q44" i="1" s="1"/>
  <c r="X44" i="1"/>
  <c r="L44" i="1"/>
  <c r="H44" i="1"/>
  <c r="X19" i="1"/>
  <c r="Q19" i="1"/>
  <c r="L19" i="1"/>
  <c r="H19" i="1"/>
  <c r="X17" i="1"/>
  <c r="N17" i="1"/>
  <c r="Q17" i="1" s="1"/>
  <c r="L17" i="1"/>
  <c r="H17" i="1"/>
  <c r="F39" i="1" l="1"/>
  <c r="T39" i="1"/>
  <c r="U39" i="1" s="1"/>
  <c r="AA39" i="1" s="1"/>
  <c r="R39" i="1"/>
  <c r="Z39" i="1" s="1"/>
  <c r="F40" i="1"/>
  <c r="I40" i="1" s="1"/>
  <c r="T40" i="1"/>
  <c r="U40" i="1" s="1"/>
  <c r="AA40" i="1" s="1"/>
  <c r="R40" i="1"/>
  <c r="Z40" i="1" s="1"/>
  <c r="I39" i="1"/>
  <c r="O39" i="1"/>
  <c r="O40" i="1"/>
  <c r="T44" i="1"/>
  <c r="U44" i="1" s="1"/>
  <c r="AA44" i="1" s="1"/>
  <c r="R44" i="1"/>
  <c r="Z44" i="1" s="1"/>
  <c r="O44" i="1"/>
  <c r="Y44" i="1" s="1"/>
  <c r="F19" i="1"/>
  <c r="I19" i="1" s="1"/>
  <c r="T19" i="1"/>
  <c r="U19" i="1" s="1"/>
  <c r="AA19" i="1" s="1"/>
  <c r="R19" i="1"/>
  <c r="Z19" i="1" s="1"/>
  <c r="O19" i="1"/>
  <c r="T17" i="1"/>
  <c r="U17" i="1" s="1"/>
  <c r="AA17" i="1" s="1"/>
  <c r="R17" i="1"/>
  <c r="Z17" i="1" s="1"/>
  <c r="F17" i="1"/>
  <c r="I17" i="1" s="1"/>
  <c r="O17" i="1"/>
  <c r="G40" i="1" l="1"/>
  <c r="Y40" i="1"/>
  <c r="G39" i="1"/>
  <c r="Y39" i="1"/>
  <c r="F44" i="1"/>
  <c r="I44" i="1" s="1"/>
  <c r="G44" i="1"/>
  <c r="G19" i="1"/>
  <c r="Y19" i="1"/>
  <c r="Y17" i="1"/>
  <c r="G17" i="1"/>
  <c r="AA241" i="1" l="1"/>
  <c r="Z241" i="1"/>
  <c r="Y241" i="1"/>
  <c r="X241" i="1"/>
  <c r="AA240" i="1"/>
  <c r="Z240" i="1"/>
  <c r="Y240" i="1"/>
  <c r="X240" i="1"/>
  <c r="AA239" i="1"/>
  <c r="Z239" i="1"/>
  <c r="Y239" i="1"/>
  <c r="X239" i="1"/>
  <c r="AA238" i="1"/>
  <c r="Z238" i="1"/>
  <c r="Y238" i="1"/>
  <c r="X238" i="1"/>
  <c r="X237" i="1"/>
  <c r="X236" i="1"/>
  <c r="X235" i="1"/>
  <c r="X234" i="1"/>
  <c r="X233" i="1"/>
  <c r="X232" i="1"/>
  <c r="X231" i="1"/>
  <c r="Y230" i="1"/>
  <c r="X230" i="1"/>
  <c r="X229" i="1"/>
  <c r="X226" i="1"/>
  <c r="X225" i="1"/>
  <c r="Y224" i="1"/>
  <c r="X224" i="1"/>
  <c r="Y223" i="1"/>
  <c r="X223" i="1"/>
  <c r="X222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Y192" i="1"/>
  <c r="X192" i="1"/>
  <c r="Y191" i="1"/>
  <c r="X191" i="1"/>
  <c r="X189" i="1"/>
  <c r="X188" i="1"/>
  <c r="X187" i="1"/>
  <c r="X186" i="1"/>
  <c r="X185" i="1"/>
  <c r="X184" i="1"/>
  <c r="X183" i="1"/>
  <c r="X182" i="1"/>
  <c r="X180" i="1"/>
  <c r="X179" i="1"/>
  <c r="X178" i="1"/>
  <c r="X177" i="1"/>
  <c r="X176" i="1"/>
  <c r="X175" i="1"/>
  <c r="X174" i="1"/>
  <c r="X173" i="1"/>
  <c r="X172" i="1"/>
  <c r="X171" i="1"/>
  <c r="X168" i="1"/>
  <c r="X167" i="1"/>
  <c r="Y166" i="1"/>
  <c r="X166" i="1"/>
  <c r="X165" i="1"/>
  <c r="X164" i="1"/>
  <c r="X163" i="1"/>
  <c r="X162" i="1"/>
  <c r="Y161" i="1"/>
  <c r="X161" i="1"/>
  <c r="X160" i="1"/>
  <c r="Y159" i="1"/>
  <c r="X159" i="1"/>
  <c r="X158" i="1"/>
  <c r="X157" i="1"/>
  <c r="X156" i="1"/>
  <c r="X153" i="1"/>
  <c r="X152" i="1"/>
  <c r="X151" i="1"/>
  <c r="X150" i="1"/>
  <c r="X149" i="1"/>
  <c r="X147" i="1"/>
  <c r="X146" i="1"/>
  <c r="X145" i="1"/>
  <c r="X144" i="1"/>
  <c r="X143" i="1"/>
  <c r="X142" i="1"/>
  <c r="X141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Y93" i="1"/>
  <c r="X93" i="1"/>
  <c r="AA89" i="1"/>
  <c r="Z89" i="1"/>
  <c r="Y89" i="1"/>
  <c r="X89" i="1"/>
  <c r="AA88" i="1"/>
  <c r="Z88" i="1"/>
  <c r="Y88" i="1"/>
  <c r="X88" i="1"/>
  <c r="AA87" i="1"/>
  <c r="Z87" i="1"/>
  <c r="Y87" i="1"/>
  <c r="X87" i="1"/>
  <c r="X86" i="1"/>
  <c r="X85" i="1"/>
  <c r="AA84" i="1"/>
  <c r="Z84" i="1"/>
  <c r="Y84" i="1"/>
  <c r="X84" i="1"/>
  <c r="AA83" i="1"/>
  <c r="Z83" i="1"/>
  <c r="Y83" i="1"/>
  <c r="X83" i="1"/>
  <c r="X82" i="1"/>
  <c r="Y81" i="1"/>
  <c r="X81" i="1"/>
  <c r="Y80" i="1"/>
  <c r="X80" i="1"/>
  <c r="AA79" i="1"/>
  <c r="Z79" i="1"/>
  <c r="Y79" i="1"/>
  <c r="X79" i="1"/>
  <c r="Y78" i="1"/>
  <c r="X78" i="1"/>
  <c r="AA77" i="1"/>
  <c r="Z77" i="1"/>
  <c r="Y77" i="1"/>
  <c r="X77" i="1"/>
  <c r="AA76" i="1"/>
  <c r="Z76" i="1"/>
  <c r="Y76" i="1"/>
  <c r="X76" i="1"/>
  <c r="Y75" i="1"/>
  <c r="X75" i="1"/>
  <c r="AA74" i="1"/>
  <c r="Z74" i="1"/>
  <c r="Y74" i="1"/>
  <c r="X74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AA59" i="1"/>
  <c r="Z59" i="1"/>
  <c r="Y59" i="1"/>
  <c r="X59" i="1"/>
  <c r="AA58" i="1"/>
  <c r="Z58" i="1"/>
  <c r="Y58" i="1"/>
  <c r="X58" i="1"/>
  <c r="AA57" i="1"/>
  <c r="Z57" i="1"/>
  <c r="Y57" i="1"/>
  <c r="X57" i="1"/>
  <c r="AA56" i="1"/>
  <c r="Z56" i="1"/>
  <c r="Y56" i="1"/>
  <c r="X56" i="1"/>
  <c r="AA55" i="1"/>
  <c r="Z55" i="1"/>
  <c r="Y55" i="1"/>
  <c r="X55" i="1"/>
  <c r="AA54" i="1"/>
  <c r="Z54" i="1"/>
  <c r="Y54" i="1"/>
  <c r="X54" i="1"/>
  <c r="AA53" i="1"/>
  <c r="Z53" i="1"/>
  <c r="Y53" i="1"/>
  <c r="X53" i="1"/>
  <c r="Y52" i="1"/>
  <c r="X52" i="1"/>
  <c r="Z51" i="1"/>
  <c r="Y51" i="1"/>
  <c r="X51" i="1"/>
  <c r="Z50" i="1"/>
  <c r="Y50" i="1"/>
  <c r="X50" i="1"/>
  <c r="Z49" i="1"/>
  <c r="Y49" i="1"/>
  <c r="X49" i="1"/>
  <c r="Z48" i="1"/>
  <c r="Y48" i="1"/>
  <c r="X48" i="1"/>
  <c r="Z47" i="1"/>
  <c r="Y47" i="1"/>
  <c r="X47" i="1"/>
  <c r="Y46" i="1"/>
  <c r="X46" i="1"/>
  <c r="Y45" i="1"/>
  <c r="X45" i="1"/>
  <c r="X43" i="1"/>
  <c r="Y42" i="1"/>
  <c r="X42" i="1"/>
  <c r="Y41" i="1"/>
  <c r="X41" i="1"/>
  <c r="X38" i="1"/>
  <c r="X37" i="1"/>
  <c r="Y36" i="1"/>
  <c r="X36" i="1"/>
  <c r="Y35" i="1"/>
  <c r="X35" i="1"/>
  <c r="X33" i="1"/>
  <c r="AA32" i="1"/>
  <c r="Z32" i="1"/>
  <c r="Y32" i="1"/>
  <c r="X32" i="1"/>
  <c r="AA31" i="1"/>
  <c r="Z31" i="1"/>
  <c r="Y31" i="1"/>
  <c r="X31" i="1"/>
  <c r="X30" i="1"/>
  <c r="AA29" i="1"/>
  <c r="Z29" i="1"/>
  <c r="Y29" i="1"/>
  <c r="X29" i="1"/>
  <c r="AA27" i="1"/>
  <c r="Z27" i="1"/>
  <c r="Y27" i="1"/>
  <c r="X27" i="1"/>
  <c r="Y26" i="1"/>
  <c r="X26" i="1"/>
  <c r="AA25" i="1"/>
  <c r="Z25" i="1"/>
  <c r="Y25" i="1"/>
  <c r="X25" i="1"/>
  <c r="AA23" i="1"/>
  <c r="Z23" i="1"/>
  <c r="Y23" i="1"/>
  <c r="X23" i="1"/>
  <c r="Y22" i="1"/>
  <c r="X22" i="1"/>
  <c r="X21" i="1"/>
  <c r="Y20" i="1"/>
  <c r="X20" i="1"/>
  <c r="X18" i="1"/>
  <c r="X16" i="1"/>
  <c r="Y15" i="1"/>
  <c r="X15" i="1"/>
  <c r="X14" i="1"/>
  <c r="Y13" i="1"/>
  <c r="X13" i="1"/>
  <c r="Y12" i="1"/>
  <c r="X12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34" i="1" l="1"/>
  <c r="O34" i="1" s="1"/>
  <c r="Y34" i="1" s="1"/>
  <c r="L34" i="1"/>
  <c r="X34" i="1" s="1"/>
  <c r="H34" i="1"/>
  <c r="N33" i="1"/>
  <c r="Q33" i="1" s="1"/>
  <c r="L33" i="1"/>
  <c r="H33" i="1"/>
  <c r="T33" i="1" l="1"/>
  <c r="U33" i="1" s="1"/>
  <c r="AA33" i="1" s="1"/>
  <c r="R33" i="1"/>
  <c r="Z33" i="1" s="1"/>
  <c r="Q34" i="1"/>
  <c r="O33" i="1"/>
  <c r="J242" i="1"/>
  <c r="F33" i="1" l="1"/>
  <c r="I33" i="1" s="1"/>
  <c r="G33" i="1"/>
  <c r="Y33" i="1"/>
  <c r="T34" i="1"/>
  <c r="U34" i="1" s="1"/>
  <c r="AA34" i="1" s="1"/>
  <c r="R34" i="1"/>
  <c r="L28" i="1"/>
  <c r="X28" i="1" s="1"/>
  <c r="N26" i="1"/>
  <c r="Q26" i="1" s="1"/>
  <c r="L26" i="1"/>
  <c r="H26" i="1"/>
  <c r="Q30" i="1"/>
  <c r="L30" i="1"/>
  <c r="H30" i="1"/>
  <c r="N28" i="1"/>
  <c r="Q28" i="1" s="1"/>
  <c r="H28" i="1"/>
  <c r="N24" i="1"/>
  <c r="Q24" i="1" s="1"/>
  <c r="L24" i="1"/>
  <c r="X24" i="1" s="1"/>
  <c r="H24" i="1"/>
  <c r="H237" i="1"/>
  <c r="N237" i="1"/>
  <c r="Q237" i="1" s="1"/>
  <c r="L237" i="1"/>
  <c r="N164" i="1"/>
  <c r="O164" i="1" s="1"/>
  <c r="Y164" i="1" s="1"/>
  <c r="L164" i="1"/>
  <c r="H164" i="1"/>
  <c r="H205" i="1"/>
  <c r="L205" i="1"/>
  <c r="N205" i="1"/>
  <c r="H206" i="1"/>
  <c r="L206" i="1"/>
  <c r="N206" i="1"/>
  <c r="H207" i="1"/>
  <c r="L207" i="1"/>
  <c r="X207" i="1" s="1"/>
  <c r="N207" i="1"/>
  <c r="H208" i="1"/>
  <c r="L208" i="1"/>
  <c r="X208" i="1" s="1"/>
  <c r="N208" i="1"/>
  <c r="H209" i="1"/>
  <c r="L209" i="1"/>
  <c r="X209" i="1" s="1"/>
  <c r="N209" i="1"/>
  <c r="H210" i="1"/>
  <c r="L210" i="1"/>
  <c r="X210" i="1" s="1"/>
  <c r="N210" i="1"/>
  <c r="H211" i="1"/>
  <c r="L211" i="1"/>
  <c r="X211" i="1" s="1"/>
  <c r="N211" i="1"/>
  <c r="H212" i="1"/>
  <c r="L212" i="1"/>
  <c r="X212" i="1" s="1"/>
  <c r="N212" i="1"/>
  <c r="H213" i="1"/>
  <c r="L213" i="1"/>
  <c r="X213" i="1" s="1"/>
  <c r="N213" i="1"/>
  <c r="H214" i="1"/>
  <c r="L214" i="1"/>
  <c r="X214" i="1" s="1"/>
  <c r="N214" i="1"/>
  <c r="H215" i="1"/>
  <c r="L215" i="1"/>
  <c r="X215" i="1" s="1"/>
  <c r="N215" i="1"/>
  <c r="H216" i="1"/>
  <c r="L216" i="1"/>
  <c r="X216" i="1" s="1"/>
  <c r="N216" i="1"/>
  <c r="H217" i="1"/>
  <c r="L217" i="1"/>
  <c r="X217" i="1" s="1"/>
  <c r="N217" i="1"/>
  <c r="H218" i="1"/>
  <c r="L218" i="1"/>
  <c r="X218" i="1" s="1"/>
  <c r="N218" i="1"/>
  <c r="H219" i="1"/>
  <c r="L219" i="1"/>
  <c r="X219" i="1" s="1"/>
  <c r="N219" i="1"/>
  <c r="H220" i="1"/>
  <c r="L220" i="1"/>
  <c r="X220" i="1" s="1"/>
  <c r="N220" i="1"/>
  <c r="H221" i="1"/>
  <c r="L221" i="1"/>
  <c r="X221" i="1" s="1"/>
  <c r="N221" i="1"/>
  <c r="H188" i="1"/>
  <c r="I188" i="1" s="1"/>
  <c r="L188" i="1"/>
  <c r="N188" i="1"/>
  <c r="O188" i="1" s="1"/>
  <c r="Y188" i="1" s="1"/>
  <c r="H166" i="1"/>
  <c r="I166" i="1" s="1"/>
  <c r="L166" i="1"/>
  <c r="N166" i="1"/>
  <c r="O166" i="1" s="1"/>
  <c r="H167" i="1"/>
  <c r="I167" i="1" s="1"/>
  <c r="L167" i="1"/>
  <c r="N167" i="1"/>
  <c r="O167" i="1" s="1"/>
  <c r="Y167" i="1" s="1"/>
  <c r="H168" i="1"/>
  <c r="I168" i="1" s="1"/>
  <c r="L168" i="1"/>
  <c r="N168" i="1"/>
  <c r="O168" i="1" s="1"/>
  <c r="Y168" i="1" s="1"/>
  <c r="Y169" i="1"/>
  <c r="H146" i="1"/>
  <c r="L146" i="1"/>
  <c r="N146" i="1"/>
  <c r="Q146" i="1" s="1"/>
  <c r="H147" i="1"/>
  <c r="L147" i="1"/>
  <c r="N147" i="1"/>
  <c r="O147" i="1" s="1"/>
  <c r="Y147" i="1" s="1"/>
  <c r="N140" i="1"/>
  <c r="Q140" i="1" s="1"/>
  <c r="L140" i="1"/>
  <c r="X140" i="1" s="1"/>
  <c r="H140" i="1"/>
  <c r="N92" i="1"/>
  <c r="O92" i="1" s="1"/>
  <c r="Y92" i="1" s="1"/>
  <c r="O206" i="1" l="1"/>
  <c r="Y206" i="1" s="1"/>
  <c r="O221" i="1"/>
  <c r="Y221" i="1" s="1"/>
  <c r="O205" i="1"/>
  <c r="Y205" i="1" s="1"/>
  <c r="F34" i="1"/>
  <c r="I34" i="1" s="1"/>
  <c r="G34" i="1"/>
  <c r="Z34" i="1"/>
  <c r="O217" i="1"/>
  <c r="Y217" i="1" s="1"/>
  <c r="O210" i="1"/>
  <c r="Y210" i="1" s="1"/>
  <c r="O218" i="1"/>
  <c r="Y218" i="1" s="1"/>
  <c r="O213" i="1"/>
  <c r="Y213" i="1" s="1"/>
  <c r="O209" i="1"/>
  <c r="Y209" i="1" s="1"/>
  <c r="Q220" i="1"/>
  <c r="T220" i="1" s="1"/>
  <c r="U220" i="1" s="1"/>
  <c r="AA220" i="1" s="1"/>
  <c r="O216" i="1"/>
  <c r="Y216" i="1" s="1"/>
  <c r="O212" i="1"/>
  <c r="Y212" i="1" s="1"/>
  <c r="Q208" i="1"/>
  <c r="R208" i="1" s="1"/>
  <c r="Z208" i="1" s="1"/>
  <c r="O219" i="1"/>
  <c r="Y219" i="1" s="1"/>
  <c r="O215" i="1"/>
  <c r="Y215" i="1" s="1"/>
  <c r="O211" i="1"/>
  <c r="Y211" i="1" s="1"/>
  <c r="Q207" i="1"/>
  <c r="R207" i="1" s="1"/>
  <c r="Z207" i="1" s="1"/>
  <c r="Q214" i="1"/>
  <c r="T214" i="1" s="1"/>
  <c r="T26" i="1"/>
  <c r="U26" i="1" s="1"/>
  <c r="AA26" i="1" s="1"/>
  <c r="R26" i="1"/>
  <c r="Z26" i="1" s="1"/>
  <c r="O26" i="1"/>
  <c r="T30" i="1"/>
  <c r="U30" i="1" s="1"/>
  <c r="AA30" i="1" s="1"/>
  <c r="R30" i="1"/>
  <c r="Z30" i="1" s="1"/>
  <c r="O30" i="1"/>
  <c r="Y30" i="1" s="1"/>
  <c r="T28" i="1"/>
  <c r="U28" i="1" s="1"/>
  <c r="AA28" i="1" s="1"/>
  <c r="R28" i="1"/>
  <c r="Z28" i="1" s="1"/>
  <c r="O28" i="1"/>
  <c r="Y28" i="1" s="1"/>
  <c r="O24" i="1"/>
  <c r="Y24" i="1" s="1"/>
  <c r="T24" i="1"/>
  <c r="U24" i="1" s="1"/>
  <c r="AA24" i="1" s="1"/>
  <c r="R24" i="1"/>
  <c r="Z24" i="1" s="1"/>
  <c r="T237" i="1"/>
  <c r="R237" i="1"/>
  <c r="Z237" i="1" s="1"/>
  <c r="O237" i="1"/>
  <c r="Y237" i="1" s="1"/>
  <c r="Q210" i="1"/>
  <c r="T210" i="1" s="1"/>
  <c r="U210" i="1" s="1"/>
  <c r="AA210" i="1" s="1"/>
  <c r="Q213" i="1"/>
  <c r="R213" i="1" s="1"/>
  <c r="Z213" i="1" s="1"/>
  <c r="Q219" i="1"/>
  <c r="R219" i="1" s="1"/>
  <c r="Z219" i="1" s="1"/>
  <c r="Q92" i="1"/>
  <c r="T92" i="1" s="1"/>
  <c r="U92" i="1" s="1"/>
  <c r="AA92" i="1" s="1"/>
  <c r="O146" i="1"/>
  <c r="Y146" i="1" s="1"/>
  <c r="AA148" i="1"/>
  <c r="Z148" i="1"/>
  <c r="AA154" i="1"/>
  <c r="O208" i="1"/>
  <c r="Y208" i="1" s="1"/>
  <c r="O214" i="1"/>
  <c r="Y214" i="1" s="1"/>
  <c r="Q147" i="1"/>
  <c r="O207" i="1"/>
  <c r="Y207" i="1" s="1"/>
  <c r="Z169" i="1"/>
  <c r="Q217" i="1"/>
  <c r="Q205" i="1"/>
  <c r="R205" i="1" s="1"/>
  <c r="Z205" i="1" s="1"/>
  <c r="Q221" i="1"/>
  <c r="T221" i="1" s="1"/>
  <c r="U221" i="1" s="1"/>
  <c r="AA221" i="1" s="1"/>
  <c r="Q209" i="1"/>
  <c r="T209" i="1" s="1"/>
  <c r="U209" i="1" s="1"/>
  <c r="AA209" i="1" s="1"/>
  <c r="Q206" i="1"/>
  <c r="Q164" i="1"/>
  <c r="R146" i="1"/>
  <c r="Z146" i="1" s="1"/>
  <c r="T146" i="1"/>
  <c r="U146" i="1" s="1"/>
  <c r="AA146" i="1" s="1"/>
  <c r="Q215" i="1"/>
  <c r="Q216" i="1"/>
  <c r="Q166" i="1"/>
  <c r="Q188" i="1"/>
  <c r="O220" i="1"/>
  <c r="Y220" i="1" s="1"/>
  <c r="Q211" i="1"/>
  <c r="Q218" i="1"/>
  <c r="Q212" i="1"/>
  <c r="Q167" i="1"/>
  <c r="Q168" i="1"/>
  <c r="T140" i="1"/>
  <c r="U140" i="1" s="1"/>
  <c r="AA140" i="1" s="1"/>
  <c r="R140" i="1"/>
  <c r="Z140" i="1" s="1"/>
  <c r="O140" i="1"/>
  <c r="Y140" i="1" s="1"/>
  <c r="H92" i="1"/>
  <c r="L92" i="1"/>
  <c r="X92" i="1" s="1"/>
  <c r="H93" i="1"/>
  <c r="L93" i="1"/>
  <c r="N165" i="1"/>
  <c r="Q165" i="1" s="1"/>
  <c r="L165" i="1"/>
  <c r="H165" i="1"/>
  <c r="F24" i="1" l="1"/>
  <c r="I24" i="1" s="1"/>
  <c r="F26" i="1"/>
  <c r="I26" i="1" s="1"/>
  <c r="R214" i="1"/>
  <c r="Z214" i="1" s="1"/>
  <c r="T207" i="1"/>
  <c r="U207" i="1" s="1"/>
  <c r="AA207" i="1" s="1"/>
  <c r="F221" i="1"/>
  <c r="I221" i="1" s="1"/>
  <c r="G26" i="1"/>
  <c r="F209" i="1"/>
  <c r="I209" i="1" s="1"/>
  <c r="R220" i="1"/>
  <c r="Z220" i="1" s="1"/>
  <c r="G28" i="1"/>
  <c r="F28" i="1"/>
  <c r="I28" i="1" s="1"/>
  <c r="T208" i="1"/>
  <c r="F210" i="1"/>
  <c r="I210" i="1" s="1"/>
  <c r="U214" i="1"/>
  <c r="AA214" i="1" s="1"/>
  <c r="F214" i="1"/>
  <c r="I214" i="1" s="1"/>
  <c r="F220" i="1"/>
  <c r="I220" i="1" s="1"/>
  <c r="F207" i="1"/>
  <c r="I207" i="1" s="1"/>
  <c r="G24" i="1"/>
  <c r="G30" i="1"/>
  <c r="F30" i="1"/>
  <c r="I30" i="1" s="1"/>
  <c r="T213" i="1"/>
  <c r="T219" i="1"/>
  <c r="U219" i="1" s="1"/>
  <c r="R210" i="1"/>
  <c r="U237" i="1"/>
  <c r="F237" i="1"/>
  <c r="I237" i="1" s="1"/>
  <c r="F92" i="1"/>
  <c r="I92" i="1" s="1"/>
  <c r="G146" i="1"/>
  <c r="G207" i="1"/>
  <c r="R92" i="1"/>
  <c r="F146" i="1"/>
  <c r="I146" i="1" s="1"/>
  <c r="T205" i="1"/>
  <c r="R221" i="1"/>
  <c r="G220" i="1"/>
  <c r="T147" i="1"/>
  <c r="U147" i="1" s="1"/>
  <c r="AA147" i="1" s="1"/>
  <c r="R147" i="1"/>
  <c r="Z147" i="1" s="1"/>
  <c r="R209" i="1"/>
  <c r="R206" i="1"/>
  <c r="Z206" i="1" s="1"/>
  <c r="T206" i="1"/>
  <c r="U206" i="1" s="1"/>
  <c r="AA206" i="1" s="1"/>
  <c r="T217" i="1"/>
  <c r="U217" i="1" s="1"/>
  <c r="AA217" i="1" s="1"/>
  <c r="R217" i="1"/>
  <c r="Z217" i="1" s="1"/>
  <c r="T164" i="1"/>
  <c r="U164" i="1" s="1"/>
  <c r="AA164" i="1" s="1"/>
  <c r="R164" i="1"/>
  <c r="Z164" i="1" s="1"/>
  <c r="R188" i="1"/>
  <c r="Z188" i="1" s="1"/>
  <c r="T188" i="1"/>
  <c r="U188" i="1" s="1"/>
  <c r="AA188" i="1" s="1"/>
  <c r="R211" i="1"/>
  <c r="Z211" i="1" s="1"/>
  <c r="T211" i="1"/>
  <c r="T215" i="1"/>
  <c r="R215" i="1"/>
  <c r="Z215" i="1" s="1"/>
  <c r="R216" i="1"/>
  <c r="Z216" i="1" s="1"/>
  <c r="T216" i="1"/>
  <c r="R166" i="1"/>
  <c r="Z166" i="1" s="1"/>
  <c r="T166" i="1"/>
  <c r="U166" i="1" s="1"/>
  <c r="AA166" i="1" s="1"/>
  <c r="G140" i="1"/>
  <c r="F140" i="1"/>
  <c r="I140" i="1" s="1"/>
  <c r="T212" i="1"/>
  <c r="R212" i="1"/>
  <c r="Z212" i="1" s="1"/>
  <c r="T218" i="1"/>
  <c r="R218" i="1"/>
  <c r="Z218" i="1" s="1"/>
  <c r="R168" i="1"/>
  <c r="Z168" i="1" s="1"/>
  <c r="T168" i="1"/>
  <c r="U168" i="1" s="1"/>
  <c r="AA168" i="1" s="1"/>
  <c r="R167" i="1"/>
  <c r="Z167" i="1" s="1"/>
  <c r="T167" i="1"/>
  <c r="U167" i="1" s="1"/>
  <c r="AA167" i="1" s="1"/>
  <c r="R165" i="1"/>
  <c r="Z165" i="1" s="1"/>
  <c r="T165" i="1"/>
  <c r="U165" i="1" s="1"/>
  <c r="AA165" i="1" s="1"/>
  <c r="O165" i="1"/>
  <c r="Y165" i="1" s="1"/>
  <c r="G214" i="1" l="1"/>
  <c r="U205" i="1"/>
  <c r="F205" i="1"/>
  <c r="I205" i="1" s="1"/>
  <c r="F206" i="1"/>
  <c r="I206" i="1" s="1"/>
  <c r="G221" i="1"/>
  <c r="Z221" i="1"/>
  <c r="G237" i="1"/>
  <c r="AA237" i="1"/>
  <c r="G209" i="1"/>
  <c r="Z209" i="1"/>
  <c r="AA155" i="1"/>
  <c r="AA169" i="1"/>
  <c r="G210" i="1"/>
  <c r="Z210" i="1"/>
  <c r="G205" i="1"/>
  <c r="AA205" i="1"/>
  <c r="G219" i="1"/>
  <c r="AA219" i="1"/>
  <c r="G92" i="1"/>
  <c r="Z92" i="1"/>
  <c r="U208" i="1"/>
  <c r="F208" i="1"/>
  <c r="I208" i="1" s="1"/>
  <c r="U213" i="1"/>
  <c r="F213" i="1"/>
  <c r="I213" i="1" s="1"/>
  <c r="F219" i="1"/>
  <c r="I219" i="1" s="1"/>
  <c r="U216" i="1"/>
  <c r="AA216" i="1" s="1"/>
  <c r="F216" i="1"/>
  <c r="I216" i="1" s="1"/>
  <c r="U215" i="1"/>
  <c r="AA215" i="1" s="1"/>
  <c r="F215" i="1"/>
  <c r="I215" i="1" s="1"/>
  <c r="F217" i="1"/>
  <c r="I217" i="1" s="1"/>
  <c r="U211" i="1"/>
  <c r="F211" i="1"/>
  <c r="I211" i="1" s="1"/>
  <c r="U218" i="1"/>
  <c r="AA218" i="1" s="1"/>
  <c r="F218" i="1"/>
  <c r="I218" i="1" s="1"/>
  <c r="U212" i="1"/>
  <c r="AA212" i="1" s="1"/>
  <c r="F212" i="1"/>
  <c r="I212" i="1" s="1"/>
  <c r="G217" i="1"/>
  <c r="G147" i="1"/>
  <c r="G188" i="1"/>
  <c r="G166" i="1"/>
  <c r="G206" i="1"/>
  <c r="G167" i="1"/>
  <c r="F165" i="1"/>
  <c r="I165" i="1" s="1"/>
  <c r="G164" i="1"/>
  <c r="F147" i="1"/>
  <c r="I147" i="1" s="1"/>
  <c r="F164" i="1"/>
  <c r="I164" i="1" s="1"/>
  <c r="G215" i="1"/>
  <c r="G165" i="1"/>
  <c r="G168" i="1"/>
  <c r="G218" i="1" l="1"/>
  <c r="G212" i="1"/>
  <c r="G213" i="1"/>
  <c r="AA213" i="1"/>
  <c r="G208" i="1"/>
  <c r="AA208" i="1"/>
  <c r="G211" i="1"/>
  <c r="AA211" i="1"/>
  <c r="G216" i="1"/>
  <c r="L123" i="1"/>
  <c r="N123" i="1"/>
  <c r="Q123" i="1" s="1"/>
  <c r="H123" i="1"/>
  <c r="O123" i="1" l="1"/>
  <c r="T123" i="1"/>
  <c r="U123" i="1" s="1"/>
  <c r="AA123" i="1" s="1"/>
  <c r="R123" i="1"/>
  <c r="Z123" i="1" s="1"/>
  <c r="H11" i="1"/>
  <c r="L11" i="1"/>
  <c r="N11" i="1"/>
  <c r="Q11" i="1" l="1"/>
  <c r="O11" i="1"/>
  <c r="F9" i="3"/>
  <c r="G123" i="1" l="1"/>
  <c r="F123" i="1"/>
  <c r="I123" i="1" s="1"/>
  <c r="R11" i="1"/>
  <c r="T11" i="1"/>
  <c r="L45" i="1"/>
  <c r="L46" i="1"/>
  <c r="L47" i="1"/>
  <c r="L48" i="1"/>
  <c r="L49" i="1"/>
  <c r="L50" i="1"/>
  <c r="L51" i="1"/>
  <c r="L52" i="1"/>
  <c r="L43" i="1"/>
  <c r="N47" i="1"/>
  <c r="O47" i="1" s="1"/>
  <c r="N48" i="1"/>
  <c r="N49" i="1"/>
  <c r="O49" i="1" s="1"/>
  <c r="N50" i="1"/>
  <c r="O50" i="1" s="1"/>
  <c r="N51" i="1"/>
  <c r="O51" i="1" s="1"/>
  <c r="N52" i="1"/>
  <c r="O52" i="1" s="1"/>
  <c r="H47" i="1"/>
  <c r="H48" i="1"/>
  <c r="H49" i="1"/>
  <c r="H50" i="1"/>
  <c r="H51" i="1"/>
  <c r="H52" i="1"/>
  <c r="Q49" i="1" l="1"/>
  <c r="Q50" i="1"/>
  <c r="R50" i="1" s="1"/>
  <c r="Q52" i="1"/>
  <c r="U11" i="1"/>
  <c r="G11" i="1" s="1"/>
  <c r="F11" i="1"/>
  <c r="I11" i="1" s="1"/>
  <c r="Q47" i="1"/>
  <c r="T47" i="1" s="1"/>
  <c r="U47" i="1" s="1"/>
  <c r="AA47" i="1" s="1"/>
  <c r="T52" i="1"/>
  <c r="U52" i="1" s="1"/>
  <c r="AA52" i="1" s="1"/>
  <c r="R52" i="1"/>
  <c r="Q51" i="1"/>
  <c r="R51" i="1" s="1"/>
  <c r="Q48" i="1"/>
  <c r="O48" i="1"/>
  <c r="A12" i="7"/>
  <c r="G52" i="1" l="1"/>
  <c r="Z52" i="1"/>
  <c r="T50" i="1"/>
  <c r="R49" i="1"/>
  <c r="T49" i="1"/>
  <c r="T51" i="1"/>
  <c r="U51" i="1" s="1"/>
  <c r="R47" i="1"/>
  <c r="G47" i="1" s="1"/>
  <c r="F52" i="1"/>
  <c r="I52" i="1" s="1"/>
  <c r="R48" i="1"/>
  <c r="T48" i="1"/>
  <c r="F47" i="1"/>
  <c r="I47" i="1" s="1"/>
  <c r="N236" i="1"/>
  <c r="Q236" i="1" s="1"/>
  <c r="T236" i="1" s="1"/>
  <c r="N235" i="1"/>
  <c r="O235" i="1" s="1"/>
  <c r="Y235" i="1" s="1"/>
  <c r="N234" i="1"/>
  <c r="O234" i="1" s="1"/>
  <c r="Y234" i="1" s="1"/>
  <c r="N233" i="1"/>
  <c r="O233" i="1" s="1"/>
  <c r="Y233" i="1" s="1"/>
  <c r="N232" i="1"/>
  <c r="O232" i="1" s="1"/>
  <c r="Y232" i="1" s="1"/>
  <c r="N231" i="1"/>
  <c r="O231" i="1" s="1"/>
  <c r="Y231" i="1" s="1"/>
  <c r="N230" i="1"/>
  <c r="O230" i="1" s="1"/>
  <c r="N229" i="1"/>
  <c r="O229" i="1" s="1"/>
  <c r="Y229" i="1" s="1"/>
  <c r="N228" i="1"/>
  <c r="Q228" i="1" s="1"/>
  <c r="N227" i="1"/>
  <c r="Q227" i="1" s="1"/>
  <c r="T227" i="1" s="1"/>
  <c r="N226" i="1"/>
  <c r="O226" i="1" s="1"/>
  <c r="Y226" i="1" s="1"/>
  <c r="N225" i="1"/>
  <c r="O225" i="1" s="1"/>
  <c r="Y225" i="1" s="1"/>
  <c r="N224" i="1"/>
  <c r="O224" i="1" s="1"/>
  <c r="N223" i="1"/>
  <c r="O223" i="1" s="1"/>
  <c r="N222" i="1"/>
  <c r="O222" i="1" s="1"/>
  <c r="Y222" i="1" s="1"/>
  <c r="N204" i="1"/>
  <c r="O204" i="1" s="1"/>
  <c r="Y204" i="1" s="1"/>
  <c r="N203" i="1"/>
  <c r="O203" i="1" s="1"/>
  <c r="Y203" i="1" s="1"/>
  <c r="N202" i="1"/>
  <c r="O202" i="1" s="1"/>
  <c r="Y202" i="1" s="1"/>
  <c r="N201" i="1"/>
  <c r="O201" i="1" s="1"/>
  <c r="Y201" i="1" s="1"/>
  <c r="N200" i="1"/>
  <c r="O200" i="1" s="1"/>
  <c r="Y200" i="1" s="1"/>
  <c r="N199" i="1"/>
  <c r="Q199" i="1" s="1"/>
  <c r="T199" i="1" s="1"/>
  <c r="N198" i="1"/>
  <c r="Q198" i="1" s="1"/>
  <c r="T198" i="1" s="1"/>
  <c r="N197" i="1"/>
  <c r="O197" i="1" s="1"/>
  <c r="Y197" i="1" s="1"/>
  <c r="N196" i="1"/>
  <c r="O196" i="1" s="1"/>
  <c r="Y196" i="1" s="1"/>
  <c r="N195" i="1"/>
  <c r="Q195" i="1" s="1"/>
  <c r="T195" i="1" s="1"/>
  <c r="N194" i="1"/>
  <c r="O194" i="1" s="1"/>
  <c r="Y194" i="1" s="1"/>
  <c r="N193" i="1"/>
  <c r="O193" i="1" s="1"/>
  <c r="Y193" i="1" s="1"/>
  <c r="N192" i="1"/>
  <c r="O192" i="1" s="1"/>
  <c r="N191" i="1"/>
  <c r="O191" i="1" s="1"/>
  <c r="N190" i="1"/>
  <c r="O190" i="1" s="1"/>
  <c r="Y190" i="1" s="1"/>
  <c r="N189" i="1"/>
  <c r="O189" i="1" s="1"/>
  <c r="Y189" i="1" s="1"/>
  <c r="N187" i="1"/>
  <c r="O187" i="1" s="1"/>
  <c r="Y187" i="1" s="1"/>
  <c r="N186" i="1"/>
  <c r="Q186" i="1" s="1"/>
  <c r="T186" i="1" s="1"/>
  <c r="N185" i="1"/>
  <c r="Q185" i="1" s="1"/>
  <c r="T185" i="1" s="1"/>
  <c r="N184" i="1"/>
  <c r="Q184" i="1" s="1"/>
  <c r="T184" i="1" s="1"/>
  <c r="N183" i="1"/>
  <c r="Q183" i="1" s="1"/>
  <c r="N182" i="1"/>
  <c r="O182" i="1" s="1"/>
  <c r="Y182" i="1" s="1"/>
  <c r="N180" i="1"/>
  <c r="Q180" i="1" s="1"/>
  <c r="N179" i="1"/>
  <c r="O179" i="1" s="1"/>
  <c r="Y179" i="1" s="1"/>
  <c r="N178" i="1"/>
  <c r="O178" i="1" s="1"/>
  <c r="Y178" i="1" s="1"/>
  <c r="N177" i="1"/>
  <c r="O177" i="1" s="1"/>
  <c r="Y177" i="1" s="1"/>
  <c r="N176" i="1"/>
  <c r="O176" i="1" s="1"/>
  <c r="Y176" i="1" s="1"/>
  <c r="N175" i="1"/>
  <c r="O175" i="1" s="1"/>
  <c r="Y175" i="1" s="1"/>
  <c r="N174" i="1"/>
  <c r="O174" i="1" s="1"/>
  <c r="Y174" i="1" s="1"/>
  <c r="N173" i="1"/>
  <c r="O173" i="1" s="1"/>
  <c r="Y173" i="1" s="1"/>
  <c r="N172" i="1"/>
  <c r="Q172" i="1" s="1"/>
  <c r="T172" i="1" s="1"/>
  <c r="N171" i="1"/>
  <c r="O171" i="1" s="1"/>
  <c r="Y171" i="1" s="1"/>
  <c r="Y170" i="1"/>
  <c r="N163" i="1"/>
  <c r="O163" i="1" s="1"/>
  <c r="Y163" i="1" s="1"/>
  <c r="N162" i="1"/>
  <c r="O162" i="1" s="1"/>
  <c r="Y162" i="1" s="1"/>
  <c r="N161" i="1"/>
  <c r="O161" i="1" s="1"/>
  <c r="N160" i="1"/>
  <c r="O160" i="1" s="1"/>
  <c r="Y160" i="1" s="1"/>
  <c r="N159" i="1"/>
  <c r="O159" i="1" s="1"/>
  <c r="N158" i="1"/>
  <c r="O158" i="1" s="1"/>
  <c r="Y158" i="1" s="1"/>
  <c r="N157" i="1"/>
  <c r="O157" i="1" s="1"/>
  <c r="Y157" i="1" s="1"/>
  <c r="N156" i="1"/>
  <c r="Q156" i="1" s="1"/>
  <c r="T156" i="1" s="1"/>
  <c r="N153" i="1"/>
  <c r="O153" i="1" s="1"/>
  <c r="Y153" i="1" s="1"/>
  <c r="N152" i="1"/>
  <c r="O152" i="1" s="1"/>
  <c r="Y152" i="1" s="1"/>
  <c r="N151" i="1"/>
  <c r="O151" i="1" s="1"/>
  <c r="Y151" i="1" s="1"/>
  <c r="N150" i="1"/>
  <c r="Q150" i="1" s="1"/>
  <c r="T150" i="1" s="1"/>
  <c r="N149" i="1"/>
  <c r="Q149" i="1" s="1"/>
  <c r="T149" i="1" s="1"/>
  <c r="N145" i="1"/>
  <c r="O145" i="1" s="1"/>
  <c r="Y145" i="1" s="1"/>
  <c r="N144" i="1"/>
  <c r="O144" i="1" s="1"/>
  <c r="Y144" i="1" s="1"/>
  <c r="N143" i="1"/>
  <c r="O143" i="1" s="1"/>
  <c r="Y143" i="1" s="1"/>
  <c r="N142" i="1"/>
  <c r="O142" i="1" s="1"/>
  <c r="Y142" i="1" s="1"/>
  <c r="N141" i="1"/>
  <c r="O141" i="1" s="1"/>
  <c r="Y141" i="1" s="1"/>
  <c r="N139" i="1"/>
  <c r="O139" i="1" s="1"/>
  <c r="Y139" i="1" s="1"/>
  <c r="N138" i="1"/>
  <c r="O138" i="1" s="1"/>
  <c r="Y138" i="1" s="1"/>
  <c r="N137" i="1"/>
  <c r="O137" i="1" s="1"/>
  <c r="Y137" i="1" s="1"/>
  <c r="N136" i="1"/>
  <c r="Q136" i="1" s="1"/>
  <c r="T136" i="1" s="1"/>
  <c r="N135" i="1"/>
  <c r="Q135" i="1" s="1"/>
  <c r="T135" i="1" s="1"/>
  <c r="N134" i="1"/>
  <c r="Q134" i="1" s="1"/>
  <c r="T134" i="1" s="1"/>
  <c r="N133" i="1"/>
  <c r="Q133" i="1" s="1"/>
  <c r="N132" i="1"/>
  <c r="O132" i="1" s="1"/>
  <c r="Y132" i="1" s="1"/>
  <c r="N131" i="1"/>
  <c r="O131" i="1" s="1"/>
  <c r="Y131" i="1" s="1"/>
  <c r="N130" i="1"/>
  <c r="O130" i="1" s="1"/>
  <c r="Y130" i="1" s="1"/>
  <c r="N129" i="1"/>
  <c r="O129" i="1" s="1"/>
  <c r="Y129" i="1" s="1"/>
  <c r="N128" i="1"/>
  <c r="O128" i="1" s="1"/>
  <c r="Y128" i="1" s="1"/>
  <c r="N127" i="1"/>
  <c r="O127" i="1" s="1"/>
  <c r="Y127" i="1" s="1"/>
  <c r="N126" i="1"/>
  <c r="O126" i="1" s="1"/>
  <c r="Y126" i="1" s="1"/>
  <c r="N125" i="1"/>
  <c r="Q125" i="1" s="1"/>
  <c r="T125" i="1" s="1"/>
  <c r="N124" i="1"/>
  <c r="Q124" i="1" s="1"/>
  <c r="T124" i="1" s="1"/>
  <c r="N122" i="1"/>
  <c r="O122" i="1" s="1"/>
  <c r="N121" i="1"/>
  <c r="Q121" i="1" s="1"/>
  <c r="T121" i="1" s="1"/>
  <c r="N120" i="1"/>
  <c r="Q120" i="1" s="1"/>
  <c r="T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Q113" i="1" s="1"/>
  <c r="N112" i="1"/>
  <c r="O112" i="1" s="1"/>
  <c r="N111" i="1"/>
  <c r="Q111" i="1" s="1"/>
  <c r="N110" i="1"/>
  <c r="O110" i="1" s="1"/>
  <c r="N109" i="1"/>
  <c r="Q109" i="1" s="1"/>
  <c r="T109" i="1" s="1"/>
  <c r="N108" i="1"/>
  <c r="Q108" i="1" s="1"/>
  <c r="T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Q101" i="1" s="1"/>
  <c r="N100" i="1"/>
  <c r="O100" i="1" s="1"/>
  <c r="N99" i="1"/>
  <c r="O99" i="1" s="1"/>
  <c r="N98" i="1"/>
  <c r="Q98" i="1" s="1"/>
  <c r="N97" i="1"/>
  <c r="Q97" i="1" s="1"/>
  <c r="N96" i="1"/>
  <c r="O96" i="1" s="1"/>
  <c r="N95" i="1"/>
  <c r="O95" i="1" s="1"/>
  <c r="N94" i="1"/>
  <c r="O94" i="1" s="1"/>
  <c r="N93" i="1"/>
  <c r="N91" i="1"/>
  <c r="O91" i="1" s="1"/>
  <c r="Y91" i="1" s="1"/>
  <c r="N90" i="1"/>
  <c r="O90" i="1" s="1"/>
  <c r="Y90" i="1" s="1"/>
  <c r="N89" i="1"/>
  <c r="O89" i="1" s="1"/>
  <c r="N88" i="1"/>
  <c r="Q88" i="1" s="1"/>
  <c r="N87" i="1"/>
  <c r="O87" i="1" s="1"/>
  <c r="N86" i="1"/>
  <c r="Q86" i="1" s="1"/>
  <c r="T86" i="1" s="1"/>
  <c r="N85" i="1"/>
  <c r="Q85" i="1" s="1"/>
  <c r="T85" i="1" s="1"/>
  <c r="N84" i="1"/>
  <c r="Q84" i="1" s="1"/>
  <c r="T84" i="1" s="1"/>
  <c r="N83" i="1"/>
  <c r="Q83" i="1" s="1"/>
  <c r="T83" i="1" s="1"/>
  <c r="N82" i="1"/>
  <c r="O82" i="1" s="1"/>
  <c r="Y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Q74" i="1" s="1"/>
  <c r="T74" i="1" s="1"/>
  <c r="N73" i="1"/>
  <c r="Q73" i="1" s="1"/>
  <c r="T73" i="1" s="1"/>
  <c r="N72" i="1"/>
  <c r="Q72" i="1" s="1"/>
  <c r="T72" i="1" s="1"/>
  <c r="N71" i="1"/>
  <c r="O71" i="1" s="1"/>
  <c r="N70" i="1"/>
  <c r="O70" i="1" s="1"/>
  <c r="N46" i="1"/>
  <c r="Q46" i="1" s="1"/>
  <c r="N45" i="1"/>
  <c r="Q45" i="1" s="1"/>
  <c r="T45" i="1" s="1"/>
  <c r="N43" i="1"/>
  <c r="Q43" i="1" s="1"/>
  <c r="T43" i="1" s="1"/>
  <c r="N42" i="1"/>
  <c r="O42" i="1" s="1"/>
  <c r="N41" i="1"/>
  <c r="Q41" i="1" s="1"/>
  <c r="T41" i="1" s="1"/>
  <c r="N38" i="1"/>
  <c r="Q38" i="1" s="1"/>
  <c r="T38" i="1" s="1"/>
  <c r="N37" i="1"/>
  <c r="O37" i="1" s="1"/>
  <c r="Y37" i="1" s="1"/>
  <c r="N36" i="1"/>
  <c r="O36" i="1" s="1"/>
  <c r="N35" i="1"/>
  <c r="O35" i="1" s="1"/>
  <c r="N32" i="1"/>
  <c r="O32" i="1" s="1"/>
  <c r="N31" i="1"/>
  <c r="O31" i="1" s="1"/>
  <c r="N29" i="1"/>
  <c r="O29" i="1" s="1"/>
  <c r="N27" i="1"/>
  <c r="O27" i="1" s="1"/>
  <c r="N25" i="1"/>
  <c r="Q25" i="1" s="1"/>
  <c r="N23" i="1"/>
  <c r="O23" i="1" s="1"/>
  <c r="N22" i="1"/>
  <c r="Q22" i="1" s="1"/>
  <c r="T22" i="1" s="1"/>
  <c r="N21" i="1"/>
  <c r="O21" i="1" s="1"/>
  <c r="Y21" i="1" s="1"/>
  <c r="N20" i="1"/>
  <c r="Q20" i="1" s="1"/>
  <c r="N18" i="1"/>
  <c r="O18" i="1" s="1"/>
  <c r="Y18" i="1" s="1"/>
  <c r="N16" i="1"/>
  <c r="Q16" i="1" s="1"/>
  <c r="T16" i="1" s="1"/>
  <c r="N15" i="1"/>
  <c r="O15" i="1" s="1"/>
  <c r="N14" i="1"/>
  <c r="O14" i="1" s="1"/>
  <c r="Y14" i="1" s="1"/>
  <c r="N13" i="1"/>
  <c r="O13" i="1" s="1"/>
  <c r="N12" i="1"/>
  <c r="O12" i="1" s="1"/>
  <c r="N6" i="1"/>
  <c r="O6" i="1" s="1"/>
  <c r="N5" i="1"/>
  <c r="O5" i="1" s="1"/>
  <c r="Y5" i="1" s="1"/>
  <c r="N4" i="1"/>
  <c r="O4" i="1" s="1"/>
  <c r="L236" i="1"/>
  <c r="L235" i="1"/>
  <c r="L234" i="1"/>
  <c r="L233" i="1"/>
  <c r="L232" i="1"/>
  <c r="L231" i="1"/>
  <c r="L230" i="1"/>
  <c r="L229" i="1"/>
  <c r="L228" i="1"/>
  <c r="X228" i="1" s="1"/>
  <c r="L227" i="1"/>
  <c r="X227" i="1" s="1"/>
  <c r="L226" i="1"/>
  <c r="L225" i="1"/>
  <c r="L224" i="1"/>
  <c r="L223" i="1"/>
  <c r="L222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X190" i="1" s="1"/>
  <c r="L189" i="1"/>
  <c r="L187" i="1"/>
  <c r="L186" i="1"/>
  <c r="L185" i="1"/>
  <c r="L184" i="1"/>
  <c r="L183" i="1"/>
  <c r="L182" i="1"/>
  <c r="L180" i="1"/>
  <c r="L179" i="1"/>
  <c r="L178" i="1"/>
  <c r="L177" i="1"/>
  <c r="L176" i="1"/>
  <c r="L175" i="1"/>
  <c r="L174" i="1"/>
  <c r="L173" i="1"/>
  <c r="L172" i="1"/>
  <c r="L171" i="1"/>
  <c r="L163" i="1"/>
  <c r="L162" i="1"/>
  <c r="L161" i="1"/>
  <c r="L160" i="1"/>
  <c r="L159" i="1"/>
  <c r="L158" i="1"/>
  <c r="L157" i="1"/>
  <c r="L156" i="1"/>
  <c r="L153" i="1"/>
  <c r="L152" i="1"/>
  <c r="L151" i="1"/>
  <c r="L150" i="1"/>
  <c r="L149" i="1"/>
  <c r="L145" i="1"/>
  <c r="L144" i="1"/>
  <c r="L143" i="1"/>
  <c r="L142" i="1"/>
  <c r="L141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1" i="1"/>
  <c r="X91" i="1" s="1"/>
  <c r="L90" i="1"/>
  <c r="X90" i="1" s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42" i="1"/>
  <c r="L41" i="1"/>
  <c r="L38" i="1"/>
  <c r="L37" i="1"/>
  <c r="L36" i="1"/>
  <c r="L35" i="1"/>
  <c r="L32" i="1"/>
  <c r="L31" i="1"/>
  <c r="L29" i="1"/>
  <c r="L27" i="1"/>
  <c r="L25" i="1"/>
  <c r="L23" i="1"/>
  <c r="L22" i="1"/>
  <c r="L21" i="1"/>
  <c r="L20" i="1"/>
  <c r="L18" i="1"/>
  <c r="L16" i="1"/>
  <c r="L15" i="1"/>
  <c r="L14" i="1"/>
  <c r="L13" i="1"/>
  <c r="L12" i="1"/>
  <c r="L6" i="1"/>
  <c r="L5" i="1"/>
  <c r="L4" i="1"/>
  <c r="G51" i="1" l="1"/>
  <c r="AA51" i="1"/>
  <c r="U50" i="1"/>
  <c r="F50" i="1"/>
  <c r="I50" i="1" s="1"/>
  <c r="U49" i="1"/>
  <c r="F49" i="1"/>
  <c r="I49" i="1" s="1"/>
  <c r="O93" i="1"/>
  <c r="F51" i="1"/>
  <c r="I51" i="1" s="1"/>
  <c r="O72" i="1"/>
  <c r="O183" i="1"/>
  <c r="Y183" i="1" s="1"/>
  <c r="O134" i="1"/>
  <c r="Y134" i="1" s="1"/>
  <c r="O236" i="1"/>
  <c r="Y236" i="1" s="1"/>
  <c r="U48" i="1"/>
  <c r="F48" i="1"/>
  <c r="I48" i="1" s="1"/>
  <c r="O180" i="1"/>
  <c r="Y180" i="1" s="1"/>
  <c r="O111" i="1"/>
  <c r="O113" i="1"/>
  <c r="O124" i="1"/>
  <c r="Y124" i="1" s="1"/>
  <c r="O228" i="1"/>
  <c r="Y228" i="1" s="1"/>
  <c r="Q114" i="1"/>
  <c r="R114" i="1" s="1"/>
  <c r="Z114" i="1" s="1"/>
  <c r="O43" i="1"/>
  <c r="Y43" i="1" s="1"/>
  <c r="Q96" i="1"/>
  <c r="R96" i="1" s="1"/>
  <c r="Z96" i="1" s="1"/>
  <c r="Q122" i="1"/>
  <c r="R122" i="1" s="1"/>
  <c r="Z122" i="1" s="1"/>
  <c r="O83" i="1"/>
  <c r="O84" i="1"/>
  <c r="Q141" i="1"/>
  <c r="R141" i="1" s="1"/>
  <c r="Z141" i="1" s="1"/>
  <c r="O86" i="1"/>
  <c r="Y86" i="1" s="1"/>
  <c r="Q152" i="1"/>
  <c r="R152" i="1" s="1"/>
  <c r="Z152" i="1" s="1"/>
  <c r="O46" i="1"/>
  <c r="O109" i="1"/>
  <c r="Q158" i="1"/>
  <c r="R158" i="1" s="1"/>
  <c r="Z158" i="1" s="1"/>
  <c r="O133" i="1"/>
  <c r="Y133" i="1" s="1"/>
  <c r="Q31" i="1"/>
  <c r="R31" i="1" s="1"/>
  <c r="O97" i="1"/>
  <c r="Q32" i="1"/>
  <c r="R32" i="1" s="1"/>
  <c r="Q159" i="1"/>
  <c r="R159" i="1" s="1"/>
  <c r="Z159" i="1" s="1"/>
  <c r="O108" i="1"/>
  <c r="Q36" i="1"/>
  <c r="R36" i="1" s="1"/>
  <c r="Z36" i="1" s="1"/>
  <c r="Q90" i="1"/>
  <c r="R90" i="1" s="1"/>
  <c r="Z90" i="1" s="1"/>
  <c r="Q182" i="1"/>
  <c r="R182" i="1" s="1"/>
  <c r="Z182" i="1" s="1"/>
  <c r="O25" i="1"/>
  <c r="Q93" i="1"/>
  <c r="R93" i="1" s="1"/>
  <c r="Z93" i="1" s="1"/>
  <c r="O38" i="1"/>
  <c r="Y38" i="1" s="1"/>
  <c r="Q94" i="1"/>
  <c r="T94" i="1" s="1"/>
  <c r="U94" i="1" s="1"/>
  <c r="AA94" i="1" s="1"/>
  <c r="Q200" i="1"/>
  <c r="T200" i="1" s="1"/>
  <c r="U200" i="1" s="1"/>
  <c r="AA200" i="1" s="1"/>
  <c r="Q95" i="1"/>
  <c r="T95" i="1" s="1"/>
  <c r="U95" i="1" s="1"/>
  <c r="AA95" i="1" s="1"/>
  <c r="Q202" i="1"/>
  <c r="R202" i="1" s="1"/>
  <c r="Z202" i="1" s="1"/>
  <c r="R97" i="1"/>
  <c r="Z97" i="1" s="1"/>
  <c r="T97" i="1"/>
  <c r="U97" i="1" s="1"/>
  <c r="AA97" i="1" s="1"/>
  <c r="T111" i="1"/>
  <c r="U111" i="1" s="1"/>
  <c r="AA111" i="1" s="1"/>
  <c r="R111" i="1"/>
  <c r="Z111" i="1" s="1"/>
  <c r="R20" i="1"/>
  <c r="Z20" i="1" s="1"/>
  <c r="T20" i="1"/>
  <c r="U20" i="1" s="1"/>
  <c r="AA20" i="1" s="1"/>
  <c r="T101" i="1"/>
  <c r="U101" i="1" s="1"/>
  <c r="AA101" i="1" s="1"/>
  <c r="T25" i="1"/>
  <c r="U25" i="1" s="1"/>
  <c r="T133" i="1"/>
  <c r="U133" i="1" s="1"/>
  <c r="AA133" i="1" s="1"/>
  <c r="R133" i="1"/>
  <c r="Z133" i="1" s="1"/>
  <c r="T88" i="1"/>
  <c r="U88" i="1" s="1"/>
  <c r="R88" i="1"/>
  <c r="T113" i="1"/>
  <c r="U113" i="1" s="1"/>
  <c r="AA113" i="1" s="1"/>
  <c r="R113" i="1"/>
  <c r="Z113" i="1" s="1"/>
  <c r="T46" i="1"/>
  <c r="U46" i="1" s="1"/>
  <c r="AA46" i="1" s="1"/>
  <c r="R98" i="1"/>
  <c r="Z98" i="1" s="1"/>
  <c r="T98" i="1"/>
  <c r="U98" i="1" s="1"/>
  <c r="AA98" i="1" s="1"/>
  <c r="T228" i="1"/>
  <c r="U228" i="1" s="1"/>
  <c r="AA228" i="1" s="1"/>
  <c r="O20" i="1"/>
  <c r="Q112" i="1"/>
  <c r="R180" i="1"/>
  <c r="Z180" i="1" s="1"/>
  <c r="T180" i="1"/>
  <c r="U180" i="1" s="1"/>
  <c r="AA180" i="1" s="1"/>
  <c r="O22" i="1"/>
  <c r="O85" i="1"/>
  <c r="Y85" i="1" s="1"/>
  <c r="O227" i="1"/>
  <c r="Y227" i="1" s="1"/>
  <c r="Q91" i="1"/>
  <c r="Q151" i="1"/>
  <c r="R183" i="1"/>
  <c r="Z183" i="1" s="1"/>
  <c r="T183" i="1"/>
  <c r="U183" i="1" s="1"/>
  <c r="AA183" i="1" s="1"/>
  <c r="Q153" i="1"/>
  <c r="Q4" i="1"/>
  <c r="Q37" i="1"/>
  <c r="Q127" i="1"/>
  <c r="Q126" i="1"/>
  <c r="R126" i="1" s="1"/>
  <c r="Z126" i="1" s="1"/>
  <c r="Q5" i="1"/>
  <c r="Q42" i="1"/>
  <c r="Q128" i="1"/>
  <c r="Q160" i="1"/>
  <c r="Q229" i="1"/>
  <c r="O73" i="1"/>
  <c r="O98" i="1"/>
  <c r="O135" i="1"/>
  <c r="Y135" i="1" s="1"/>
  <c r="Q6" i="1"/>
  <c r="Q129" i="1"/>
  <c r="Q161" i="1"/>
  <c r="Q230" i="1"/>
  <c r="O74" i="1"/>
  <c r="O101" i="1"/>
  <c r="O136" i="1"/>
  <c r="Y136" i="1" s="1"/>
  <c r="Q75" i="1"/>
  <c r="Q130" i="1"/>
  <c r="Q162" i="1"/>
  <c r="Q231" i="1"/>
  <c r="O156" i="1"/>
  <c r="Y156" i="1" s="1"/>
  <c r="Q12" i="1"/>
  <c r="Q76" i="1"/>
  <c r="Q102" i="1"/>
  <c r="Q131" i="1"/>
  <c r="R131" i="1" s="1"/>
  <c r="Z131" i="1" s="1"/>
  <c r="Q177" i="1"/>
  <c r="O172" i="1"/>
  <c r="Y172" i="1" s="1"/>
  <c r="Q13" i="1"/>
  <c r="Q87" i="1"/>
  <c r="R87" i="1" s="1"/>
  <c r="Q110" i="1"/>
  <c r="Q132" i="1"/>
  <c r="Q178" i="1"/>
  <c r="O88" i="1"/>
  <c r="O16" i="1"/>
  <c r="Y16" i="1" s="1"/>
  <c r="Q18" i="1"/>
  <c r="Q179" i="1"/>
  <c r="R236" i="1"/>
  <c r="Z236" i="1" s="1"/>
  <c r="U236" i="1"/>
  <c r="AA236" i="1" s="1"/>
  <c r="Q235" i="1"/>
  <c r="T235" i="1" s="1"/>
  <c r="U227" i="1"/>
  <c r="AA227" i="1" s="1"/>
  <c r="R227" i="1"/>
  <c r="Z227" i="1" s="1"/>
  <c r="R228" i="1"/>
  <c r="Z228" i="1" s="1"/>
  <c r="Q223" i="1"/>
  <c r="T223" i="1" s="1"/>
  <c r="Q222" i="1"/>
  <c r="T222" i="1" s="1"/>
  <c r="Q224" i="1"/>
  <c r="T224" i="1" s="1"/>
  <c r="Q232" i="1"/>
  <c r="T232" i="1" s="1"/>
  <c r="Q225" i="1"/>
  <c r="T225" i="1" s="1"/>
  <c r="Q234" i="1"/>
  <c r="T234" i="1" s="1"/>
  <c r="Q226" i="1"/>
  <c r="T226" i="1" s="1"/>
  <c r="Q233" i="1"/>
  <c r="T233" i="1" s="1"/>
  <c r="R195" i="1"/>
  <c r="Z195" i="1" s="1"/>
  <c r="U195" i="1"/>
  <c r="AA195" i="1" s="1"/>
  <c r="R198" i="1"/>
  <c r="Z198" i="1" s="1"/>
  <c r="U198" i="1"/>
  <c r="AA198" i="1" s="1"/>
  <c r="U199" i="1"/>
  <c r="AA199" i="1" s="1"/>
  <c r="R199" i="1"/>
  <c r="Z199" i="1" s="1"/>
  <c r="Q197" i="1"/>
  <c r="T197" i="1" s="1"/>
  <c r="Q196" i="1"/>
  <c r="T196" i="1" s="1"/>
  <c r="Q201" i="1"/>
  <c r="T201" i="1" s="1"/>
  <c r="Q203" i="1"/>
  <c r="T203" i="1" s="1"/>
  <c r="O195" i="1"/>
  <c r="Y195" i="1" s="1"/>
  <c r="O199" i="1"/>
  <c r="Y199" i="1" s="1"/>
  <c r="Q204" i="1"/>
  <c r="T204" i="1" s="1"/>
  <c r="O198" i="1"/>
  <c r="Y198" i="1" s="1"/>
  <c r="Q194" i="1"/>
  <c r="T194" i="1" s="1"/>
  <c r="Q193" i="1"/>
  <c r="T193" i="1" s="1"/>
  <c r="U185" i="1"/>
  <c r="AA185" i="1" s="1"/>
  <c r="R185" i="1"/>
  <c r="Z185" i="1" s="1"/>
  <c r="U184" i="1"/>
  <c r="AA184" i="1" s="1"/>
  <c r="R184" i="1"/>
  <c r="Z184" i="1" s="1"/>
  <c r="U186" i="1"/>
  <c r="AA186" i="1" s="1"/>
  <c r="R186" i="1"/>
  <c r="Z186" i="1" s="1"/>
  <c r="O184" i="1"/>
  <c r="Y184" i="1" s="1"/>
  <c r="O185" i="1"/>
  <c r="Y185" i="1" s="1"/>
  <c r="O186" i="1"/>
  <c r="Y186" i="1" s="1"/>
  <c r="Q187" i="1"/>
  <c r="T187" i="1" s="1"/>
  <c r="Q189" i="1"/>
  <c r="T189" i="1" s="1"/>
  <c r="Q190" i="1"/>
  <c r="T190" i="1" s="1"/>
  <c r="Q191" i="1"/>
  <c r="T191" i="1" s="1"/>
  <c r="Q192" i="1"/>
  <c r="T192" i="1" s="1"/>
  <c r="Q173" i="1"/>
  <c r="T173" i="1" s="1"/>
  <c r="Q174" i="1"/>
  <c r="T174" i="1" s="1"/>
  <c r="Q175" i="1"/>
  <c r="T175" i="1" s="1"/>
  <c r="Q176" i="1"/>
  <c r="T176" i="1" s="1"/>
  <c r="U172" i="1"/>
  <c r="AA172" i="1" s="1"/>
  <c r="R172" i="1"/>
  <c r="Z172" i="1" s="1"/>
  <c r="Q163" i="1"/>
  <c r="T163" i="1" s="1"/>
  <c r="Q171" i="1"/>
  <c r="T171" i="1" s="1"/>
  <c r="Q157" i="1"/>
  <c r="T157" i="1" s="1"/>
  <c r="U156" i="1"/>
  <c r="AA156" i="1" s="1"/>
  <c r="R156" i="1"/>
  <c r="Z156" i="1" s="1"/>
  <c r="R149" i="1"/>
  <c r="Z149" i="1" s="1"/>
  <c r="U149" i="1"/>
  <c r="AA149" i="1" s="1"/>
  <c r="U150" i="1"/>
  <c r="AA150" i="1" s="1"/>
  <c r="R150" i="1"/>
  <c r="Z150" i="1" s="1"/>
  <c r="O149" i="1"/>
  <c r="Y149" i="1" s="1"/>
  <c r="O150" i="1"/>
  <c r="Y150" i="1" s="1"/>
  <c r="Q145" i="1"/>
  <c r="T145" i="1" s="1"/>
  <c r="Q143" i="1"/>
  <c r="T143" i="1" s="1"/>
  <c r="Q144" i="1"/>
  <c r="T144" i="1" s="1"/>
  <c r="Q142" i="1"/>
  <c r="T142" i="1" s="1"/>
  <c r="Q137" i="1"/>
  <c r="T137" i="1" s="1"/>
  <c r="Q138" i="1"/>
  <c r="T138" i="1" s="1"/>
  <c r="Q139" i="1"/>
  <c r="T139" i="1" s="1"/>
  <c r="R135" i="1"/>
  <c r="Z135" i="1" s="1"/>
  <c r="U135" i="1"/>
  <c r="AA135" i="1" s="1"/>
  <c r="U136" i="1"/>
  <c r="AA136" i="1" s="1"/>
  <c r="R136" i="1"/>
  <c r="Z136" i="1" s="1"/>
  <c r="R134" i="1"/>
  <c r="Z134" i="1" s="1"/>
  <c r="U134" i="1"/>
  <c r="AA134" i="1" s="1"/>
  <c r="U125" i="1"/>
  <c r="AA125" i="1" s="1"/>
  <c r="R125" i="1"/>
  <c r="Z125" i="1" s="1"/>
  <c r="O125" i="1"/>
  <c r="Y125" i="1" s="1"/>
  <c r="U124" i="1"/>
  <c r="AA124" i="1" s="1"/>
  <c r="R124" i="1"/>
  <c r="Z124" i="1" s="1"/>
  <c r="R108" i="1"/>
  <c r="Z108" i="1" s="1"/>
  <c r="U108" i="1"/>
  <c r="AA108" i="1" s="1"/>
  <c r="R109" i="1"/>
  <c r="Z109" i="1" s="1"/>
  <c r="U109" i="1"/>
  <c r="AA109" i="1" s="1"/>
  <c r="R120" i="1"/>
  <c r="Z120" i="1" s="1"/>
  <c r="U120" i="1"/>
  <c r="AA120" i="1" s="1"/>
  <c r="R121" i="1"/>
  <c r="Z121" i="1" s="1"/>
  <c r="U121" i="1"/>
  <c r="AA121" i="1" s="1"/>
  <c r="Q103" i="1"/>
  <c r="T103" i="1" s="1"/>
  <c r="Q115" i="1"/>
  <c r="T115" i="1" s="1"/>
  <c r="Q116" i="1"/>
  <c r="T116" i="1" s="1"/>
  <c r="Q105" i="1"/>
  <c r="T105" i="1" s="1"/>
  <c r="Q117" i="1"/>
  <c r="T117" i="1" s="1"/>
  <c r="Q106" i="1"/>
  <c r="T106" i="1" s="1"/>
  <c r="Q118" i="1"/>
  <c r="T118" i="1" s="1"/>
  <c r="Q107" i="1"/>
  <c r="T107" i="1" s="1"/>
  <c r="Q119" i="1"/>
  <c r="T119" i="1" s="1"/>
  <c r="Q104" i="1"/>
  <c r="T104" i="1" s="1"/>
  <c r="O120" i="1"/>
  <c r="O121" i="1"/>
  <c r="R101" i="1"/>
  <c r="Z101" i="1" s="1"/>
  <c r="Q99" i="1"/>
  <c r="T99" i="1" s="1"/>
  <c r="Q100" i="1"/>
  <c r="T100" i="1" s="1"/>
  <c r="U83" i="1"/>
  <c r="R83" i="1"/>
  <c r="R84" i="1"/>
  <c r="U84" i="1"/>
  <c r="U72" i="1"/>
  <c r="R72" i="1"/>
  <c r="R85" i="1"/>
  <c r="Z85" i="1" s="1"/>
  <c r="U85" i="1"/>
  <c r="AA85" i="1" s="1"/>
  <c r="U86" i="1"/>
  <c r="AA86" i="1" s="1"/>
  <c r="R86" i="1"/>
  <c r="Z86" i="1" s="1"/>
  <c r="U73" i="1"/>
  <c r="AA73" i="1" s="1"/>
  <c r="R73" i="1"/>
  <c r="Z73" i="1" s="1"/>
  <c r="U74" i="1"/>
  <c r="R74" i="1"/>
  <c r="Q78" i="1"/>
  <c r="T78" i="1" s="1"/>
  <c r="Q89" i="1"/>
  <c r="T89" i="1" s="1"/>
  <c r="Q79" i="1"/>
  <c r="T79" i="1" s="1"/>
  <c r="Q80" i="1"/>
  <c r="T80" i="1" s="1"/>
  <c r="Q81" i="1"/>
  <c r="T81" i="1" s="1"/>
  <c r="Q82" i="1"/>
  <c r="T82" i="1" s="1"/>
  <c r="Q77" i="1"/>
  <c r="T77" i="1" s="1"/>
  <c r="Q71" i="1"/>
  <c r="T71" i="1" s="1"/>
  <c r="Q70" i="1"/>
  <c r="T70" i="1" s="1"/>
  <c r="R46" i="1"/>
  <c r="Z46" i="1" s="1"/>
  <c r="U45" i="1"/>
  <c r="AA45" i="1" s="1"/>
  <c r="R45" i="1"/>
  <c r="Z45" i="1" s="1"/>
  <c r="O45" i="1"/>
  <c r="U38" i="1"/>
  <c r="AA38" i="1" s="1"/>
  <c r="R38" i="1"/>
  <c r="Z38" i="1" s="1"/>
  <c r="O41" i="1"/>
  <c r="Q35" i="1"/>
  <c r="T35" i="1" s="1"/>
  <c r="Q23" i="1"/>
  <c r="T23" i="1" s="1"/>
  <c r="Q27" i="1"/>
  <c r="T27" i="1" s="1"/>
  <c r="Q29" i="1"/>
  <c r="T29" i="1" s="1"/>
  <c r="U41" i="1"/>
  <c r="AA41" i="1" s="1"/>
  <c r="R41" i="1"/>
  <c r="Z41" i="1" s="1"/>
  <c r="R25" i="1"/>
  <c r="R43" i="1"/>
  <c r="Z43" i="1" s="1"/>
  <c r="U43" i="1"/>
  <c r="AA43" i="1" s="1"/>
  <c r="U22" i="1"/>
  <c r="AA22" i="1" s="1"/>
  <c r="R22" i="1"/>
  <c r="Z22" i="1" s="1"/>
  <c r="Q21" i="1"/>
  <c r="T21" i="1" s="1"/>
  <c r="Q14" i="1"/>
  <c r="T14" i="1" s="1"/>
  <c r="R16" i="1"/>
  <c r="Z16" i="1" s="1"/>
  <c r="U16" i="1"/>
  <c r="AA16" i="1" s="1"/>
  <c r="Q15" i="1"/>
  <c r="T15" i="1" s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G49" i="1" l="1"/>
  <c r="AA49" i="1"/>
  <c r="G50" i="1"/>
  <c r="AA50" i="1"/>
  <c r="G48" i="1"/>
  <c r="AA48" i="1"/>
  <c r="T152" i="1"/>
  <c r="U152" i="1" s="1"/>
  <c r="AA152" i="1" s="1"/>
  <c r="R94" i="1"/>
  <c r="Z94" i="1" s="1"/>
  <c r="T96" i="1"/>
  <c r="U96" i="1" s="1"/>
  <c r="AA96" i="1" s="1"/>
  <c r="T159" i="1"/>
  <c r="U159" i="1" s="1"/>
  <c r="AA159" i="1" s="1"/>
  <c r="R95" i="1"/>
  <c r="Z95" i="1" s="1"/>
  <c r="R200" i="1"/>
  <c r="Z200" i="1" s="1"/>
  <c r="T32" i="1"/>
  <c r="U32" i="1" s="1"/>
  <c r="T31" i="1"/>
  <c r="U31" i="1" s="1"/>
  <c r="T122" i="1"/>
  <c r="U122" i="1" s="1"/>
  <c r="AA122" i="1" s="1"/>
  <c r="T114" i="1"/>
  <c r="U114" i="1" s="1"/>
  <c r="AA114" i="1" s="1"/>
  <c r="T36" i="1"/>
  <c r="U36" i="1" s="1"/>
  <c r="AA36" i="1" s="1"/>
  <c r="T158" i="1"/>
  <c r="U158" i="1" s="1"/>
  <c r="AA158" i="1" s="1"/>
  <c r="T141" i="1"/>
  <c r="U141" i="1" s="1"/>
  <c r="AA141" i="1" s="1"/>
  <c r="T202" i="1"/>
  <c r="U202" i="1" s="1"/>
  <c r="AA202" i="1" s="1"/>
  <c r="T93" i="1"/>
  <c r="U93" i="1" s="1"/>
  <c r="T182" i="1"/>
  <c r="U182" i="1" s="1"/>
  <c r="AA182" i="1" s="1"/>
  <c r="T90" i="1"/>
  <c r="U90" i="1" s="1"/>
  <c r="AA90" i="1" s="1"/>
  <c r="R102" i="1"/>
  <c r="Z102" i="1" s="1"/>
  <c r="T102" i="1"/>
  <c r="U102" i="1" s="1"/>
  <c r="AA102" i="1" s="1"/>
  <c r="T76" i="1"/>
  <c r="U76" i="1" s="1"/>
  <c r="R76" i="1"/>
  <c r="R12" i="1"/>
  <c r="Z12" i="1" s="1"/>
  <c r="T12" i="1"/>
  <c r="U12" i="1" s="1"/>
  <c r="AA12" i="1" s="1"/>
  <c r="T153" i="1"/>
  <c r="U153" i="1" s="1"/>
  <c r="AA153" i="1" s="1"/>
  <c r="R178" i="1"/>
  <c r="Z178" i="1" s="1"/>
  <c r="T178" i="1"/>
  <c r="U178" i="1" s="1"/>
  <c r="AA178" i="1" s="1"/>
  <c r="R231" i="1"/>
  <c r="Z231" i="1" s="1"/>
  <c r="T231" i="1"/>
  <c r="U231" i="1" s="1"/>
  <c r="AA231" i="1" s="1"/>
  <c r="R230" i="1"/>
  <c r="Z230" i="1" s="1"/>
  <c r="T230" i="1"/>
  <c r="U230" i="1" s="1"/>
  <c r="AA230" i="1" s="1"/>
  <c r="T112" i="1"/>
  <c r="U112" i="1" s="1"/>
  <c r="AA112" i="1" s="1"/>
  <c r="R112" i="1"/>
  <c r="Z112" i="1" s="1"/>
  <c r="T132" i="1"/>
  <c r="U132" i="1" s="1"/>
  <c r="AA132" i="1" s="1"/>
  <c r="R132" i="1"/>
  <c r="Z132" i="1" s="1"/>
  <c r="R162" i="1"/>
  <c r="Z162" i="1" s="1"/>
  <c r="T162" i="1"/>
  <c r="U162" i="1" s="1"/>
  <c r="AA162" i="1" s="1"/>
  <c r="R161" i="1"/>
  <c r="Z161" i="1" s="1"/>
  <c r="T161" i="1"/>
  <c r="U161" i="1" s="1"/>
  <c r="AA161" i="1" s="1"/>
  <c r="R229" i="1"/>
  <c r="Z229" i="1" s="1"/>
  <c r="T229" i="1"/>
  <c r="U229" i="1" s="1"/>
  <c r="AA229" i="1" s="1"/>
  <c r="R110" i="1"/>
  <c r="Z110" i="1" s="1"/>
  <c r="T110" i="1"/>
  <c r="U110" i="1" s="1"/>
  <c r="AA110" i="1" s="1"/>
  <c r="T130" i="1"/>
  <c r="U130" i="1" s="1"/>
  <c r="AA130" i="1" s="1"/>
  <c r="R130" i="1"/>
  <c r="Z130" i="1" s="1"/>
  <c r="T129" i="1"/>
  <c r="U129" i="1" s="1"/>
  <c r="AA129" i="1" s="1"/>
  <c r="R129" i="1"/>
  <c r="Z129" i="1" s="1"/>
  <c r="R160" i="1"/>
  <c r="Z160" i="1" s="1"/>
  <c r="T160" i="1"/>
  <c r="U160" i="1" s="1"/>
  <c r="AA160" i="1" s="1"/>
  <c r="T87" i="1"/>
  <c r="U87" i="1" s="1"/>
  <c r="T75" i="1"/>
  <c r="U75" i="1" s="1"/>
  <c r="AA75" i="1" s="1"/>
  <c r="T6" i="1"/>
  <c r="U6" i="1" s="1"/>
  <c r="R6" i="1"/>
  <c r="R128" i="1"/>
  <c r="Z128" i="1" s="1"/>
  <c r="T128" i="1"/>
  <c r="U128" i="1" s="1"/>
  <c r="AA128" i="1" s="1"/>
  <c r="R127" i="1"/>
  <c r="Z127" i="1" s="1"/>
  <c r="T127" i="1"/>
  <c r="U127" i="1" s="1"/>
  <c r="AA127" i="1" s="1"/>
  <c r="T151" i="1"/>
  <c r="U151" i="1" s="1"/>
  <c r="AA151" i="1" s="1"/>
  <c r="R179" i="1"/>
  <c r="Z179" i="1" s="1"/>
  <c r="T179" i="1"/>
  <c r="U179" i="1" s="1"/>
  <c r="AA179" i="1" s="1"/>
  <c r="R13" i="1"/>
  <c r="Z13" i="1" s="1"/>
  <c r="T13" i="1"/>
  <c r="U13" i="1" s="1"/>
  <c r="AA13" i="1" s="1"/>
  <c r="T42" i="1"/>
  <c r="U42" i="1" s="1"/>
  <c r="AA42" i="1" s="1"/>
  <c r="R42" i="1"/>
  <c r="Z42" i="1" s="1"/>
  <c r="R91" i="1"/>
  <c r="Z91" i="1" s="1"/>
  <c r="T91" i="1"/>
  <c r="U91" i="1" s="1"/>
  <c r="AA91" i="1" s="1"/>
  <c r="R151" i="1"/>
  <c r="Z151" i="1" s="1"/>
  <c r="R18" i="1"/>
  <c r="Z18" i="1" s="1"/>
  <c r="T18" i="1"/>
  <c r="U18" i="1" s="1"/>
  <c r="AA18" i="1" s="1"/>
  <c r="R5" i="1"/>
  <c r="Z5" i="1" s="1"/>
  <c r="T5" i="1"/>
  <c r="U5" i="1" s="1"/>
  <c r="AA5" i="1" s="1"/>
  <c r="R75" i="1"/>
  <c r="Z75" i="1" s="1"/>
  <c r="R153" i="1"/>
  <c r="Z153" i="1" s="1"/>
  <c r="R177" i="1"/>
  <c r="Z177" i="1" s="1"/>
  <c r="T177" i="1"/>
  <c r="U177" i="1" s="1"/>
  <c r="AA177" i="1" s="1"/>
  <c r="T126" i="1"/>
  <c r="U126" i="1" s="1"/>
  <c r="AA126" i="1" s="1"/>
  <c r="T37" i="1"/>
  <c r="U37" i="1" s="1"/>
  <c r="AA37" i="1" s="1"/>
  <c r="R37" i="1"/>
  <c r="Z37" i="1" s="1"/>
  <c r="T131" i="1"/>
  <c r="U131" i="1" s="1"/>
  <c r="AA131" i="1" s="1"/>
  <c r="R4" i="1"/>
  <c r="Z4" i="1" s="1"/>
  <c r="T4" i="1"/>
  <c r="U4" i="1" s="1"/>
  <c r="AA4" i="1" s="1"/>
  <c r="R235" i="1"/>
  <c r="Z235" i="1" s="1"/>
  <c r="U235" i="1"/>
  <c r="AA235" i="1" s="1"/>
  <c r="U226" i="1"/>
  <c r="AA226" i="1" s="1"/>
  <c r="R226" i="1"/>
  <c r="Z226" i="1" s="1"/>
  <c r="U225" i="1"/>
  <c r="AA225" i="1" s="1"/>
  <c r="R225" i="1"/>
  <c r="Z225" i="1" s="1"/>
  <c r="R224" i="1"/>
  <c r="Z224" i="1" s="1"/>
  <c r="U224" i="1"/>
  <c r="AA224" i="1" s="1"/>
  <c r="R222" i="1"/>
  <c r="Z222" i="1" s="1"/>
  <c r="U222" i="1"/>
  <c r="AA222" i="1" s="1"/>
  <c r="R233" i="1"/>
  <c r="Z233" i="1" s="1"/>
  <c r="U233" i="1"/>
  <c r="AA233" i="1" s="1"/>
  <c r="R234" i="1"/>
  <c r="Z234" i="1" s="1"/>
  <c r="U234" i="1"/>
  <c r="AA234" i="1" s="1"/>
  <c r="R232" i="1"/>
  <c r="Z232" i="1" s="1"/>
  <c r="U232" i="1"/>
  <c r="AA232" i="1" s="1"/>
  <c r="R223" i="1"/>
  <c r="Z223" i="1" s="1"/>
  <c r="U223" i="1"/>
  <c r="AA223" i="1" s="1"/>
  <c r="R203" i="1"/>
  <c r="Z203" i="1" s="1"/>
  <c r="U203" i="1"/>
  <c r="AA203" i="1" s="1"/>
  <c r="R201" i="1"/>
  <c r="Z201" i="1" s="1"/>
  <c r="U201" i="1"/>
  <c r="AA201" i="1" s="1"/>
  <c r="U197" i="1"/>
  <c r="AA197" i="1" s="1"/>
  <c r="R197" i="1"/>
  <c r="Z197" i="1" s="1"/>
  <c r="R196" i="1"/>
  <c r="Z196" i="1" s="1"/>
  <c r="U196" i="1"/>
  <c r="AA196" i="1" s="1"/>
  <c r="R204" i="1"/>
  <c r="Z204" i="1" s="1"/>
  <c r="U204" i="1"/>
  <c r="AA204" i="1" s="1"/>
  <c r="U194" i="1"/>
  <c r="AA194" i="1" s="1"/>
  <c r="R194" i="1"/>
  <c r="Z194" i="1" s="1"/>
  <c r="U193" i="1"/>
  <c r="AA193" i="1" s="1"/>
  <c r="R193" i="1"/>
  <c r="Z193" i="1" s="1"/>
  <c r="R187" i="1"/>
  <c r="Z187" i="1" s="1"/>
  <c r="U187" i="1"/>
  <c r="AA187" i="1" s="1"/>
  <c r="R189" i="1"/>
  <c r="Z189" i="1" s="1"/>
  <c r="U189" i="1"/>
  <c r="AA189" i="1" s="1"/>
  <c r="R190" i="1"/>
  <c r="Z190" i="1" s="1"/>
  <c r="U190" i="1"/>
  <c r="AA190" i="1" s="1"/>
  <c r="R192" i="1"/>
  <c r="Z192" i="1" s="1"/>
  <c r="U192" i="1"/>
  <c r="AA192" i="1" s="1"/>
  <c r="R191" i="1"/>
  <c r="Z191" i="1" s="1"/>
  <c r="U191" i="1"/>
  <c r="AA191" i="1" s="1"/>
  <c r="R176" i="1"/>
  <c r="Z176" i="1" s="1"/>
  <c r="U176" i="1"/>
  <c r="AA176" i="1" s="1"/>
  <c r="R175" i="1"/>
  <c r="Z175" i="1" s="1"/>
  <c r="U175" i="1"/>
  <c r="AA175" i="1" s="1"/>
  <c r="R174" i="1"/>
  <c r="Z174" i="1" s="1"/>
  <c r="U174" i="1"/>
  <c r="AA174" i="1" s="1"/>
  <c r="U173" i="1"/>
  <c r="AA173" i="1" s="1"/>
  <c r="R173" i="1"/>
  <c r="Z173" i="1" s="1"/>
  <c r="U171" i="1"/>
  <c r="AA171" i="1" s="1"/>
  <c r="R171" i="1"/>
  <c r="Z171" i="1" s="1"/>
  <c r="Z170" i="1"/>
  <c r="AA170" i="1"/>
  <c r="R163" i="1"/>
  <c r="Z163" i="1" s="1"/>
  <c r="U163" i="1"/>
  <c r="AA163" i="1" s="1"/>
  <c r="R157" i="1"/>
  <c r="Z157" i="1" s="1"/>
  <c r="U157" i="1"/>
  <c r="AA157" i="1" s="1"/>
  <c r="R143" i="1"/>
  <c r="Z143" i="1" s="1"/>
  <c r="U143" i="1"/>
  <c r="AA143" i="1" s="1"/>
  <c r="R144" i="1"/>
  <c r="Z144" i="1" s="1"/>
  <c r="U144" i="1"/>
  <c r="AA144" i="1" s="1"/>
  <c r="R145" i="1"/>
  <c r="Z145" i="1" s="1"/>
  <c r="U145" i="1"/>
  <c r="AA145" i="1" s="1"/>
  <c r="R142" i="1"/>
  <c r="Z142" i="1" s="1"/>
  <c r="U142" i="1"/>
  <c r="AA142" i="1" s="1"/>
  <c r="U138" i="1"/>
  <c r="AA138" i="1" s="1"/>
  <c r="R138" i="1"/>
  <c r="Z138" i="1" s="1"/>
  <c r="R139" i="1"/>
  <c r="Z139" i="1" s="1"/>
  <c r="U139" i="1"/>
  <c r="AA139" i="1" s="1"/>
  <c r="U137" i="1"/>
  <c r="AA137" i="1" s="1"/>
  <c r="R137" i="1"/>
  <c r="Z137" i="1" s="1"/>
  <c r="R105" i="1"/>
  <c r="Z105" i="1" s="1"/>
  <c r="U105" i="1"/>
  <c r="AA105" i="1" s="1"/>
  <c r="R103" i="1"/>
  <c r="Z103" i="1" s="1"/>
  <c r="U103" i="1"/>
  <c r="AA103" i="1" s="1"/>
  <c r="R104" i="1"/>
  <c r="Z104" i="1" s="1"/>
  <c r="U104" i="1"/>
  <c r="AA104" i="1" s="1"/>
  <c r="R107" i="1"/>
  <c r="Z107" i="1" s="1"/>
  <c r="U107" i="1"/>
  <c r="AA107" i="1" s="1"/>
  <c r="R116" i="1"/>
  <c r="Z116" i="1" s="1"/>
  <c r="U116" i="1"/>
  <c r="AA116" i="1" s="1"/>
  <c r="R115" i="1"/>
  <c r="Z115" i="1" s="1"/>
  <c r="U115" i="1"/>
  <c r="AA115" i="1" s="1"/>
  <c r="R118" i="1"/>
  <c r="Z118" i="1" s="1"/>
  <c r="U118" i="1"/>
  <c r="AA118" i="1" s="1"/>
  <c r="R106" i="1"/>
  <c r="Z106" i="1" s="1"/>
  <c r="U106" i="1"/>
  <c r="AA106" i="1" s="1"/>
  <c r="R119" i="1"/>
  <c r="Z119" i="1" s="1"/>
  <c r="U119" i="1"/>
  <c r="AA119" i="1" s="1"/>
  <c r="R117" i="1"/>
  <c r="Z117" i="1" s="1"/>
  <c r="U117" i="1"/>
  <c r="AA117" i="1" s="1"/>
  <c r="R100" i="1"/>
  <c r="Z100" i="1" s="1"/>
  <c r="U100" i="1"/>
  <c r="AA100" i="1" s="1"/>
  <c r="R99" i="1"/>
  <c r="Z99" i="1" s="1"/>
  <c r="U99" i="1"/>
  <c r="AA99" i="1" s="1"/>
  <c r="U82" i="1"/>
  <c r="AA82" i="1" s="1"/>
  <c r="R82" i="1"/>
  <c r="Z82" i="1" s="1"/>
  <c r="R80" i="1"/>
  <c r="Z80" i="1" s="1"/>
  <c r="U80" i="1"/>
  <c r="AA80" i="1" s="1"/>
  <c r="R79" i="1"/>
  <c r="U79" i="1"/>
  <c r="R77" i="1"/>
  <c r="U77" i="1"/>
  <c r="R81" i="1"/>
  <c r="Z81" i="1" s="1"/>
  <c r="U81" i="1"/>
  <c r="AA81" i="1" s="1"/>
  <c r="R89" i="1"/>
  <c r="U89" i="1"/>
  <c r="R78" i="1"/>
  <c r="Z78" i="1" s="1"/>
  <c r="U78" i="1"/>
  <c r="AA78" i="1" s="1"/>
  <c r="R71" i="1"/>
  <c r="U71" i="1"/>
  <c r="R70" i="1"/>
  <c r="U70" i="1"/>
  <c r="R35" i="1"/>
  <c r="Z35" i="1" s="1"/>
  <c r="U35" i="1"/>
  <c r="AA35" i="1" s="1"/>
  <c r="R23" i="1"/>
  <c r="U23" i="1"/>
  <c r="U27" i="1"/>
  <c r="R27" i="1"/>
  <c r="R29" i="1"/>
  <c r="U29" i="1"/>
  <c r="R21" i="1"/>
  <c r="Z21" i="1" s="1"/>
  <c r="U21" i="1"/>
  <c r="AA21" i="1" s="1"/>
  <c r="R14" i="1"/>
  <c r="Z14" i="1" s="1"/>
  <c r="U14" i="1"/>
  <c r="AA14" i="1" s="1"/>
  <c r="R15" i="1"/>
  <c r="Z15" i="1" s="1"/>
  <c r="U15" i="1"/>
  <c r="AA15" i="1" s="1"/>
  <c r="I53" i="1"/>
  <c r="I67" i="1"/>
  <c r="I63" i="1"/>
  <c r="I64" i="1"/>
  <c r="I68" i="1"/>
  <c r="I65" i="1"/>
  <c r="I61" i="1"/>
  <c r="I57" i="1"/>
  <c r="I60" i="1"/>
  <c r="I59" i="1"/>
  <c r="I55" i="1"/>
  <c r="I56" i="1"/>
  <c r="I66" i="1"/>
  <c r="I62" i="1"/>
  <c r="I58" i="1"/>
  <c r="I54" i="1"/>
  <c r="G93" i="1" l="1"/>
  <c r="AA93" i="1"/>
  <c r="F93" i="1"/>
  <c r="I93" i="1" s="1"/>
  <c r="F7" i="3"/>
  <c r="F2" i="5"/>
  <c r="G241" i="1" l="1"/>
  <c r="F241" i="1"/>
  <c r="H241" i="1"/>
  <c r="I241" i="1" l="1"/>
  <c r="F73" i="1" l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13" i="1"/>
  <c r="G13" i="1"/>
  <c r="H13" i="1"/>
  <c r="I75" i="1" l="1"/>
  <c r="I74" i="1"/>
  <c r="I81" i="1"/>
  <c r="I76" i="1"/>
  <c r="I84" i="1"/>
  <c r="I78" i="1"/>
  <c r="I77" i="1"/>
  <c r="I73" i="1"/>
  <c r="I83" i="1"/>
  <c r="I85" i="1"/>
  <c r="I82" i="1"/>
  <c r="I79" i="1"/>
  <c r="I80" i="1"/>
  <c r="I13" i="1"/>
  <c r="H178" i="1"/>
  <c r="F178" i="1" l="1"/>
  <c r="I178" i="1" s="1"/>
  <c r="G178" i="1"/>
  <c r="H110" i="1"/>
  <c r="F110" i="1" l="1"/>
  <c r="I110" i="1" s="1"/>
  <c r="G110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0" i="1" l="1"/>
  <c r="H20" i="1"/>
  <c r="G20" i="1"/>
  <c r="I20" i="1" l="1"/>
  <c r="F143" i="1"/>
  <c r="G143" i="1"/>
  <c r="H143" i="1"/>
  <c r="I143" i="1" l="1"/>
  <c r="H236" i="1" l="1"/>
  <c r="F236" i="1"/>
  <c r="G236" i="1"/>
  <c r="F200" i="1"/>
  <c r="H198" i="1"/>
  <c r="F198" i="1"/>
  <c r="G198" i="1"/>
  <c r="H199" i="1"/>
  <c r="F199" i="1"/>
  <c r="G199" i="1"/>
  <c r="H200" i="1"/>
  <c r="G200" i="1"/>
  <c r="H201" i="1"/>
  <c r="F201" i="1"/>
  <c r="G201" i="1"/>
  <c r="I236" i="1" l="1"/>
  <c r="I199" i="1"/>
  <c r="I201" i="1"/>
  <c r="I198" i="1"/>
  <c r="I200" i="1"/>
  <c r="H240" i="1" l="1"/>
  <c r="G240" i="1"/>
  <c r="F240" i="1"/>
  <c r="H239" i="1"/>
  <c r="G239" i="1"/>
  <c r="F239" i="1"/>
  <c r="H238" i="1"/>
  <c r="G238" i="1"/>
  <c r="F238" i="1"/>
  <c r="F235" i="1"/>
  <c r="H235" i="1"/>
  <c r="F234" i="1"/>
  <c r="H234" i="1"/>
  <c r="F233" i="1"/>
  <c r="H233" i="1"/>
  <c r="F232" i="1"/>
  <c r="H232" i="1"/>
  <c r="F231" i="1"/>
  <c r="H231" i="1"/>
  <c r="F230" i="1"/>
  <c r="H230" i="1"/>
  <c r="G229" i="1"/>
  <c r="F229" i="1"/>
  <c r="H229" i="1"/>
  <c r="G228" i="1"/>
  <c r="F228" i="1"/>
  <c r="H228" i="1"/>
  <c r="G227" i="1"/>
  <c r="F227" i="1"/>
  <c r="H227" i="1"/>
  <c r="G226" i="1"/>
  <c r="F226" i="1"/>
  <c r="H226" i="1"/>
  <c r="G225" i="1"/>
  <c r="F225" i="1"/>
  <c r="H225" i="1"/>
  <c r="G224" i="1"/>
  <c r="F224" i="1"/>
  <c r="H224" i="1"/>
  <c r="G223" i="1"/>
  <c r="F223" i="1"/>
  <c r="H223" i="1"/>
  <c r="G222" i="1"/>
  <c r="F222" i="1"/>
  <c r="H222" i="1"/>
  <c r="G204" i="1"/>
  <c r="F204" i="1"/>
  <c r="H204" i="1"/>
  <c r="G203" i="1"/>
  <c r="F203" i="1"/>
  <c r="H203" i="1"/>
  <c r="G202" i="1"/>
  <c r="F202" i="1"/>
  <c r="H202" i="1"/>
  <c r="G197" i="1"/>
  <c r="F197" i="1"/>
  <c r="H197" i="1"/>
  <c r="G196" i="1"/>
  <c r="F196" i="1"/>
  <c r="H196" i="1"/>
  <c r="G195" i="1"/>
  <c r="F195" i="1"/>
  <c r="H195" i="1"/>
  <c r="G194" i="1"/>
  <c r="F194" i="1"/>
  <c r="H194" i="1"/>
  <c r="G193" i="1"/>
  <c r="F193" i="1"/>
  <c r="H193" i="1"/>
  <c r="G192" i="1"/>
  <c r="F192" i="1"/>
  <c r="H192" i="1"/>
  <c r="G191" i="1"/>
  <c r="F191" i="1"/>
  <c r="H191" i="1"/>
  <c r="G190" i="1"/>
  <c r="F190" i="1"/>
  <c r="H190" i="1"/>
  <c r="G189" i="1"/>
  <c r="F189" i="1"/>
  <c r="H189" i="1"/>
  <c r="G187" i="1"/>
  <c r="F187" i="1"/>
  <c r="H187" i="1"/>
  <c r="G186" i="1"/>
  <c r="F186" i="1"/>
  <c r="H186" i="1"/>
  <c r="G185" i="1"/>
  <c r="F185" i="1"/>
  <c r="H185" i="1"/>
  <c r="G184" i="1"/>
  <c r="F184" i="1"/>
  <c r="H184" i="1"/>
  <c r="G183" i="1"/>
  <c r="F183" i="1"/>
  <c r="H183" i="1"/>
  <c r="G182" i="1"/>
  <c r="F182" i="1"/>
  <c r="H182" i="1"/>
  <c r="G180" i="1"/>
  <c r="F180" i="1"/>
  <c r="H180" i="1"/>
  <c r="G179" i="1"/>
  <c r="F179" i="1"/>
  <c r="H179" i="1"/>
  <c r="G177" i="1"/>
  <c r="F177" i="1"/>
  <c r="H177" i="1"/>
  <c r="G176" i="1"/>
  <c r="F176" i="1"/>
  <c r="H176" i="1"/>
  <c r="G175" i="1"/>
  <c r="F175" i="1"/>
  <c r="H175" i="1"/>
  <c r="G174" i="1"/>
  <c r="F174" i="1"/>
  <c r="H174" i="1"/>
  <c r="G173" i="1"/>
  <c r="F173" i="1"/>
  <c r="H173" i="1"/>
  <c r="G172" i="1"/>
  <c r="F172" i="1"/>
  <c r="H172" i="1"/>
  <c r="G171" i="1"/>
  <c r="F171" i="1"/>
  <c r="H171" i="1"/>
  <c r="H163" i="1"/>
  <c r="G163" i="1"/>
  <c r="F163" i="1"/>
  <c r="G162" i="1"/>
  <c r="F162" i="1"/>
  <c r="H162" i="1"/>
  <c r="G161" i="1"/>
  <c r="F161" i="1"/>
  <c r="H161" i="1"/>
  <c r="G160" i="1"/>
  <c r="F160" i="1"/>
  <c r="H160" i="1"/>
  <c r="G159" i="1"/>
  <c r="F159" i="1"/>
  <c r="H159" i="1"/>
  <c r="G158" i="1"/>
  <c r="F158" i="1"/>
  <c r="H158" i="1"/>
  <c r="G157" i="1"/>
  <c r="F157" i="1"/>
  <c r="H157" i="1"/>
  <c r="H156" i="1"/>
  <c r="G156" i="1"/>
  <c r="F156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5" i="1"/>
  <c r="G145" i="1"/>
  <c r="F145" i="1"/>
  <c r="G144" i="1"/>
  <c r="H144" i="1"/>
  <c r="F144" i="1"/>
  <c r="H142" i="1"/>
  <c r="G142" i="1"/>
  <c r="F142" i="1"/>
  <c r="H141" i="1"/>
  <c r="G141" i="1"/>
  <c r="F141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G118" i="1"/>
  <c r="H118" i="1"/>
  <c r="F118" i="1"/>
  <c r="G117" i="1"/>
  <c r="H117" i="1"/>
  <c r="F117" i="1"/>
  <c r="G116" i="1"/>
  <c r="H116" i="1"/>
  <c r="F116" i="1"/>
  <c r="G115" i="1"/>
  <c r="H115" i="1"/>
  <c r="F115" i="1"/>
  <c r="G114" i="1"/>
  <c r="H114" i="1"/>
  <c r="F114" i="1"/>
  <c r="G113" i="1"/>
  <c r="H113" i="1"/>
  <c r="F113" i="1"/>
  <c r="G112" i="1"/>
  <c r="H112" i="1"/>
  <c r="F112" i="1"/>
  <c r="G111" i="1"/>
  <c r="F111" i="1"/>
  <c r="H111" i="1"/>
  <c r="H109" i="1"/>
  <c r="H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F108" i="1" l="1"/>
  <c r="I108" i="1" s="1"/>
  <c r="F109" i="1"/>
  <c r="I109" i="1" s="1"/>
  <c r="G231" i="1"/>
  <c r="G235" i="1"/>
  <c r="G230" i="1"/>
  <c r="G232" i="1"/>
  <c r="G234" i="1"/>
  <c r="G233" i="1"/>
  <c r="I116" i="1"/>
  <c r="G108" i="1"/>
  <c r="I224" i="1"/>
  <c r="I226" i="1"/>
  <c r="I150" i="1"/>
  <c r="I156" i="1"/>
  <c r="G109" i="1"/>
  <c r="I115" i="1"/>
  <c r="I86" i="1"/>
  <c r="I159" i="1"/>
  <c r="I185" i="1"/>
  <c r="I153" i="1"/>
  <c r="I231" i="1"/>
  <c r="I183" i="1"/>
  <c r="I101" i="1"/>
  <c r="I105" i="1"/>
  <c r="I89" i="1"/>
  <c r="I177" i="1"/>
  <c r="I187" i="1"/>
  <c r="I196" i="1"/>
  <c r="I222" i="1"/>
  <c r="I104" i="1"/>
  <c r="I125" i="1"/>
  <c r="I129" i="1"/>
  <c r="I137" i="1"/>
  <c r="I228" i="1"/>
  <c r="I99" i="1"/>
  <c r="I144" i="1"/>
  <c r="I96" i="1"/>
  <c r="I114" i="1"/>
  <c r="I117" i="1"/>
  <c r="I171" i="1"/>
  <c r="I194" i="1"/>
  <c r="I233" i="1"/>
  <c r="I235" i="1"/>
  <c r="I118" i="1"/>
  <c r="I145" i="1"/>
  <c r="I98" i="1"/>
  <c r="I102" i="1"/>
  <c r="I176" i="1"/>
  <c r="I195" i="1"/>
  <c r="I204" i="1"/>
  <c r="I128" i="1"/>
  <c r="I141" i="1"/>
  <c r="I161" i="1"/>
  <c r="I180" i="1"/>
  <c r="I227" i="1"/>
  <c r="I193" i="1"/>
  <c r="I130" i="1"/>
  <c r="I139" i="1"/>
  <c r="I127" i="1"/>
  <c r="I95" i="1"/>
  <c r="I179" i="1"/>
  <c r="I232" i="1"/>
  <c r="I88" i="1"/>
  <c r="I107" i="1"/>
  <c r="I124" i="1"/>
  <c r="I134" i="1"/>
  <c r="I225" i="1"/>
  <c r="I131" i="1"/>
  <c r="I223" i="1"/>
  <c r="I113" i="1"/>
  <c r="I158" i="1"/>
  <c r="I174" i="1"/>
  <c r="I229" i="1"/>
  <c r="I184" i="1"/>
  <c r="I100" i="1"/>
  <c r="I152" i="1"/>
  <c r="I189" i="1"/>
  <c r="I197" i="1"/>
  <c r="I192" i="1"/>
  <c r="I91" i="1"/>
  <c r="I151" i="1"/>
  <c r="I191" i="1"/>
  <c r="I238" i="1"/>
  <c r="I121" i="1"/>
  <c r="I239" i="1"/>
  <c r="I182" i="1"/>
  <c r="I111" i="1"/>
  <c r="I190" i="1"/>
  <c r="I202" i="1"/>
  <c r="I136" i="1"/>
  <c r="I133" i="1"/>
  <c r="I120" i="1"/>
  <c r="I119" i="1"/>
  <c r="I234" i="1"/>
  <c r="I240" i="1"/>
  <c r="I186" i="1"/>
  <c r="I203" i="1"/>
  <c r="I230" i="1"/>
  <c r="I138" i="1"/>
  <c r="I172" i="1"/>
  <c r="I87" i="1"/>
  <c r="I106" i="1"/>
  <c r="I135" i="1"/>
  <c r="I160" i="1"/>
  <c r="I97" i="1"/>
  <c r="I112" i="1"/>
  <c r="I149" i="1"/>
  <c r="I94" i="1"/>
  <c r="I122" i="1"/>
  <c r="I142" i="1"/>
  <c r="I163" i="1"/>
  <c r="I90" i="1"/>
  <c r="I103" i="1"/>
  <c r="I132" i="1"/>
  <c r="I157" i="1"/>
  <c r="I126" i="1"/>
  <c r="I162" i="1"/>
  <c r="I173" i="1"/>
  <c r="I175" i="1"/>
  <c r="H12" i="1" l="1"/>
  <c r="G12" i="1"/>
  <c r="F12" i="1"/>
  <c r="I12" i="1" l="1"/>
  <c r="D3" i="3" l="1"/>
  <c r="A12" i="10" l="1"/>
  <c r="A8" i="2"/>
  <c r="A13" i="10" l="1"/>
  <c r="A14" i="10"/>
  <c r="H41" i="1"/>
  <c r="H42" i="1"/>
  <c r="H43" i="1"/>
  <c r="H45" i="1"/>
  <c r="H22" i="1"/>
  <c r="H46" i="1"/>
  <c r="H16" i="1"/>
  <c r="H18" i="1"/>
  <c r="H21" i="1"/>
  <c r="H25" i="1"/>
  <c r="H70" i="1"/>
  <c r="H71" i="1"/>
  <c r="H72" i="1"/>
  <c r="H5" i="1"/>
  <c r="H6" i="1"/>
  <c r="H14" i="1"/>
  <c r="H23" i="1"/>
  <c r="H15" i="1"/>
  <c r="H27" i="1"/>
  <c r="H29" i="1"/>
  <c r="H31" i="1"/>
  <c r="H32" i="1"/>
  <c r="H35" i="1"/>
  <c r="H36" i="1"/>
  <c r="H37" i="1"/>
  <c r="H38" i="1"/>
  <c r="H4" i="1"/>
  <c r="F14" i="1"/>
  <c r="G14" i="1"/>
  <c r="G25" i="1"/>
  <c r="G21" i="1"/>
  <c r="G18" i="1"/>
  <c r="G16" i="1"/>
  <c r="G42" i="1"/>
  <c r="G41" i="1"/>
  <c r="G35" i="1"/>
  <c r="G27" i="1"/>
  <c r="G15" i="1"/>
  <c r="I14" i="1" l="1"/>
  <c r="G36" i="1"/>
  <c r="G45" i="1"/>
  <c r="G46" i="1"/>
  <c r="G32" i="1"/>
  <c r="G29" i="1"/>
  <c r="G72" i="1"/>
  <c r="G71" i="1"/>
  <c r="G6" i="1"/>
  <c r="G70" i="1"/>
  <c r="G43" i="1"/>
  <c r="G31" i="1"/>
  <c r="G23" i="1"/>
  <c r="G5" i="1"/>
  <c r="G38" i="1" l="1"/>
  <c r="G37" i="1"/>
  <c r="G22" i="1"/>
  <c r="G4" i="1" l="1"/>
  <c r="F8" i="3"/>
  <c r="F5" i="1" l="1"/>
  <c r="I5" i="1" s="1"/>
  <c r="F6" i="1"/>
  <c r="I6" i="1" s="1"/>
  <c r="F23" i="1"/>
  <c r="I23" i="1" s="1"/>
  <c r="F15" i="1"/>
  <c r="I15" i="1" s="1"/>
  <c r="F27" i="1"/>
  <c r="I27" i="1" s="1"/>
  <c r="F29" i="1"/>
  <c r="I29" i="1" s="1"/>
  <c r="F31" i="1"/>
  <c r="I31" i="1" s="1"/>
  <c r="F32" i="1"/>
  <c r="I32" i="1" s="1"/>
  <c r="F35" i="1"/>
  <c r="I35" i="1" s="1"/>
  <c r="F36" i="1"/>
  <c r="I36" i="1" s="1"/>
  <c r="F37" i="1"/>
  <c r="I37" i="1" s="1"/>
  <c r="F38" i="1"/>
  <c r="I38" i="1" s="1"/>
  <c r="F41" i="1"/>
  <c r="I41" i="1" s="1"/>
  <c r="F42" i="1"/>
  <c r="I42" i="1" s="1"/>
  <c r="F43" i="1"/>
  <c r="I43" i="1" s="1"/>
  <c r="F45" i="1"/>
  <c r="I45" i="1" s="1"/>
  <c r="F22" i="1"/>
  <c r="I22" i="1" s="1"/>
  <c r="F46" i="1"/>
  <c r="I46" i="1" s="1"/>
  <c r="F16" i="1"/>
  <c r="I16" i="1" s="1"/>
  <c r="F18" i="1"/>
  <c r="I18" i="1" s="1"/>
  <c r="F21" i="1"/>
  <c r="I21" i="1" s="1"/>
  <c r="F25" i="1"/>
  <c r="I25" i="1" s="1"/>
  <c r="F70" i="1"/>
  <c r="I70" i="1" s="1"/>
  <c r="F71" i="1"/>
  <c r="I71" i="1" s="1"/>
  <c r="F72" i="1"/>
  <c r="I72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B12" i="7" s="1" a="1"/>
  <c r="AB12" i="7" s="1"/>
  <c r="AC9" i="3"/>
  <c r="AA12" i="7" s="1" a="1"/>
  <c r="AA12" i="7" s="1"/>
  <c r="AB9" i="3"/>
  <c r="Z12" i="7" s="1" a="1"/>
  <c r="Z12" i="7" s="1"/>
  <c r="AA9" i="3"/>
  <c r="Y12" i="7" s="1" a="1"/>
  <c r="Y12" i="7" s="1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X12" i="7" l="1" a="1"/>
  <c r="X12" i="7" s="1"/>
  <c r="Y15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X12" i="10"/>
  <c r="BH12" i="10"/>
  <c r="Y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Z12" i="10"/>
  <c r="Z15" i="7"/>
  <c r="BJ12" i="10"/>
  <c r="AA12" i="10"/>
  <c r="AA15" i="7"/>
  <c r="AM12" i="10"/>
  <c r="AM15" i="7"/>
  <c r="BW12" i="10"/>
  <c r="AB12" i="10"/>
  <c r="AB15" i="7"/>
  <c r="BL12" i="10"/>
  <c r="AC12" i="10"/>
  <c r="AC15" i="7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X17" i="7" l="1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Y15" i="10"/>
  <c r="AD15" i="10"/>
  <c r="AN14" i="10"/>
  <c r="AO17" i="10" s="1"/>
  <c r="G15" i="10"/>
  <c r="AS14" i="10"/>
  <c r="AS17" i="10" s="1"/>
  <c r="X15" i="10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W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T15" i="10" l="1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<sst xmlns="http://schemas.openxmlformats.org/spreadsheetml/2006/main" count="1308" uniqueCount="525">
  <si>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</si>
  <si>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</si>
  <si>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</si>
  <si>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</si>
  <si>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</si>
  <si>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</si>
  <si>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</si>
  <si>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</si>
  <si>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</si>
  <si>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</si>
  <si>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</si>
  <si>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</si>
  <si>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</si>
  <si>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</si>
  <si>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</si>
  <si>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</si>
  <si>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</si>
  <si>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</si>
  <si>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</si>
  <si>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</si>
  <si>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</si>
  <si>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</si>
  <si>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</si>
  <si>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</si>
  <si>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</si>
  <si>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</si>
  <si>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</si>
  <si>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</si>
  <si>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</si>
  <si>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</si>
  <si>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</si>
  <si>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</si>
  <si>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</si>
  <si>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</si>
  <si>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</si>
  <si>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</si>
  <si>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</si>
  <si>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</si>
  <si>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</si>
  <si>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</si>
  <si>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</si>
  <si>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</si>
  <si>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</si>
  <si>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</si>
  <si>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</si>
  <si>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</si>
  <si>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</si>
  <si>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</si>
  <si>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</si>
  <si>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</si>
  <si>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</si>
  <si>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</si>
  <si>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</si>
  <si>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</si>
  <si>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</si>
  <si>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</si>
  <si>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</si>
  <si>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</si>
  <si>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</si>
  <si>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</si>
  <si>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</si>
  <si>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</si>
  <si>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</si>
  <si>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</si>
  <si>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</si>
  <si>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</si>
  <si>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</si>
  <si>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</si>
  <si>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</si>
  <si>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</si>
  <si>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</si>
  <si>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</si>
  <si>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</si>
  <si>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</si>
  <si>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</si>
  <si>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</si>
  <si>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</si>
  <si>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</si>
  <si>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</si>
  <si>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</si>
  <si>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</si>
  <si>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</si>
  <si>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</si>
  <si>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</si>
  <si>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</si>
  <si>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</si>
  <si>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</si>
  <si>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</si>
  <si>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ZWP22 COMBINED TOPSIDES AND JACKET SEISMIC ANALYSIS REPORT (EXTREME LEVEL EARTHQUAKE-ELE)</t>
  </si>
  <si>
    <t>ZWP22 COMBINED TOPSIDES AND JACKET SEISMIC ANALYSIS REPORT (ABNORMAL LEVEL EARTHQUAKE-ALE)</t>
  </si>
  <si>
    <t>ZWP23 COMBINED TOPSIDES AND JACKET SEISMIC ANALYSIS REPORT (EXTREME LEVEL EARTHQUAKE-ELE)</t>
  </si>
  <si>
    <t>ZWP23 COMBINED TOPSIDES AND JACKET SEISMIC ANALYSIS REPORT (ABNORMAL LEVEL EARTHQUAKE-ALE)</t>
  </si>
  <si>
    <t>TOPSIDES PRIMARY STEEL MTO REPORT</t>
  </si>
  <si>
    <t>TOPSIDES SECONDARY AND TERTIARY STEEL MTO REPORT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</si>
  <si>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</si>
  <si>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</si>
  <si>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</si>
  <si>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</si>
  <si>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</si>
  <si>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</si>
  <si>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</si>
  <si>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</si>
  <si>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</si>
  <si>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</si>
  <si>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</si>
  <si>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</si>
  <si>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</si>
  <si>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</si>
  <si>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</si>
  <si>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</si>
  <si>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</si>
  <si>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</si>
  <si>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</si>
  <si>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</si>
  <si>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</si>
  <si>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</si>
  <si>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</si>
  <si>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</si>
  <si>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</si>
  <si>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</si>
  <si>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</si>
  <si>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</si>
  <si>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</si>
  <si>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</si>
  <si>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</si>
  <si>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</si>
  <si>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</si>
  <si>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</si>
  <si>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</si>
  <si>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</si>
  <si>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</si>
  <si>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</si>
  <si>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</si>
  <si>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</si>
  <si>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</si>
  <si>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</si>
  <si>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</si>
  <si>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</si>
  <si>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</si>
  <si>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</si>
  <si>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</si>
  <si>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</si>
  <si>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</si>
  <si>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</si>
  <si>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</si>
  <si>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</si>
  <si>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</si>
  <si>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</si>
  <si>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</si>
  <si>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</si>
  <si>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</si>
  <si>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</si>
  <si>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</si>
  <si>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</si>
  <si>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</si>
  <si>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</si>
  <si>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</si>
  <si>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</si>
  <si>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</si>
  <si>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</si>
  <si>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</si>
  <si>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</si>
  <si>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</si>
  <si>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</si>
  <si>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</si>
  <si>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</si>
  <si>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</si>
  <si>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</si>
  <si>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</si>
  <si>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</si>
  <si>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</si>
  <si>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</si>
  <si>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</si>
  <si>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</si>
  <si>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</si>
  <si>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</si>
  <si>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</si>
  <si>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</si>
  <si>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</si>
  <si>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</si>
  <si>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</si>
  <si>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</si>
  <si>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</si>
  <si>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</si>
  <si>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</si>
  <si>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</si>
  <si>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</si>
  <si>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</si>
  <si>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</si>
  <si>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</si>
  <si>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</si>
  <si>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</si>
  <si>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</si>
  <si>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</si>
  <si>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</si>
  <si>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DRILLING MUD RETURN LINE SUPPORT - PLAN, SECTION AND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</si>
  <si>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</si>
  <si>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</si>
  <si>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</si>
  <si>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</si>
  <si>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</si>
  <si>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</si>
  <si>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</si>
  <si>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</si>
  <si>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</si>
  <si>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</si>
  <si>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</si>
  <si>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</si>
  <si>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</si>
  <si>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</si>
  <si>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</si>
  <si>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</si>
  <si>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</si>
  <si>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</si>
  <si>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</si>
  <si>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</si>
  <si>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</si>
  <si>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</si>
  <si>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</si>
  <si>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</si>
  <si>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</si>
  <si>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</si>
  <si>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</si>
  <si>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</si>
  <si>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</si>
  <si>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</si>
  <si>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</si>
  <si>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</si>
  <si>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</si>
  <si>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</si>
  <si>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</si>
  <si>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</si>
  <si>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</si>
  <si>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</si>
  <si>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</si>
  <si>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</si>
  <si>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</si>
  <si>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</si>
  <si>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</si>
  <si>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</si>
  <si>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</si>
  <si>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</si>
  <si>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</si>
  <si>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</si>
  <si>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</si>
  <si>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</si>
  <si>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</si>
  <si>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</si>
  <si>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</si>
  <si>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</si>
  <si>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</si>
  <si>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</si>
  <si>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</si>
  <si>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</si>
  <si>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</si>
  <si>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</si>
  <si>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</si>
  <si>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</si>
  <si>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</si>
  <si>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</si>
  <si>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</si>
  <si>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</si>
  <si>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</si>
  <si>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</si>
  <si>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</si>
  <si>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</si>
  <si>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</si>
  <si>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</si>
  <si>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</si>
  <si>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</si>
  <si>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</si>
  <si>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</si>
  <si>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</si>
  <si>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</si>
  <si>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</si>
  <si>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</si>
  <si>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</si>
  <si>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</si>
  <si>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</si>
  <si>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</si>
  <si>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</si>
  <si>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</si>
  <si>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</si>
  <si>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</si>
  <si>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</si>
  <si>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</si>
  <si>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</si>
  <si>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</si>
  <si>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</si>
  <si>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</si>
  <si>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</si>
  <si>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</si>
  <si>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</si>
  <si>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</si>
  <si>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</si>
  <si>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</si>
  <si>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</si>
  <si>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</si>
  <si>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</si>
  <si>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</si>
  <si>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</si>
  <si>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</si>
  <si>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</si>
  <si>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</si>
  <si>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</si>
  <si>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</si>
  <si>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</si>
  <si>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</si>
  <si>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</si>
  <si>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</si>
  <si>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</si>
  <si>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</si>
  <si>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</si>
  <si>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</si>
  <si>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</si>
  <si>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</si>
  <si>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</si>
  <si>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</si>
  <si>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</si>
  <si>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</si>
  <si>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</si>
  <si>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</si>
  <si>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</si>
  <si>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</si>
  <si>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</si>
  <si>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</si>
  <si>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</si>
  <si>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</si>
  <si>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</si>
  <si>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</si>
  <si>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</si>
  <si>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</si>
  <si>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</si>
  <si>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</si>
  <si>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</si>
  <si>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</si>
  <si>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</si>
  <si>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</si>
  <si>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</si>
  <si>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</si>
  <si>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</si>
  <si>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</si>
  <si>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</si>
  <si>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</si>
  <si>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</si>
  <si>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</si>
  <si>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</si>
  <si>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</si>
  <si>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</si>
  <si>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</si>
  <si>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</si>
  <si>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</si>
  <si>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</si>
  <si>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</si>
  <si>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</si>
  <si>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</si>
  <si>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</si>
  <si>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</si>
  <si>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</si>
  <si>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</si>
  <si>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</si>
  <si>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</si>
  <si>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</si>
  <si>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</si>
  <si>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</si>
  <si>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</si>
  <si>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</si>
  <si>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</si>
  <si>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</si>
  <si>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</si>
  <si>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</si>
  <si>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</si>
  <si>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</si>
  <si>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</si>
  <si>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</si>
  <si>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</si>
  <si>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</si>
  <si>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</si>
  <si>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</si>
  <si>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</si>
  <si>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</si>
  <si>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</si>
  <si>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</si>
  <si>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</si>
  <si>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</si>
  <si>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</si>
  <si>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</si>
  <si>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</si>
  <si>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</si>
  <si>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</si>
  <si>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</si>
  <si>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</si>
  <si>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</si>
  <si>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</si>
  <si>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</si>
  <si>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</si>
  <si>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</si>
  <si>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</si>
  <si>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</si>
  <si>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</si>
  <si>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</si>
  <si>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</si>
  <si>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</si>
  <si>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</si>
  <si>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</si>
  <si>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</si>
  <si>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</si>
  <si>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</si>
  <si>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</si>
  <si>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</si>
  <si>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</si>
  <si>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</si>
  <si>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</si>
  <si>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</si>
  <si>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</si>
  <si>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TOPSIDE - UNIHEAD SPACER ARRANGEMENT AND DETAILS SHEET 2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</si>
  <si>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</si>
  <si>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</si>
  <si>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</si>
  <si>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</si>
  <si>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</si>
  <si>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</si>
  <si>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</si>
  <si>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</si>
  <si>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</si>
  <si>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</si>
  <si>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</si>
  <si>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</si>
  <si>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</si>
  <si>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</si>
  <si>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</si>
  <si>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</si>
  <si>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</si>
  <si>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</si>
  <si>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</si>
  <si>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</si>
  <si>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</si>
  <si>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</si>
  <si>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</si>
  <si>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</si>
  <si>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</si>
  <si>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 xml:space="preserve"> TOPSIDES - TYPICAL EQUIPMENT SUPPORT DETAILS - SHEET 15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</si>
  <si>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</si>
  <si>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</si>
  <si>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</si>
  <si>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</si>
  <si>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</si>
  <si>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</si>
  <si>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</si>
  <si>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</si>
  <si>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</si>
  <si>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</si>
  <si>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</si>
  <si>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</si>
  <si>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</si>
  <si>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TOPSIDES - UPPER DECK FLOORING LAYOUT FOR SAFETY SIGN SUPPORT AT TOPL EL(+) 24820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</si>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</sst>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1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164" fontId="30" fillId="4" borderId="1" xfId="0" applyNumberFormat="1" applyFont="1" applyFill="1" applyBorder="1"/>
    <xf numFmtId="164" fontId="29" fillId="4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45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42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opLeftCell="D2" zoomScaleNormal="100" workbookViewId="0">
      <selection activeCell="F8" sqref="F8:Q8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25</v>
      </c>
      <c r="G1" s="18">
        <f>O1-1</f>
        <v>25</v>
      </c>
      <c r="H1" s="18">
        <f t="shared" ref="H1:I1" si="0">P1-1</f>
        <v>25</v>
      </c>
      <c r="I1" s="18">
        <f t="shared" si="0"/>
        <v>25</v>
      </c>
      <c r="J1" s="18"/>
      <c r="K1" s="18"/>
      <c r="L1" s="18"/>
      <c r="M1" s="18"/>
      <c r="N1" s="18">
        <f>_xlfn.XLOOKUP(D3,'Progress%'!6:6,'Progress%'!1:1,0)</f>
        <v>26</v>
      </c>
      <c r="O1" s="18">
        <f>_xlfn.XLOOKUP(D3,'Progress%'!6:6,'Progress%'!1:1,0)</f>
        <v>26</v>
      </c>
      <c r="P1" s="18">
        <f>N1</f>
        <v>26</v>
      </c>
      <c r="Q1" s="18">
        <f>P1</f>
        <v>26</v>
      </c>
    </row>
    <row r="2" spans="1:17" collapsed="1" x14ac:dyDescent="0.35">
      <c r="D2" s="15" t="s">
        <v>31</v>
      </c>
    </row>
    <row r="3" spans="1:17" x14ac:dyDescent="0.35">
      <c r="D3" s="20">
        <v>46241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0" t="s">
        <v>25</v>
      </c>
      <c r="E6" s="200" t="s">
        <v>26</v>
      </c>
      <c r="F6" s="202" t="s">
        <v>30</v>
      </c>
      <c r="G6" s="203"/>
      <c r="H6" s="203"/>
      <c r="I6" s="204"/>
      <c r="J6" s="202" t="s">
        <v>27</v>
      </c>
      <c r="K6" s="203"/>
      <c r="L6" s="203"/>
      <c r="M6" s="204"/>
      <c r="N6" s="202" t="s">
        <v>28</v>
      </c>
      <c r="O6" s="203"/>
      <c r="P6" s="203"/>
      <c r="Q6" s="204"/>
    </row>
    <row r="7" spans="1:17" ht="24.5" customHeight="1" thickBot="1" x14ac:dyDescent="0.4">
      <c r="D7" s="201"/>
      <c r="E7" s="201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0.62419999999999987</v>
      </c>
      <c r="G8" s="79" cm="1">
        <f t="array" ref="G8">INDEX('Progress%'!$A$1:$DG$10,'Progress Summary'!$A8,'Progress Summary'!G$1)</f>
        <v>0.62419999999999987</v>
      </c>
      <c r="H8" s="79" cm="1">
        <f t="array" ref="H8">INDEX('Progress%'!$A$1:$DG$10,'Progress Summary'!$C8,'Progress Summary'!H$1)</f>
        <v>0.62460000000000027</v>
      </c>
      <c r="I8" s="79">
        <f t="shared" ref="I8" si="3">H8-F8</f>
        <v>4.0000000000040004E-4</v>
      </c>
      <c r="J8" s="79">
        <f>N8-F8</f>
        <v>3.5350000000000437E-2</v>
      </c>
      <c r="K8" s="79">
        <f t="shared" ref="K8" si="4">O8-G8</f>
        <v>3.5350000000000437E-2</v>
      </c>
      <c r="L8" s="79">
        <f t="shared" ref="L8:M8" si="5">P8-H8</f>
        <v>2.6250000000000107E-2</v>
      </c>
      <c r="M8" s="79">
        <f t="shared" si="5"/>
        <v>-9.10000000000033E-3</v>
      </c>
      <c r="N8" s="79" cm="1">
        <f t="array" ref="N8">INDEX('Progress%'!$A$1:$DG$10,'Progress Summary'!$A8,'Progress Summary'!N$1)</f>
        <v>0.6595500000000003</v>
      </c>
      <c r="O8" s="79" cm="1">
        <f t="array" ref="O8">INDEX('Progress%'!$A$1:$DG$10,'Progress Summary'!$B8,'Progress Summary'!O$1)</f>
        <v>0.6595500000000003</v>
      </c>
      <c r="P8" s="79" cm="1">
        <f t="array" ref="P8">INDEX('Progress%'!$A$1:$DG$10,'Progress Summary'!$C8,'Progress Summary'!P$1)</f>
        <v>0.65085000000000037</v>
      </c>
      <c r="Q8" s="79">
        <f t="shared" ref="Q8" si="6">P8-N8</f>
        <v>-8.69999999999993E-3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46241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0.65085000000000037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0.65085000000000037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0.65085000000000037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0.65085000000000037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0.65085000000000037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0.65085000000000037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0.65085000000000037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0.65085000000000037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0.65085000000000037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0.65085000000000037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0.65085000000000037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0.65085000000000037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0.65085000000000037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0.65085000000000037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0.65085000000000037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0.65085000000000037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0.65085000000000037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0.65085000000000037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0.65085000000000037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0.65085000000000037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0.65085000000000037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0.65085000000000037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0.65085000000000037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0.65085000000000037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0.65085000000000037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0.65085000000000037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0.65085000000000037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0.65085000000000037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0.65085000000000037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0.65085000000000037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0.65085000000000037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0.65085000000000037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0.65085000000000037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0.65085000000000037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0.65085000000000037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0.65085000000000037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0.65085000000000037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0.65085000000000037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0.65085000000000037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0.65085000000000037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0.65085000000000037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0.65085000000000037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0.65085000000000037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0.65085000000000037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0.65085000000000037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0.65085000000000037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0.65085000000000037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0.65085000000000037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0.65085000000000037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0.65085000000000037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0.65085000000000037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0.65085000000000037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0.65085000000000037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0.65085000000000037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0.65085000000000037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0.65085000000000037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0.65085000000000037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0.65085000000000037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0.65085000000000037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0.65085000000000037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0.65085000000000037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0.65085000000000037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0.65085000000000037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0.65085000000000037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0.65085000000000037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0.65085000000000037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0.65085000000000037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0.65085000000000037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0.65085000000000037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0.65085000000000037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0.65085000000000037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0.65085000000000037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0.65085000000000037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0.65085000000000037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0.65085000000000037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0.65085000000000037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0.65085000000000037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0.65085000000000037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0.65085000000000037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0.65085000000000037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0.65085000000000037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0.65085000000000037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0.65085000000000037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0.65085000000000037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0.65085000000000037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0.65085000000000037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0.65085000000000037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0.65085000000000037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0.65085000000000037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0.65085000000000037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0.65085000000000037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zoomScale="50" zoomScaleNormal="50" zoomScaleSheetLayoutView="40" workbookViewId="0">
      <selection activeCell="D13" sqref="D13:AT13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05" t="s">
        <v>245</v>
      </c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7"/>
    </row>
    <row r="5" spans="1:110" ht="45" x14ac:dyDescent="0.35">
      <c r="B5" s="26"/>
      <c r="C5" s="206" t="s">
        <v>56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246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44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42"/>
  <sheetViews>
    <sheetView tabSelected="1" topLeftCell="A144" zoomScale="120" zoomScaleNormal="120" workbookViewId="0">
      <pane xSplit="5" topLeftCell="F1" activePane="topRight" state="frozen"/>
      <selection pane="topRight" activeCell="P156" sqref="P156:P168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78" customWidth="1"/>
    <col min="25" max="27" width="14.08984375" customWidth="1"/>
  </cols>
  <sheetData>
    <row r="1" spans="1:27" ht="15" thickBot="1" x14ac:dyDescent="0.4">
      <c r="A1" t="s">
        <v>38</v>
      </c>
      <c r="D1" s="16">
        <v>46241</v>
      </c>
    </row>
    <row r="2" spans="1:27" ht="19" thickBot="1" x14ac:dyDescent="0.5">
      <c r="A2" s="21" t="s">
        <v>51</v>
      </c>
      <c r="B2" s="21"/>
      <c r="K2" s="210" t="s">
        <v>10</v>
      </c>
      <c r="L2" s="210"/>
      <c r="M2" s="210"/>
      <c r="N2" s="210" t="s">
        <v>12</v>
      </c>
      <c r="O2" s="210"/>
      <c r="P2" s="210"/>
      <c r="Q2" s="210" t="s">
        <v>11</v>
      </c>
      <c r="R2" s="210"/>
      <c r="S2" s="210"/>
      <c r="T2" s="210" t="s">
        <v>13</v>
      </c>
      <c r="U2" s="210"/>
      <c r="V2" s="210"/>
      <c r="X2" s="207" t="s">
        <v>507</v>
      </c>
      <c r="Y2" s="208"/>
      <c r="Z2" s="208"/>
      <c r="AA2" s="209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79" t="s">
        <v>10</v>
      </c>
      <c r="Y3" s="180" t="s">
        <v>12</v>
      </c>
      <c r="Z3" s="181" t="s">
        <v>11</v>
      </c>
      <c r="AA3" s="182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254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83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83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83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84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272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72" si="1">H5-F5</f>
        <v>-0.30000000000000004</v>
      </c>
      <c r="J5" s="71">
        <v>1</v>
      </c>
      <c r="K5" s="72">
        <v>46122</v>
      </c>
      <c r="L5" s="68">
        <f t="shared" ref="L5:L86" si="2">K5</f>
        <v>46122</v>
      </c>
      <c r="M5" s="72">
        <v>46135</v>
      </c>
      <c r="N5" s="72">
        <f t="shared" ref="N5:N86" si="3">K5+42</f>
        <v>46164</v>
      </c>
      <c r="O5" s="68">
        <f t="shared" ref="O5:O86" si="4">N5</f>
        <v>46164</v>
      </c>
      <c r="P5" s="74">
        <v>46230</v>
      </c>
      <c r="Q5" s="72">
        <f t="shared" ref="Q5:Q86" si="5">N5+42</f>
        <v>46206</v>
      </c>
      <c r="R5" s="72">
        <f t="shared" ref="R5:R86" si="6">Q5</f>
        <v>46206</v>
      </c>
      <c r="S5" s="74"/>
      <c r="T5" s="74">
        <f t="shared" ref="T5:T86" si="7">Q5+14</f>
        <v>46220</v>
      </c>
      <c r="U5" s="68">
        <f t="shared" ref="U5:U86" si="8">T5</f>
        <v>46220</v>
      </c>
      <c r="V5" s="72"/>
      <c r="X5" s="185" t="str">
        <f t="shared" ref="X5:X73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85" t="str">
        <f t="shared" ref="Y5:Y73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85" t="str">
        <f t="shared" ref="Z5:Z73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86" t="str">
        <f t="shared" ref="AA5:AA73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271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85" t="str">
        <f t="shared" ca="1" si="9"/>
        <v>Completed</v>
      </c>
      <c r="Y6" s="185" t="str">
        <f t="shared" ca="1" si="10"/>
        <v>Completed</v>
      </c>
      <c r="Z6" s="185" t="str">
        <f t="shared" ca="1" si="11"/>
        <v>Completed</v>
      </c>
      <c r="AA6" s="186" t="str">
        <f t="shared" ca="1" si="12"/>
        <v>Completed</v>
      </c>
    </row>
    <row r="7" spans="1:27" s="64" customFormat="1" ht="11.5" x14ac:dyDescent="0.25">
      <c r="A7" s="151" t="s">
        <v>61</v>
      </c>
      <c r="B7" s="151" t="s">
        <v>64</v>
      </c>
      <c r="C7" s="151" t="s">
        <v>63</v>
      </c>
      <c r="D7" s="152" t="s">
        <v>247</v>
      </c>
      <c r="E7" s="151" t="s">
        <v>66</v>
      </c>
      <c r="F7" s="153"/>
      <c r="G7" s="153"/>
      <c r="H7" s="153"/>
      <c r="I7" s="153"/>
      <c r="J7" s="154"/>
      <c r="K7" s="155"/>
      <c r="L7" s="155"/>
      <c r="M7" s="156"/>
      <c r="N7" s="155"/>
      <c r="O7" s="155"/>
      <c r="P7" s="156"/>
      <c r="Q7" s="155"/>
      <c r="R7" s="155"/>
      <c r="S7" s="155"/>
      <c r="T7" s="155"/>
      <c r="U7" s="155"/>
      <c r="V7" s="155"/>
      <c r="X7" s="185" t="str">
        <f t="shared" ca="1" si="9"/>
        <v/>
      </c>
      <c r="Y7" s="185" t="str">
        <f t="shared" ca="1" si="10"/>
        <v/>
      </c>
      <c r="Z7" s="185" t="str">
        <f t="shared" ca="1" si="11"/>
        <v/>
      </c>
      <c r="AA7" s="186" t="str">
        <f t="shared" ca="1" si="12"/>
        <v/>
      </c>
    </row>
    <row r="8" spans="1:27" s="64" customFormat="1" ht="11.5" x14ac:dyDescent="0.25">
      <c r="A8" s="157" t="s">
        <v>61</v>
      </c>
      <c r="B8" s="157" t="s">
        <v>67</v>
      </c>
      <c r="C8" s="157" t="s">
        <v>63</v>
      </c>
      <c r="D8" s="158" t="s">
        <v>65</v>
      </c>
      <c r="E8" s="157" t="s">
        <v>69</v>
      </c>
      <c r="F8" s="159"/>
      <c r="G8" s="159"/>
      <c r="H8" s="159"/>
      <c r="I8" s="159"/>
      <c r="J8" s="160"/>
      <c r="K8" s="161"/>
      <c r="L8" s="161"/>
      <c r="M8" s="162"/>
      <c r="N8" s="161"/>
      <c r="O8" s="161"/>
      <c r="P8" s="162"/>
      <c r="Q8" s="161"/>
      <c r="R8" s="161"/>
      <c r="S8" s="162"/>
      <c r="T8" s="162"/>
      <c r="U8" s="161"/>
      <c r="V8" s="161"/>
      <c r="X8" s="185" t="str">
        <f t="shared" ca="1" si="9"/>
        <v/>
      </c>
      <c r="Y8" s="185" t="str">
        <f t="shared" ca="1" si="10"/>
        <v/>
      </c>
      <c r="Z8" s="185" t="str">
        <f t="shared" ca="1" si="11"/>
        <v/>
      </c>
      <c r="AA8" s="186" t="str">
        <f t="shared" ca="1" si="12"/>
        <v/>
      </c>
    </row>
    <row r="9" spans="1:27" s="64" customFormat="1" ht="11.5" x14ac:dyDescent="0.25">
      <c r="A9" s="163" t="s">
        <v>61</v>
      </c>
      <c r="B9" s="163" t="s">
        <v>70</v>
      </c>
      <c r="C9" s="163" t="s">
        <v>63</v>
      </c>
      <c r="D9" s="164" t="s">
        <v>68</v>
      </c>
      <c r="E9" s="163" t="s">
        <v>72</v>
      </c>
      <c r="F9" s="165"/>
      <c r="G9" s="165"/>
      <c r="H9" s="165"/>
      <c r="I9" s="165"/>
      <c r="J9" s="166"/>
      <c r="K9" s="167"/>
      <c r="L9" s="167"/>
      <c r="M9" s="168"/>
      <c r="N9" s="167"/>
      <c r="O9" s="167"/>
      <c r="P9" s="168"/>
      <c r="Q9" s="167"/>
      <c r="R9" s="167"/>
      <c r="S9" s="168"/>
      <c r="T9" s="168"/>
      <c r="U9" s="167"/>
      <c r="V9" s="168"/>
      <c r="X9" s="185" t="str">
        <f t="shared" ca="1" si="9"/>
        <v/>
      </c>
      <c r="Y9" s="185" t="str">
        <f t="shared" ca="1" si="10"/>
        <v/>
      </c>
      <c r="Z9" s="185" t="str">
        <f t="shared" ca="1" si="11"/>
        <v/>
      </c>
      <c r="AA9" s="186" t="str">
        <f t="shared" ca="1" si="12"/>
        <v/>
      </c>
    </row>
    <row r="10" spans="1:27" s="64" customFormat="1" ht="11.5" x14ac:dyDescent="0.25">
      <c r="A10" s="169" t="s">
        <v>61</v>
      </c>
      <c r="B10" s="169" t="s">
        <v>73</v>
      </c>
      <c r="C10" s="169" t="s">
        <v>63</v>
      </c>
      <c r="D10" s="170" t="s">
        <v>71</v>
      </c>
      <c r="E10" s="169" t="s">
        <v>74</v>
      </c>
      <c r="F10" s="171"/>
      <c r="G10" s="171"/>
      <c r="H10" s="171"/>
      <c r="I10" s="171"/>
      <c r="J10" s="172"/>
      <c r="K10" s="173"/>
      <c r="L10" s="173"/>
      <c r="M10" s="173"/>
      <c r="N10" s="174"/>
      <c r="O10" s="173"/>
      <c r="P10" s="173"/>
      <c r="Q10" s="174"/>
      <c r="R10" s="173"/>
      <c r="S10" s="173"/>
      <c r="T10" s="174"/>
      <c r="U10" s="173"/>
      <c r="V10" s="173"/>
      <c r="X10" s="185" t="str">
        <f t="shared" ca="1" si="9"/>
        <v/>
      </c>
      <c r="Y10" s="185" t="str">
        <f t="shared" ca="1" si="10"/>
        <v/>
      </c>
      <c r="Z10" s="185" t="str">
        <f t="shared" ca="1" si="11"/>
        <v/>
      </c>
      <c r="AA10" s="186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407</v>
      </c>
      <c r="E11" s="70" t="s">
        <v>408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85" t="str">
        <f t="shared" ca="1" si="9"/>
        <v>Completed</v>
      </c>
      <c r="Y11" s="185" t="str">
        <f t="shared" ca="1" si="10"/>
        <v>Completed</v>
      </c>
      <c r="Z11" s="185" t="str">
        <f t="shared" ca="1" si="11"/>
        <v>Completed</v>
      </c>
      <c r="AA11" s="186" t="str">
        <f t="shared" ca="1" si="12"/>
        <v>Completed</v>
      </c>
    </row>
    <row r="12" spans="1:27" s="64" customFormat="1" ht="11.5" x14ac:dyDescent="0.25">
      <c r="A12" s="70" t="s">
        <v>61</v>
      </c>
      <c r="B12" s="70" t="s">
        <v>62</v>
      </c>
      <c r="C12" s="65" t="s">
        <v>63</v>
      </c>
      <c r="D12" s="82" t="s">
        <v>255</v>
      </c>
      <c r="E12" s="65" t="s">
        <v>75</v>
      </c>
      <c r="F12" s="66">
        <f t="shared" ref="F12" si="22">(COUNTIFS(K12,"&lt;="&amp;$D$1)*50%)+(COUNTIFS(N12,"&lt;="&amp;$D$1)*20%)+(COUNTIFS(Q12,"&lt;="&amp;$D$1)*10%)+(COUNTIFS(T12,"&lt;="&amp;$D$1)*20%)</f>
        <v>1</v>
      </c>
      <c r="G12" s="66">
        <f t="shared" ref="G12" si="23">(COUNTIFS(L12,"&lt;="&amp;$D$1)*50%)+(COUNTIFS(O12,"&lt;="&amp;$D$1)*20%)+(COUNTIFS(R12,"&lt;="&amp;$D$1)*10%)+(COUNTIFS(U12,"&lt;="&amp;$D$1)*20%)</f>
        <v>1</v>
      </c>
      <c r="H12" s="66">
        <f t="shared" ref="H12:H13" si="24">(COUNTIFS(M12,"&lt;="&amp;$D$1)*50%)+(COUNTIFS(P12,"&lt;="&amp;$D$1)*20%)+(COUNTIFS(S12,"&lt;="&amp;$D$1)*10%)+(COUNTIFS(V12,"&lt;="&amp;$D$1)*20%)</f>
        <v>0.7</v>
      </c>
      <c r="I12" s="66">
        <f t="shared" ref="I12:I13" si="25">H12-F12</f>
        <v>-0.30000000000000004</v>
      </c>
      <c r="J12" s="89">
        <v>2</v>
      </c>
      <c r="K12" s="74">
        <v>46136</v>
      </c>
      <c r="L12" s="74">
        <f t="shared" si="2"/>
        <v>46136</v>
      </c>
      <c r="M12" s="72">
        <v>46136</v>
      </c>
      <c r="N12" s="74">
        <f t="shared" si="3"/>
        <v>46178</v>
      </c>
      <c r="O12" s="74">
        <f t="shared" si="4"/>
        <v>46178</v>
      </c>
      <c r="P12" s="72">
        <v>46188</v>
      </c>
      <c r="Q12" s="74">
        <f t="shared" si="5"/>
        <v>46220</v>
      </c>
      <c r="R12" s="74">
        <f t="shared" si="6"/>
        <v>46220</v>
      </c>
      <c r="S12" s="72"/>
      <c r="T12" s="74">
        <f t="shared" si="7"/>
        <v>46234</v>
      </c>
      <c r="U12" s="74">
        <f t="shared" si="8"/>
        <v>46234</v>
      </c>
      <c r="V12" s="72"/>
      <c r="X12" s="185" t="str">
        <f t="shared" ca="1" si="9"/>
        <v>Completed</v>
      </c>
      <c r="Y12" s="185" t="str">
        <f t="shared" ca="1" si="10"/>
        <v>Completed</v>
      </c>
      <c r="Z12" s="185" t="str">
        <f t="shared" ca="1" si="11"/>
        <v>Overdue</v>
      </c>
      <c r="AA12" s="186" t="str">
        <f t="shared" ca="1" si="12"/>
        <v>Overdue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256</v>
      </c>
      <c r="E13" s="65" t="s">
        <v>76</v>
      </c>
      <c r="F13" s="66">
        <f t="shared" ref="F13" si="26">(COUNTIFS(K13,"&lt;="&amp;$D$1)*50%)+(COUNTIFS(N13,"&lt;="&amp;$D$1)*20%)+(COUNTIFS(Q13,"&lt;="&amp;$D$1)*10%)+(COUNTIFS(T13,"&lt;="&amp;$D$1)*20%)</f>
        <v>1</v>
      </c>
      <c r="G13" s="66">
        <f t="shared" ref="G13" si="27">(COUNTIFS(L13,"&lt;="&amp;$D$1)*50%)+(COUNTIFS(O13,"&lt;="&amp;$D$1)*20%)+(COUNTIFS(R13,"&lt;="&amp;$D$1)*10%)+(COUNTIFS(U13,"&lt;="&amp;$D$1)*20%)</f>
        <v>1</v>
      </c>
      <c r="H13" s="66">
        <f t="shared" si="24"/>
        <v>0.7</v>
      </c>
      <c r="I13" s="66">
        <f t="shared" si="25"/>
        <v>-0.30000000000000004</v>
      </c>
      <c r="J13" s="89">
        <v>2</v>
      </c>
      <c r="K13" s="74">
        <v>46136</v>
      </c>
      <c r="L13" s="74">
        <f t="shared" si="2"/>
        <v>46136</v>
      </c>
      <c r="M13" s="72">
        <v>46142</v>
      </c>
      <c r="N13" s="74">
        <f t="shared" si="3"/>
        <v>46178</v>
      </c>
      <c r="O13" s="74">
        <f t="shared" si="4"/>
        <v>46178</v>
      </c>
      <c r="P13" s="74">
        <v>46220</v>
      </c>
      <c r="Q13" s="74">
        <f t="shared" si="5"/>
        <v>46220</v>
      </c>
      <c r="R13" s="74">
        <f t="shared" si="6"/>
        <v>46220</v>
      </c>
      <c r="S13" s="72"/>
      <c r="T13" s="74">
        <f t="shared" si="7"/>
        <v>46234</v>
      </c>
      <c r="U13" s="74">
        <f t="shared" si="8"/>
        <v>46234</v>
      </c>
      <c r="V13" s="72"/>
      <c r="X13" s="185" t="str">
        <f t="shared" ca="1" si="9"/>
        <v>Completed</v>
      </c>
      <c r="Y13" s="185" t="str">
        <f t="shared" ca="1" si="10"/>
        <v>Completed</v>
      </c>
      <c r="Z13" s="185" t="str">
        <f t="shared" ca="1" si="11"/>
        <v>Overdue</v>
      </c>
      <c r="AA13" s="186" t="str">
        <f t="shared" ca="1" si="12"/>
        <v>Overdue</v>
      </c>
    </row>
    <row r="14" spans="1:27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257</v>
      </c>
      <c r="E14" s="65" t="s">
        <v>77</v>
      </c>
      <c r="F14" s="66">
        <f t="shared" ref="F14:F46" si="28">(COUNTIFS(K14,"&lt;="&amp;$D$1)*50%)+(COUNTIFS(N14,"&lt;="&amp;$D$1)*20%)+(COUNTIFS(Q14,"&lt;="&amp;$D$1)*10%)+(COUNTIFS(T14,"&lt;="&amp;$D$1)*20%)</f>
        <v>1</v>
      </c>
      <c r="G14" s="66">
        <f t="shared" ref="G14:G46" si="29">(COUNTIFS(L14,"&lt;="&amp;$D$1)*50%)+(COUNTIFS(O14,"&lt;="&amp;$D$1)*20%)+(COUNTIFS(R14,"&lt;="&amp;$D$1)*10%)+(COUNTIFS(U14,"&lt;="&amp;$D$1)*20%)</f>
        <v>1</v>
      </c>
      <c r="H14" s="66">
        <f t="shared" ref="H14:H46" si="30">(COUNTIFS(M14,"&lt;="&amp;$D$1)*50%)+(COUNTIFS(P14,"&lt;="&amp;$D$1)*20%)+(COUNTIFS(S14,"&lt;="&amp;$D$1)*10%)+(COUNTIFS(V14,"&lt;="&amp;$D$1)*20%)</f>
        <v>0.7</v>
      </c>
      <c r="I14" s="66">
        <f t="shared" si="1"/>
        <v>-0.30000000000000004</v>
      </c>
      <c r="J14" s="89">
        <v>2</v>
      </c>
      <c r="K14" s="74">
        <v>46143</v>
      </c>
      <c r="L14" s="69">
        <f t="shared" si="2"/>
        <v>46143</v>
      </c>
      <c r="M14" s="72">
        <v>46161</v>
      </c>
      <c r="N14" s="74">
        <f t="shared" si="3"/>
        <v>46185</v>
      </c>
      <c r="O14" s="69">
        <f t="shared" si="4"/>
        <v>46185</v>
      </c>
      <c r="P14" s="72">
        <v>46234</v>
      </c>
      <c r="Q14" s="74">
        <f t="shared" si="5"/>
        <v>46227</v>
      </c>
      <c r="R14" s="69">
        <f t="shared" si="6"/>
        <v>46227</v>
      </c>
      <c r="S14" s="74"/>
      <c r="T14" s="74">
        <f t="shared" si="7"/>
        <v>46241</v>
      </c>
      <c r="U14" s="69">
        <f t="shared" si="8"/>
        <v>46241</v>
      </c>
      <c r="V14" s="72"/>
      <c r="X14" s="185" t="str">
        <f t="shared" ca="1" si="9"/>
        <v>Completed</v>
      </c>
      <c r="Y14" s="185" t="str">
        <f t="shared" ca="1" si="10"/>
        <v>Completed</v>
      </c>
      <c r="Z14" s="185" t="str">
        <f t="shared" ca="1" si="11"/>
        <v>Overdue</v>
      </c>
      <c r="AA14" s="186" t="str">
        <f t="shared" ca="1" si="12"/>
        <v>Overdue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258</v>
      </c>
      <c r="E15" s="80" t="s">
        <v>78</v>
      </c>
      <c r="F15" s="66">
        <f t="shared" si="28"/>
        <v>0.79999999999999993</v>
      </c>
      <c r="G15" s="66">
        <f t="shared" si="29"/>
        <v>0.79999999999999993</v>
      </c>
      <c r="H15" s="66">
        <f t="shared" si="30"/>
        <v>0.7</v>
      </c>
      <c r="I15" s="66">
        <f t="shared" si="1"/>
        <v>-9.9999999999999978E-2</v>
      </c>
      <c r="J15" s="89">
        <v>2</v>
      </c>
      <c r="K15" s="74">
        <v>46150</v>
      </c>
      <c r="L15" s="69">
        <f t="shared" si="2"/>
        <v>46150</v>
      </c>
      <c r="M15" s="72">
        <v>46155</v>
      </c>
      <c r="N15" s="74">
        <f t="shared" si="3"/>
        <v>46192</v>
      </c>
      <c r="O15" s="69">
        <f t="shared" si="4"/>
        <v>46192</v>
      </c>
      <c r="P15" s="74">
        <v>46226</v>
      </c>
      <c r="Q15" s="74">
        <f t="shared" si="5"/>
        <v>46234</v>
      </c>
      <c r="R15" s="69">
        <f t="shared" si="6"/>
        <v>46234</v>
      </c>
      <c r="S15" s="74"/>
      <c r="T15" s="74">
        <f t="shared" si="7"/>
        <v>46248</v>
      </c>
      <c r="U15" s="69">
        <f t="shared" si="8"/>
        <v>46248</v>
      </c>
      <c r="V15" s="72"/>
      <c r="X15" s="185" t="str">
        <f t="shared" ca="1" si="9"/>
        <v>Completed</v>
      </c>
      <c r="Y15" s="185" t="str">
        <f t="shared" ca="1" si="10"/>
        <v>Completed</v>
      </c>
      <c r="Z15" s="185" t="str">
        <f t="shared" ca="1" si="11"/>
        <v>Overdue</v>
      </c>
      <c r="AA15" s="186" t="str">
        <f t="shared" ca="1" si="12"/>
        <v>Follow-Next Week</v>
      </c>
    </row>
    <row r="16" spans="1:27" s="64" customFormat="1" ht="11.5" x14ac:dyDescent="0.25">
      <c r="A16" s="140" t="s">
        <v>61</v>
      </c>
      <c r="B16" s="140" t="s">
        <v>62</v>
      </c>
      <c r="C16" s="191" t="s">
        <v>63</v>
      </c>
      <c r="D16" s="192" t="s">
        <v>259</v>
      </c>
      <c r="E16" s="193" t="s">
        <v>513</v>
      </c>
      <c r="F16" s="194">
        <f t="shared" si="28"/>
        <v>0.7</v>
      </c>
      <c r="G16" s="194">
        <f t="shared" si="29"/>
        <v>0.7</v>
      </c>
      <c r="H16" s="194">
        <f t="shared" si="30"/>
        <v>1</v>
      </c>
      <c r="I16" s="194">
        <f t="shared" ref="I16:I25" si="31">H16-F16</f>
        <v>0.30000000000000004</v>
      </c>
      <c r="J16" s="195">
        <v>1.2</v>
      </c>
      <c r="K16" s="144">
        <v>46171</v>
      </c>
      <c r="L16" s="196">
        <f t="shared" si="2"/>
        <v>46171</v>
      </c>
      <c r="M16" s="144">
        <v>46178</v>
      </c>
      <c r="N16" s="144">
        <f t="shared" si="3"/>
        <v>46213</v>
      </c>
      <c r="O16" s="196">
        <f t="shared" si="4"/>
        <v>46213</v>
      </c>
      <c r="P16" s="144">
        <v>46234</v>
      </c>
      <c r="Q16" s="144">
        <f t="shared" si="5"/>
        <v>46255</v>
      </c>
      <c r="R16" s="196">
        <f t="shared" si="6"/>
        <v>46255</v>
      </c>
      <c r="S16" s="148">
        <v>46234</v>
      </c>
      <c r="T16" s="148">
        <f t="shared" si="7"/>
        <v>46269</v>
      </c>
      <c r="U16" s="196">
        <f t="shared" si="8"/>
        <v>46269</v>
      </c>
      <c r="V16" s="144">
        <v>46234</v>
      </c>
      <c r="X16" s="185" t="str">
        <f t="shared" ca="1" si="9"/>
        <v>Completed</v>
      </c>
      <c r="Y16" s="185" t="str">
        <f t="shared" ca="1" si="10"/>
        <v>Completed</v>
      </c>
      <c r="Z16" s="185" t="str">
        <f t="shared" ca="1" si="11"/>
        <v>Completed</v>
      </c>
      <c r="AA16" s="186" t="str">
        <f t="shared" ca="1" si="12"/>
        <v>Completed</v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259</v>
      </c>
      <c r="E17" s="80" t="s">
        <v>514</v>
      </c>
      <c r="F17" s="66">
        <f t="shared" ref="F17" si="32">(COUNTIFS(K17,"&lt;="&amp;$D$1)*50%)+(COUNTIFS(N17,"&lt;="&amp;$D$1)*20%)+(COUNTIFS(Q17,"&lt;="&amp;$D$1)*10%)+(COUNTIFS(T17,"&lt;="&amp;$D$1)*20%)</f>
        <v>0.7</v>
      </c>
      <c r="G17" s="66">
        <f t="shared" ref="G17" si="33">(COUNTIFS(L17,"&lt;="&amp;$D$1)*50%)+(COUNTIFS(O17,"&lt;="&amp;$D$1)*20%)+(COUNTIFS(R17,"&lt;="&amp;$D$1)*10%)+(COUNTIFS(U17,"&lt;="&amp;$D$1)*20%)</f>
        <v>0.7</v>
      </c>
      <c r="H17" s="66">
        <f t="shared" ref="H17" si="34">(COUNTIFS(M17,"&lt;="&amp;$D$1)*50%)+(COUNTIFS(P17,"&lt;="&amp;$D$1)*20%)+(COUNTIFS(S17,"&lt;="&amp;$D$1)*10%)+(COUNTIFS(V17,"&lt;="&amp;$D$1)*20%)</f>
        <v>0.5</v>
      </c>
      <c r="I17" s="66">
        <f t="shared" ref="I17" si="35">H17-F17</f>
        <v>-0.19999999999999996</v>
      </c>
      <c r="J17" s="71">
        <v>0.8</v>
      </c>
      <c r="K17" s="72">
        <v>46171</v>
      </c>
      <c r="L17" s="68">
        <f t="shared" ref="L17" si="36">K17</f>
        <v>46171</v>
      </c>
      <c r="M17" s="72">
        <v>46178</v>
      </c>
      <c r="N17" s="72">
        <f t="shared" ref="N17" si="37">K17+42</f>
        <v>46213</v>
      </c>
      <c r="O17" s="68">
        <f t="shared" ref="O17" si="38">N17</f>
        <v>46213</v>
      </c>
      <c r="P17" s="72"/>
      <c r="Q17" s="72">
        <f t="shared" ref="Q17" si="39">N17+42</f>
        <v>46255</v>
      </c>
      <c r="R17" s="68">
        <f t="shared" ref="R17" si="40">Q17</f>
        <v>46255</v>
      </c>
      <c r="S17" s="74"/>
      <c r="T17" s="74">
        <f t="shared" ref="T17" si="41">Q17+14</f>
        <v>46269</v>
      </c>
      <c r="U17" s="68">
        <f t="shared" ref="U17" si="42">T17</f>
        <v>46269</v>
      </c>
      <c r="V17" s="72"/>
      <c r="X17" s="185" t="str">
        <f t="shared" ref="X17" ca="1" si="43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Y17" s="185" t="str">
        <f t="shared" ref="Y17" ca="1" si="44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Overdue</v>
      </c>
      <c r="Z17" s="185" t="str">
        <f t="shared" ref="Z17" ca="1" si="45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/>
      </c>
      <c r="AA17" s="186" t="str">
        <f t="shared" ref="AA17" ca="1" si="46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/>
      </c>
    </row>
    <row r="18" spans="1:27" s="64" customFormat="1" ht="11.5" x14ac:dyDescent="0.25">
      <c r="A18" s="140" t="s">
        <v>61</v>
      </c>
      <c r="B18" s="140" t="s">
        <v>62</v>
      </c>
      <c r="C18" s="191" t="s">
        <v>63</v>
      </c>
      <c r="D18" s="192" t="s">
        <v>260</v>
      </c>
      <c r="E18" s="193" t="s">
        <v>515</v>
      </c>
      <c r="F18" s="194">
        <f t="shared" si="28"/>
        <v>0.7</v>
      </c>
      <c r="G18" s="194">
        <f t="shared" si="29"/>
        <v>0.7</v>
      </c>
      <c r="H18" s="194">
        <f t="shared" si="30"/>
        <v>1</v>
      </c>
      <c r="I18" s="194">
        <f t="shared" si="31"/>
        <v>0.30000000000000004</v>
      </c>
      <c r="J18" s="195">
        <v>1.2</v>
      </c>
      <c r="K18" s="144">
        <v>46185</v>
      </c>
      <c r="L18" s="196">
        <f t="shared" si="2"/>
        <v>46185</v>
      </c>
      <c r="M18" s="144">
        <v>46205</v>
      </c>
      <c r="N18" s="144">
        <f t="shared" si="3"/>
        <v>46227</v>
      </c>
      <c r="O18" s="196">
        <f t="shared" si="4"/>
        <v>46227</v>
      </c>
      <c r="P18" s="144">
        <v>46234</v>
      </c>
      <c r="Q18" s="144">
        <f t="shared" si="5"/>
        <v>46269</v>
      </c>
      <c r="R18" s="196">
        <f t="shared" si="6"/>
        <v>46269</v>
      </c>
      <c r="S18" s="144">
        <v>46234</v>
      </c>
      <c r="T18" s="148">
        <f t="shared" si="7"/>
        <v>46283</v>
      </c>
      <c r="U18" s="196">
        <f t="shared" si="8"/>
        <v>46283</v>
      </c>
      <c r="V18" s="144">
        <v>46234</v>
      </c>
      <c r="X18" s="185" t="str">
        <f t="shared" ca="1" si="9"/>
        <v>Completed</v>
      </c>
      <c r="Y18" s="185" t="str">
        <f t="shared" ca="1" si="10"/>
        <v>Completed</v>
      </c>
      <c r="Z18" s="185" t="str">
        <f t="shared" ca="1" si="11"/>
        <v>Completed</v>
      </c>
      <c r="AA18" s="186" t="str">
        <f t="shared" ca="1" si="12"/>
        <v>Completed</v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260</v>
      </c>
      <c r="E19" s="80" t="s">
        <v>516</v>
      </c>
      <c r="F19" s="66">
        <f t="shared" ref="F19" si="47">(COUNTIFS(K19,"&lt;="&amp;$D$1)*50%)+(COUNTIFS(N19,"&lt;="&amp;$D$1)*20%)+(COUNTIFS(Q19,"&lt;="&amp;$D$1)*10%)+(COUNTIFS(T19,"&lt;="&amp;$D$1)*20%)</f>
        <v>0.7</v>
      </c>
      <c r="G19" s="66">
        <f t="shared" ref="G19" si="48">(COUNTIFS(L19,"&lt;="&amp;$D$1)*50%)+(COUNTIFS(O19,"&lt;="&amp;$D$1)*20%)+(COUNTIFS(R19,"&lt;="&amp;$D$1)*10%)+(COUNTIFS(U19,"&lt;="&amp;$D$1)*20%)</f>
        <v>0.7</v>
      </c>
      <c r="H19" s="66">
        <f t="shared" ref="H19" si="49">(COUNTIFS(M19,"&lt;="&amp;$D$1)*50%)+(COUNTIFS(P19,"&lt;="&amp;$D$1)*20%)+(COUNTIFS(S19,"&lt;="&amp;$D$1)*10%)+(COUNTIFS(V19,"&lt;="&amp;$D$1)*20%)</f>
        <v>0.5</v>
      </c>
      <c r="I19" s="66">
        <f t="shared" ref="I19" si="50">H19-F19</f>
        <v>-0.19999999999999996</v>
      </c>
      <c r="J19" s="71">
        <v>0.8</v>
      </c>
      <c r="K19" s="72">
        <v>46185</v>
      </c>
      <c r="L19" s="68">
        <f t="shared" ref="L19" si="51">K19</f>
        <v>46185</v>
      </c>
      <c r="M19" s="72">
        <v>46205</v>
      </c>
      <c r="N19" s="72">
        <v>46218</v>
      </c>
      <c r="O19" s="68">
        <f t="shared" ref="O19" si="52">N19</f>
        <v>46218</v>
      </c>
      <c r="P19" s="72"/>
      <c r="Q19" s="72">
        <f t="shared" ref="Q19" si="53">N19+42</f>
        <v>46260</v>
      </c>
      <c r="R19" s="68">
        <f t="shared" ref="R19" si="54">Q19</f>
        <v>46260</v>
      </c>
      <c r="S19" s="74"/>
      <c r="T19" s="74">
        <f t="shared" ref="T19" si="55">Q19+14</f>
        <v>46274</v>
      </c>
      <c r="U19" s="68">
        <f t="shared" ref="U19" si="56">T19</f>
        <v>46274</v>
      </c>
      <c r="V19" s="72"/>
      <c r="X19" s="185" t="str">
        <f t="shared" ref="X19" ca="1" si="57">IF(OR(M19&lt;&gt;""),"Completed",
IF(L19="","",IF(L19&lt;TODAY(),"Overdue",
IF(AND(L19&gt;=TODAY()-WEEKDAY(TODAY(),2)+1,L19&lt;=TODAY()-WEEKDAY(TODAY(),2)+7),"Follow-This Week",
IF(AND(L19&gt;=TODAY()-WEEKDAY(TODAY(),2)+8,L19&lt;=TODAY()-WEEKDAY(TODAY(),2)+14),"Follow-Next Week","")))))</f>
        <v>Completed</v>
      </c>
      <c r="Y19" s="185" t="str">
        <f t="shared" ref="Y19" ca="1" si="58">IF(OR(P19&lt;&gt;""),"Completed",IF(O19="","",
IF(O19&lt;TODAY(),"Overdue",
IF(AND(O19&gt;=TODAY()-WEEKDAY(TODAY(),2)+1,O19&lt;=TODAY()-WEEKDAY(TODAY(),2)+7),"Follow-This Week",
IF(AND(O19&gt;=TODAY()-WEEKDAY(TODAY(),2)+8,O19&lt;=TODAY()-WEEKDAY(TODAY(),2)+14),"Follow-Next Week","")))))</f>
        <v>Overdue</v>
      </c>
      <c r="Z19" s="185" t="str">
        <f t="shared" ref="Z19" ca="1" si="59">IF(OR(S19&lt;&gt;""),"Completed",IF(R19="","",
IF(R19&lt;TODAY(),"Overdue",
IF(AND(R19&gt;=TODAY()-WEEKDAY(TODAY(),2)+1,R19&lt;=TODAY()-WEEKDAY(TODAY(),2)+7),"Follow-This Week",
IF(AND(R19&gt;=TODAY()-WEEKDAY(TODAY(),2)+8,R19&lt;=TODAY()-WEEKDAY(TODAY(),2)+14),"Follow-Next Week","")))))</f>
        <v/>
      </c>
      <c r="AA19" s="186" t="str">
        <f t="shared" ref="AA19" ca="1" si="60">IF(OR(V19&lt;&gt;""),"Completed",IF(U19="","",
IF(U19&lt;TODAY(),"Overdue",
IF(AND(U19&gt;=TODAY()-WEEKDAY(TODAY(),2)+1,U19&lt;=TODAY()-WEEKDAY(TODAY(),2)+7),"Follow-This Week",
IF(AND(U19&gt;=TODAY()-WEEKDAY(TODAY(),2)+8,U19&lt;=TODAY()-WEEKDAY(TODAY(),2)+14),"Follow-Next Week","")))))</f>
        <v/>
      </c>
    </row>
    <row r="20" spans="1:27" s="64" customFormat="1" ht="11.5" x14ac:dyDescent="0.25">
      <c r="A20" s="70" t="s">
        <v>61</v>
      </c>
      <c r="B20" s="70" t="s">
        <v>62</v>
      </c>
      <c r="C20" s="65" t="s">
        <v>63</v>
      </c>
      <c r="D20" s="82" t="s">
        <v>261</v>
      </c>
      <c r="E20" s="80" t="s">
        <v>79</v>
      </c>
      <c r="F20" s="66">
        <f t="shared" si="28"/>
        <v>0.7</v>
      </c>
      <c r="G20" s="66">
        <f t="shared" si="29"/>
        <v>0.7</v>
      </c>
      <c r="H20" s="66">
        <f t="shared" si="30"/>
        <v>0.7</v>
      </c>
      <c r="I20" s="66">
        <f t="shared" si="31"/>
        <v>0</v>
      </c>
      <c r="J20" s="71">
        <v>2</v>
      </c>
      <c r="K20" s="72">
        <v>46164</v>
      </c>
      <c r="L20" s="68">
        <f t="shared" si="2"/>
        <v>46164</v>
      </c>
      <c r="M20" s="72">
        <v>46157</v>
      </c>
      <c r="N20" s="72">
        <f t="shared" si="3"/>
        <v>46206</v>
      </c>
      <c r="O20" s="68">
        <f t="shared" si="4"/>
        <v>46206</v>
      </c>
      <c r="P20" s="74">
        <v>46226</v>
      </c>
      <c r="Q20" s="72">
        <f t="shared" si="5"/>
        <v>46248</v>
      </c>
      <c r="R20" s="68">
        <f t="shared" si="6"/>
        <v>46248</v>
      </c>
      <c r="S20" s="74"/>
      <c r="T20" s="74">
        <f t="shared" si="7"/>
        <v>46262</v>
      </c>
      <c r="U20" s="68">
        <f t="shared" si="8"/>
        <v>46262</v>
      </c>
      <c r="V20" s="72"/>
      <c r="X20" s="185" t="str">
        <f t="shared" ca="1" si="9"/>
        <v>Completed</v>
      </c>
      <c r="Y20" s="185" t="str">
        <f t="shared" ca="1" si="10"/>
        <v>Completed</v>
      </c>
      <c r="Z20" s="185" t="str">
        <f t="shared" ca="1" si="11"/>
        <v>Follow-Next Week</v>
      </c>
      <c r="AA20" s="186" t="str">
        <f t="shared" ca="1" si="12"/>
        <v/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262</v>
      </c>
      <c r="E21" s="65" t="s">
        <v>80</v>
      </c>
      <c r="F21" s="66">
        <f t="shared" si="28"/>
        <v>0.7</v>
      </c>
      <c r="G21" s="66">
        <f t="shared" si="29"/>
        <v>0.7</v>
      </c>
      <c r="H21" s="66">
        <f t="shared" si="30"/>
        <v>0.5</v>
      </c>
      <c r="I21" s="66">
        <f t="shared" si="31"/>
        <v>-0.19999999999999996</v>
      </c>
      <c r="J21" s="71">
        <v>4.0999999999999996</v>
      </c>
      <c r="K21" s="72">
        <v>46199</v>
      </c>
      <c r="L21" s="68">
        <f t="shared" si="2"/>
        <v>46199</v>
      </c>
      <c r="M21" s="72">
        <v>46196</v>
      </c>
      <c r="N21" s="72">
        <f t="shared" si="3"/>
        <v>46241</v>
      </c>
      <c r="O21" s="68">
        <f t="shared" si="4"/>
        <v>46241</v>
      </c>
      <c r="P21" s="72"/>
      <c r="Q21" s="72">
        <f t="shared" si="5"/>
        <v>46283</v>
      </c>
      <c r="R21" s="68">
        <f t="shared" si="6"/>
        <v>46283</v>
      </c>
      <c r="S21" s="74"/>
      <c r="T21" s="74">
        <f t="shared" si="7"/>
        <v>46297</v>
      </c>
      <c r="U21" s="68">
        <f t="shared" si="8"/>
        <v>46297</v>
      </c>
      <c r="V21" s="72"/>
      <c r="X21" s="185" t="str">
        <f t="shared" ca="1" si="9"/>
        <v>Completed</v>
      </c>
      <c r="Y21" s="185" t="str">
        <f t="shared" ca="1" si="10"/>
        <v>Overdue</v>
      </c>
      <c r="Z21" s="185" t="str">
        <f t="shared" ca="1" si="11"/>
        <v/>
      </c>
      <c r="AA21" s="186" t="str">
        <f t="shared" ca="1" si="12"/>
        <v/>
      </c>
    </row>
    <row r="22" spans="1:27" s="64" customFormat="1" ht="11.5" x14ac:dyDescent="0.25">
      <c r="A22" s="70" t="s">
        <v>61</v>
      </c>
      <c r="B22" s="70" t="s">
        <v>62</v>
      </c>
      <c r="C22" s="65" t="s">
        <v>63</v>
      </c>
      <c r="D22" s="82" t="s">
        <v>263</v>
      </c>
      <c r="E22" s="80" t="s">
        <v>81</v>
      </c>
      <c r="F22" s="66">
        <f t="shared" si="28"/>
        <v>0.5</v>
      </c>
      <c r="G22" s="66">
        <f t="shared" si="29"/>
        <v>0.5</v>
      </c>
      <c r="H22" s="66">
        <f t="shared" si="30"/>
        <v>0.7</v>
      </c>
      <c r="I22" s="66">
        <f t="shared" si="31"/>
        <v>0.19999999999999996</v>
      </c>
      <c r="J22" s="89">
        <v>2</v>
      </c>
      <c r="K22" s="72">
        <v>46206</v>
      </c>
      <c r="L22" s="72">
        <f t="shared" si="2"/>
        <v>46206</v>
      </c>
      <c r="M22" s="74">
        <v>46213</v>
      </c>
      <c r="N22" s="74">
        <f t="shared" si="3"/>
        <v>46248</v>
      </c>
      <c r="O22" s="72">
        <f t="shared" si="4"/>
        <v>46248</v>
      </c>
      <c r="P22" s="72">
        <v>46220</v>
      </c>
      <c r="Q22" s="74">
        <f t="shared" si="5"/>
        <v>46290</v>
      </c>
      <c r="R22" s="72">
        <f t="shared" si="6"/>
        <v>46290</v>
      </c>
      <c r="S22" s="74"/>
      <c r="T22" s="74">
        <f t="shared" si="7"/>
        <v>46304</v>
      </c>
      <c r="U22" s="72">
        <f t="shared" si="8"/>
        <v>46304</v>
      </c>
      <c r="V22" s="72"/>
      <c r="X22" s="185" t="str">
        <f t="shared" ca="1" si="9"/>
        <v>Completed</v>
      </c>
      <c r="Y22" s="185" t="str">
        <f t="shared" ca="1" si="10"/>
        <v>Completed</v>
      </c>
      <c r="Z22" s="185" t="str">
        <f t="shared" ca="1" si="11"/>
        <v/>
      </c>
      <c r="AA22" s="186" t="str">
        <f t="shared" ca="1" si="12"/>
        <v/>
      </c>
    </row>
    <row r="23" spans="1:27" s="64" customFormat="1" ht="11.5" x14ac:dyDescent="0.25">
      <c r="A23" s="151" t="s">
        <v>61</v>
      </c>
      <c r="B23" s="151" t="s">
        <v>64</v>
      </c>
      <c r="C23" s="151" t="s">
        <v>63</v>
      </c>
      <c r="D23" s="152" t="s">
        <v>84</v>
      </c>
      <c r="E23" s="189" t="s">
        <v>498</v>
      </c>
      <c r="F23" s="153">
        <f t="shared" si="28"/>
        <v>0.7</v>
      </c>
      <c r="G23" s="153">
        <f t="shared" si="29"/>
        <v>0.7</v>
      </c>
      <c r="H23" s="153">
        <f t="shared" si="30"/>
        <v>1</v>
      </c>
      <c r="I23" s="153">
        <f t="shared" si="31"/>
        <v>0.30000000000000004</v>
      </c>
      <c r="J23" s="175">
        <v>1</v>
      </c>
      <c r="K23" s="156">
        <v>46199</v>
      </c>
      <c r="L23" s="156">
        <f t="shared" si="2"/>
        <v>46199</v>
      </c>
      <c r="M23" s="155">
        <v>46220</v>
      </c>
      <c r="N23" s="156">
        <f t="shared" si="3"/>
        <v>46241</v>
      </c>
      <c r="O23" s="156">
        <f t="shared" si="4"/>
        <v>46241</v>
      </c>
      <c r="P23" s="156">
        <v>46220</v>
      </c>
      <c r="Q23" s="156">
        <f t="shared" si="5"/>
        <v>46283</v>
      </c>
      <c r="R23" s="156">
        <f t="shared" si="6"/>
        <v>46283</v>
      </c>
      <c r="S23" s="155">
        <v>46220</v>
      </c>
      <c r="T23" s="156">
        <f t="shared" si="7"/>
        <v>46297</v>
      </c>
      <c r="U23" s="156">
        <f t="shared" si="8"/>
        <v>46297</v>
      </c>
      <c r="V23" s="176">
        <v>46220</v>
      </c>
      <c r="X23" s="185" t="str">
        <f t="shared" ca="1" si="9"/>
        <v>Completed</v>
      </c>
      <c r="Y23" s="185" t="str">
        <f t="shared" ca="1" si="10"/>
        <v>Completed</v>
      </c>
      <c r="Z23" s="185" t="str">
        <f t="shared" ca="1" si="11"/>
        <v>Completed</v>
      </c>
      <c r="AA23" s="186" t="str">
        <f t="shared" ca="1" si="12"/>
        <v>Completed</v>
      </c>
    </row>
    <row r="24" spans="1:27" s="64" customFormat="1" ht="11.5" x14ac:dyDescent="0.25">
      <c r="A24" s="86" t="s">
        <v>61</v>
      </c>
      <c r="B24" s="86" t="s">
        <v>64</v>
      </c>
      <c r="C24" s="86" t="s">
        <v>63</v>
      </c>
      <c r="D24" s="130" t="s">
        <v>84</v>
      </c>
      <c r="E24" s="98" t="s">
        <v>497</v>
      </c>
      <c r="F24" s="87">
        <f t="shared" ref="F24" si="61">(COUNTIFS(K24,"&lt;="&amp;$D$1)*50%)+(COUNTIFS(N24,"&lt;="&amp;$D$1)*20%)+(COUNTIFS(Q24,"&lt;="&amp;$D$1)*10%)+(COUNTIFS(T24,"&lt;="&amp;$D$1)*20%)</f>
        <v>0</v>
      </c>
      <c r="G24" s="87">
        <f t="shared" ref="G24" si="62">(COUNTIFS(L24,"&lt;="&amp;$D$1)*50%)+(COUNTIFS(O24,"&lt;="&amp;$D$1)*20%)+(COUNTIFS(R24,"&lt;="&amp;$D$1)*10%)+(COUNTIFS(U24,"&lt;="&amp;$D$1)*20%)</f>
        <v>0</v>
      </c>
      <c r="H24" s="87">
        <f t="shared" ref="H24" si="63">(COUNTIFS(M24,"&lt;="&amp;$D$1)*50%)+(COUNTIFS(P24,"&lt;="&amp;$D$1)*20%)+(COUNTIFS(S24,"&lt;="&amp;$D$1)*10%)+(COUNTIFS(V24,"&lt;="&amp;$D$1)*20%)</f>
        <v>0</v>
      </c>
      <c r="I24" s="87">
        <f t="shared" ref="I24" si="64">H24-F24</f>
        <v>0</v>
      </c>
      <c r="J24" s="106">
        <v>1</v>
      </c>
      <c r="K24" s="99">
        <v>46265</v>
      </c>
      <c r="L24" s="99">
        <f t="shared" ref="L24" si="65">K24</f>
        <v>46265</v>
      </c>
      <c r="M24" s="88"/>
      <c r="N24" s="99">
        <f t="shared" ref="N24" si="66">K24+42</f>
        <v>46307</v>
      </c>
      <c r="O24" s="99">
        <f t="shared" ref="O24" si="67">N24</f>
        <v>46307</v>
      </c>
      <c r="P24" s="99"/>
      <c r="Q24" s="99">
        <f t="shared" ref="Q24" si="68">N24+42</f>
        <v>46349</v>
      </c>
      <c r="R24" s="99">
        <f t="shared" ref="R24" si="69">Q24</f>
        <v>46349</v>
      </c>
      <c r="S24" s="88"/>
      <c r="T24" s="99">
        <f t="shared" ref="T24" si="70">Q24+14</f>
        <v>46363</v>
      </c>
      <c r="U24" s="99">
        <f t="shared" ref="U24" si="71">T24</f>
        <v>46363</v>
      </c>
      <c r="V24" s="131"/>
      <c r="X24" s="185" t="str">
        <f t="shared" ca="1" si="9"/>
        <v/>
      </c>
      <c r="Y24" s="185" t="str">
        <f t="shared" ca="1" si="10"/>
        <v/>
      </c>
      <c r="Z24" s="185" t="str">
        <f t="shared" ca="1" si="11"/>
        <v/>
      </c>
      <c r="AA24" s="186" t="str">
        <f t="shared" ca="1" si="12"/>
        <v/>
      </c>
    </row>
    <row r="25" spans="1:27" s="64" customFormat="1" ht="11.5" x14ac:dyDescent="0.25">
      <c r="A25" s="157" t="s">
        <v>61</v>
      </c>
      <c r="B25" s="157" t="s">
        <v>67</v>
      </c>
      <c r="C25" s="157" t="s">
        <v>63</v>
      </c>
      <c r="D25" s="158" t="s">
        <v>83</v>
      </c>
      <c r="E25" s="157" t="s">
        <v>503</v>
      </c>
      <c r="F25" s="159">
        <f t="shared" si="28"/>
        <v>0.79999999999999993</v>
      </c>
      <c r="G25" s="159">
        <f t="shared" si="29"/>
        <v>0.79999999999999993</v>
      </c>
      <c r="H25" s="159">
        <f t="shared" si="30"/>
        <v>1</v>
      </c>
      <c r="I25" s="159">
        <f t="shared" si="31"/>
        <v>0.20000000000000007</v>
      </c>
      <c r="J25" s="177">
        <v>1</v>
      </c>
      <c r="K25" s="161">
        <v>46157</v>
      </c>
      <c r="L25" s="161">
        <f t="shared" si="2"/>
        <v>46157</v>
      </c>
      <c r="M25" s="161">
        <v>46188</v>
      </c>
      <c r="N25" s="161">
        <f t="shared" si="3"/>
        <v>46199</v>
      </c>
      <c r="O25" s="161">
        <f t="shared" si="4"/>
        <v>46199</v>
      </c>
      <c r="P25" s="162">
        <v>46220</v>
      </c>
      <c r="Q25" s="161">
        <f t="shared" si="5"/>
        <v>46241</v>
      </c>
      <c r="R25" s="161">
        <f t="shared" si="6"/>
        <v>46241</v>
      </c>
      <c r="S25" s="162">
        <v>46220</v>
      </c>
      <c r="T25" s="162">
        <f t="shared" si="7"/>
        <v>46255</v>
      </c>
      <c r="U25" s="161">
        <f t="shared" si="8"/>
        <v>46255</v>
      </c>
      <c r="V25" s="162">
        <v>46220</v>
      </c>
      <c r="X25" s="185" t="str">
        <f t="shared" ca="1" si="9"/>
        <v>Completed</v>
      </c>
      <c r="Y25" s="185" t="str">
        <f t="shared" ca="1" si="10"/>
        <v>Completed</v>
      </c>
      <c r="Z25" s="185" t="str">
        <f t="shared" ca="1" si="11"/>
        <v>Completed</v>
      </c>
      <c r="AA25" s="186" t="str">
        <f t="shared" ca="1" si="12"/>
        <v>Completed</v>
      </c>
    </row>
    <row r="26" spans="1:27" s="64" customFormat="1" ht="11.5" x14ac:dyDescent="0.25">
      <c r="A26" s="83" t="s">
        <v>61</v>
      </c>
      <c r="B26" s="83" t="s">
        <v>67</v>
      </c>
      <c r="C26" s="83" t="s">
        <v>63</v>
      </c>
      <c r="D26" s="127" t="s">
        <v>83</v>
      </c>
      <c r="E26" s="83" t="s">
        <v>504</v>
      </c>
      <c r="F26" s="84">
        <f t="shared" ref="F26" si="72">(COUNTIFS(K26,"&lt;="&amp;$D$1)*50%)+(COUNTIFS(N26,"&lt;="&amp;$D$1)*20%)+(COUNTIFS(Q26,"&lt;="&amp;$D$1)*10%)+(COUNTIFS(T26,"&lt;="&amp;$D$1)*20%)</f>
        <v>0.79999999999999993</v>
      </c>
      <c r="G26" s="84">
        <f t="shared" ref="G26" si="73">(COUNTIFS(L26,"&lt;="&amp;$D$1)*50%)+(COUNTIFS(O26,"&lt;="&amp;$D$1)*20%)+(COUNTIFS(R26,"&lt;="&amp;$D$1)*10%)+(COUNTIFS(U26,"&lt;="&amp;$D$1)*20%)</f>
        <v>0.79999999999999993</v>
      </c>
      <c r="H26" s="84">
        <f t="shared" ref="H26" si="74">(COUNTIFS(M26,"&lt;="&amp;$D$1)*50%)+(COUNTIFS(P26,"&lt;="&amp;$D$1)*20%)+(COUNTIFS(S26,"&lt;="&amp;$D$1)*10%)+(COUNTIFS(V26,"&lt;="&amp;$D$1)*20%)</f>
        <v>0.7</v>
      </c>
      <c r="I26" s="84">
        <f t="shared" ref="I26" si="75">H26-F26</f>
        <v>-9.9999999999999978E-2</v>
      </c>
      <c r="J26" s="105">
        <v>1</v>
      </c>
      <c r="K26" s="85">
        <v>46157</v>
      </c>
      <c r="L26" s="85">
        <f t="shared" ref="L26" si="76">K26</f>
        <v>46157</v>
      </c>
      <c r="M26" s="85">
        <v>46223</v>
      </c>
      <c r="N26" s="85">
        <f t="shared" ref="N26" si="77">K26+42</f>
        <v>46199</v>
      </c>
      <c r="O26" s="85">
        <f t="shared" ref="O26" si="78">N26</f>
        <v>46199</v>
      </c>
      <c r="P26" s="85">
        <v>46223</v>
      </c>
      <c r="Q26" s="85">
        <f t="shared" ref="Q26" si="79">N26+42</f>
        <v>46241</v>
      </c>
      <c r="R26" s="85">
        <f t="shared" ref="R26" si="80">Q26</f>
        <v>46241</v>
      </c>
      <c r="S26" s="96"/>
      <c r="T26" s="96">
        <f t="shared" ref="T26" si="81">Q26+14</f>
        <v>46255</v>
      </c>
      <c r="U26" s="85">
        <f t="shared" ref="U26" si="82">T26</f>
        <v>46255</v>
      </c>
      <c r="V26" s="85"/>
      <c r="X26" s="185" t="str">
        <f t="shared" ca="1" si="9"/>
        <v>Completed</v>
      </c>
      <c r="Y26" s="185" t="str">
        <f t="shared" ca="1" si="10"/>
        <v>Completed</v>
      </c>
      <c r="Z26" s="185" t="str">
        <f t="shared" ca="1" si="11"/>
        <v>Overdue</v>
      </c>
      <c r="AA26" s="186" t="str">
        <f t="shared" ca="1" si="12"/>
        <v/>
      </c>
    </row>
    <row r="27" spans="1:27" s="64" customFormat="1" ht="11.5" x14ac:dyDescent="0.25">
      <c r="A27" s="163" t="s">
        <v>61</v>
      </c>
      <c r="B27" s="163" t="s">
        <v>70</v>
      </c>
      <c r="C27" s="163" t="s">
        <v>63</v>
      </c>
      <c r="D27" s="164" t="s">
        <v>85</v>
      </c>
      <c r="E27" s="198" t="s">
        <v>499</v>
      </c>
      <c r="F27" s="165">
        <f t="shared" si="28"/>
        <v>0.7</v>
      </c>
      <c r="G27" s="165">
        <f t="shared" si="29"/>
        <v>0.7</v>
      </c>
      <c r="H27" s="165">
        <f t="shared" si="30"/>
        <v>1</v>
      </c>
      <c r="I27" s="165">
        <f t="shared" si="1"/>
        <v>0.30000000000000004</v>
      </c>
      <c r="J27" s="166">
        <v>1</v>
      </c>
      <c r="K27" s="168">
        <v>46185</v>
      </c>
      <c r="L27" s="168">
        <f t="shared" si="2"/>
        <v>46185</v>
      </c>
      <c r="M27" s="167">
        <v>46220</v>
      </c>
      <c r="N27" s="168">
        <f t="shared" si="3"/>
        <v>46227</v>
      </c>
      <c r="O27" s="168">
        <f t="shared" si="4"/>
        <v>46227</v>
      </c>
      <c r="P27" s="167">
        <v>46220</v>
      </c>
      <c r="Q27" s="168">
        <f t="shared" si="5"/>
        <v>46269</v>
      </c>
      <c r="R27" s="168">
        <f t="shared" si="6"/>
        <v>46269</v>
      </c>
      <c r="S27" s="168">
        <v>46220</v>
      </c>
      <c r="T27" s="168">
        <f t="shared" si="7"/>
        <v>46283</v>
      </c>
      <c r="U27" s="168">
        <f t="shared" si="8"/>
        <v>46283</v>
      </c>
      <c r="V27" s="167">
        <v>46220</v>
      </c>
      <c r="X27" s="185" t="str">
        <f t="shared" ca="1" si="9"/>
        <v>Completed</v>
      </c>
      <c r="Y27" s="185" t="str">
        <f t="shared" ca="1" si="10"/>
        <v>Completed</v>
      </c>
      <c r="Z27" s="185" t="str">
        <f t="shared" ca="1" si="11"/>
        <v>Completed</v>
      </c>
      <c r="AA27" s="186" t="str">
        <f t="shared" ca="1" si="12"/>
        <v>Completed</v>
      </c>
    </row>
    <row r="28" spans="1:27" s="64" customFormat="1" ht="11.5" x14ac:dyDescent="0.25">
      <c r="A28" s="110" t="s">
        <v>61</v>
      </c>
      <c r="B28" s="110" t="s">
        <v>70</v>
      </c>
      <c r="C28" s="110" t="s">
        <v>63</v>
      </c>
      <c r="D28" s="129" t="s">
        <v>85</v>
      </c>
      <c r="E28" s="114" t="s">
        <v>500</v>
      </c>
      <c r="F28" s="111">
        <f t="shared" ref="F28" si="83">(COUNTIFS(K28,"&lt;="&amp;$D$1)*50%)+(COUNTIFS(N28,"&lt;="&amp;$D$1)*20%)+(COUNTIFS(Q28,"&lt;="&amp;$D$1)*10%)+(COUNTIFS(T28,"&lt;="&amp;$D$1)*20%)</f>
        <v>0</v>
      </c>
      <c r="G28" s="111">
        <f t="shared" ref="G28" si="84">(COUNTIFS(L28,"&lt;="&amp;$D$1)*50%)+(COUNTIFS(O28,"&lt;="&amp;$D$1)*20%)+(COUNTIFS(R28,"&lt;="&amp;$D$1)*10%)+(COUNTIFS(U28,"&lt;="&amp;$D$1)*20%)</f>
        <v>0</v>
      </c>
      <c r="H28" s="111">
        <f t="shared" ref="H28" si="85">(COUNTIFS(M28,"&lt;="&amp;$D$1)*50%)+(COUNTIFS(P28,"&lt;="&amp;$D$1)*20%)+(COUNTIFS(S28,"&lt;="&amp;$D$1)*10%)+(COUNTIFS(V28,"&lt;="&amp;$D$1)*20%)</f>
        <v>0</v>
      </c>
      <c r="I28" s="111">
        <f t="shared" ref="I28" si="86">H28-F28</f>
        <v>0</v>
      </c>
      <c r="J28" s="112">
        <v>1</v>
      </c>
      <c r="K28" s="115">
        <v>46251</v>
      </c>
      <c r="L28" s="115">
        <f t="shared" ref="L28" si="87">K28</f>
        <v>46251</v>
      </c>
      <c r="M28" s="113"/>
      <c r="N28" s="115">
        <f t="shared" ref="N28" si="88">K28+42</f>
        <v>46293</v>
      </c>
      <c r="O28" s="115">
        <f t="shared" ref="O28" si="89">N28</f>
        <v>46293</v>
      </c>
      <c r="P28" s="113"/>
      <c r="Q28" s="115">
        <f t="shared" ref="Q28" si="90">N28+42</f>
        <v>46335</v>
      </c>
      <c r="R28" s="115">
        <f t="shared" ref="R28" si="91">Q28</f>
        <v>46335</v>
      </c>
      <c r="S28" s="115"/>
      <c r="T28" s="115">
        <f t="shared" ref="T28" si="92">Q28+14</f>
        <v>46349</v>
      </c>
      <c r="U28" s="115">
        <f t="shared" ref="U28" si="93">T28</f>
        <v>46349</v>
      </c>
      <c r="V28" s="113"/>
      <c r="X28" s="185" t="str">
        <f t="shared" ca="1" si="9"/>
        <v/>
      </c>
      <c r="Y28" s="185" t="str">
        <f t="shared" ca="1" si="10"/>
        <v/>
      </c>
      <c r="Z28" s="185" t="str">
        <f t="shared" ca="1" si="11"/>
        <v/>
      </c>
      <c r="AA28" s="186" t="str">
        <f t="shared" ca="1" si="12"/>
        <v/>
      </c>
    </row>
    <row r="29" spans="1:27" s="64" customFormat="1" ht="11.5" x14ac:dyDescent="0.25">
      <c r="A29" s="169" t="s">
        <v>61</v>
      </c>
      <c r="B29" s="169" t="s">
        <v>73</v>
      </c>
      <c r="C29" s="169" t="s">
        <v>63</v>
      </c>
      <c r="D29" s="170" t="s">
        <v>82</v>
      </c>
      <c r="E29" s="199" t="s">
        <v>501</v>
      </c>
      <c r="F29" s="171">
        <f t="shared" si="28"/>
        <v>0.7</v>
      </c>
      <c r="G29" s="171">
        <f t="shared" si="29"/>
        <v>0.7</v>
      </c>
      <c r="H29" s="171">
        <f t="shared" si="30"/>
        <v>1</v>
      </c>
      <c r="I29" s="171">
        <f t="shared" si="1"/>
        <v>0.30000000000000004</v>
      </c>
      <c r="J29" s="172">
        <v>1</v>
      </c>
      <c r="K29" s="173">
        <v>46171</v>
      </c>
      <c r="L29" s="173">
        <f t="shared" si="2"/>
        <v>46171</v>
      </c>
      <c r="M29" s="174">
        <v>46199</v>
      </c>
      <c r="N29" s="174">
        <f t="shared" si="3"/>
        <v>46213</v>
      </c>
      <c r="O29" s="173">
        <f t="shared" si="4"/>
        <v>46213</v>
      </c>
      <c r="P29" s="173">
        <v>46220</v>
      </c>
      <c r="Q29" s="174">
        <f t="shared" si="5"/>
        <v>46255</v>
      </c>
      <c r="R29" s="173">
        <f t="shared" si="6"/>
        <v>46255</v>
      </c>
      <c r="S29" s="174">
        <v>46220</v>
      </c>
      <c r="T29" s="174">
        <f t="shared" si="7"/>
        <v>46269</v>
      </c>
      <c r="U29" s="173">
        <f t="shared" si="8"/>
        <v>46269</v>
      </c>
      <c r="V29" s="173">
        <v>46220</v>
      </c>
      <c r="X29" s="185" t="str">
        <f t="shared" ca="1" si="9"/>
        <v>Completed</v>
      </c>
      <c r="Y29" s="185" t="str">
        <f t="shared" ca="1" si="10"/>
        <v>Completed</v>
      </c>
      <c r="Z29" s="185" t="str">
        <f t="shared" ca="1" si="11"/>
        <v>Completed</v>
      </c>
      <c r="AA29" s="186" t="str">
        <f t="shared" ca="1" si="12"/>
        <v>Completed</v>
      </c>
    </row>
    <row r="30" spans="1:27" s="64" customFormat="1" ht="11.5" x14ac:dyDescent="0.25">
      <c r="A30" s="91" t="s">
        <v>61</v>
      </c>
      <c r="B30" s="91" t="s">
        <v>73</v>
      </c>
      <c r="C30" s="91" t="s">
        <v>63</v>
      </c>
      <c r="D30" s="128" t="s">
        <v>82</v>
      </c>
      <c r="E30" s="109" t="s">
        <v>502</v>
      </c>
      <c r="F30" s="92">
        <f t="shared" ref="F30" si="94">(COUNTIFS(K30,"&lt;="&amp;$D$1)*50%)+(COUNTIFS(N30,"&lt;="&amp;$D$1)*20%)+(COUNTIFS(Q30,"&lt;="&amp;$D$1)*10%)+(COUNTIFS(T30,"&lt;="&amp;$D$1)*20%)</f>
        <v>0.7</v>
      </c>
      <c r="G30" s="92">
        <f t="shared" ref="G30" si="95">(COUNTIFS(L30,"&lt;="&amp;$D$1)*50%)+(COUNTIFS(O30,"&lt;="&amp;$D$1)*20%)+(COUNTIFS(R30,"&lt;="&amp;$D$1)*10%)+(COUNTIFS(U30,"&lt;="&amp;$D$1)*20%)</f>
        <v>0.7</v>
      </c>
      <c r="H30" s="92">
        <f t="shared" ref="H30" si="96">(COUNTIFS(M30,"&lt;="&amp;$D$1)*50%)+(COUNTIFS(P30,"&lt;="&amp;$D$1)*20%)+(COUNTIFS(S30,"&lt;="&amp;$D$1)*10%)+(COUNTIFS(V30,"&lt;="&amp;$D$1)*20%)</f>
        <v>0.7</v>
      </c>
      <c r="I30" s="92">
        <f t="shared" ref="I30" si="97">H30-F30</f>
        <v>0</v>
      </c>
      <c r="J30" s="95">
        <v>1</v>
      </c>
      <c r="K30" s="93">
        <v>46171</v>
      </c>
      <c r="L30" s="93">
        <f t="shared" ref="L30" si="98">K30</f>
        <v>46171</v>
      </c>
      <c r="M30" s="97">
        <v>46199</v>
      </c>
      <c r="N30" s="97">
        <v>46234</v>
      </c>
      <c r="O30" s="93">
        <f t="shared" ref="O30" si="99">N30</f>
        <v>46234</v>
      </c>
      <c r="P30" s="150">
        <v>46241</v>
      </c>
      <c r="Q30" s="97">
        <f t="shared" ref="Q30" si="100">N30+42</f>
        <v>46276</v>
      </c>
      <c r="R30" s="93">
        <f t="shared" ref="R30" si="101">Q30</f>
        <v>46276</v>
      </c>
      <c r="S30" s="97"/>
      <c r="T30" s="97">
        <f t="shared" ref="T30" si="102">Q30+14</f>
        <v>46290</v>
      </c>
      <c r="U30" s="93">
        <f t="shared" ref="U30" si="103">T30</f>
        <v>46290</v>
      </c>
      <c r="V30" s="93"/>
      <c r="X30" s="185" t="str">
        <f t="shared" ca="1" si="9"/>
        <v>Completed</v>
      </c>
      <c r="Y30" s="185" t="str">
        <f t="shared" ca="1" si="10"/>
        <v>Completed</v>
      </c>
      <c r="Z30" s="185" t="str">
        <f t="shared" ca="1" si="11"/>
        <v/>
      </c>
      <c r="AA30" s="186" t="str">
        <f t="shared" ca="1" si="12"/>
        <v/>
      </c>
    </row>
    <row r="31" spans="1:27" s="64" customFormat="1" ht="11.5" x14ac:dyDescent="0.25">
      <c r="A31" s="151" t="s">
        <v>61</v>
      </c>
      <c r="B31" s="151" t="s">
        <v>64</v>
      </c>
      <c r="C31" s="151" t="s">
        <v>63</v>
      </c>
      <c r="D31" s="152" t="s">
        <v>473</v>
      </c>
      <c r="E31" s="189" t="s">
        <v>505</v>
      </c>
      <c r="F31" s="153">
        <f t="shared" si="28"/>
        <v>0.5</v>
      </c>
      <c r="G31" s="153">
        <f t="shared" si="29"/>
        <v>0.5</v>
      </c>
      <c r="H31" s="153">
        <f t="shared" si="30"/>
        <v>1</v>
      </c>
      <c r="I31" s="153">
        <f t="shared" si="1"/>
        <v>0.5</v>
      </c>
      <c r="J31" s="175">
        <v>1</v>
      </c>
      <c r="K31" s="155">
        <v>46220</v>
      </c>
      <c r="L31" s="155">
        <f t="shared" si="2"/>
        <v>46220</v>
      </c>
      <c r="M31" s="155">
        <v>46188</v>
      </c>
      <c r="N31" s="155">
        <f t="shared" si="3"/>
        <v>46262</v>
      </c>
      <c r="O31" s="155">
        <f t="shared" si="4"/>
        <v>46262</v>
      </c>
      <c r="P31" s="155">
        <v>46227</v>
      </c>
      <c r="Q31" s="155">
        <f t="shared" si="5"/>
        <v>46304</v>
      </c>
      <c r="R31" s="155">
        <f t="shared" si="6"/>
        <v>46304</v>
      </c>
      <c r="S31" s="155">
        <v>46227</v>
      </c>
      <c r="T31" s="156">
        <f t="shared" si="7"/>
        <v>46318</v>
      </c>
      <c r="U31" s="155">
        <f t="shared" si="8"/>
        <v>46318</v>
      </c>
      <c r="V31" s="155">
        <v>46227</v>
      </c>
      <c r="X31" s="185" t="str">
        <f t="shared" ca="1" si="9"/>
        <v>Completed</v>
      </c>
      <c r="Y31" s="185" t="str">
        <f t="shared" ca="1" si="10"/>
        <v>Completed</v>
      </c>
      <c r="Z31" s="185" t="str">
        <f t="shared" ca="1" si="11"/>
        <v>Completed</v>
      </c>
      <c r="AA31" s="186" t="str">
        <f t="shared" ca="1" si="12"/>
        <v>Completed</v>
      </c>
    </row>
    <row r="32" spans="1:27" s="64" customFormat="1" ht="11.5" x14ac:dyDescent="0.25">
      <c r="A32" s="151" t="s">
        <v>61</v>
      </c>
      <c r="B32" s="151" t="s">
        <v>64</v>
      </c>
      <c r="C32" s="151" t="s">
        <v>63</v>
      </c>
      <c r="D32" s="152" t="s">
        <v>474</v>
      </c>
      <c r="E32" s="189" t="s">
        <v>506</v>
      </c>
      <c r="F32" s="153">
        <f t="shared" si="28"/>
        <v>0.5</v>
      </c>
      <c r="G32" s="153">
        <f t="shared" si="29"/>
        <v>0.5</v>
      </c>
      <c r="H32" s="153">
        <f t="shared" si="30"/>
        <v>1</v>
      </c>
      <c r="I32" s="153">
        <f t="shared" si="1"/>
        <v>0.5</v>
      </c>
      <c r="J32" s="175">
        <v>1</v>
      </c>
      <c r="K32" s="155">
        <v>46227</v>
      </c>
      <c r="L32" s="155">
        <f t="shared" si="2"/>
        <v>46227</v>
      </c>
      <c r="M32" s="155">
        <v>46227</v>
      </c>
      <c r="N32" s="155">
        <f t="shared" si="3"/>
        <v>46269</v>
      </c>
      <c r="O32" s="155">
        <f t="shared" si="4"/>
        <v>46269</v>
      </c>
      <c r="P32" s="155">
        <v>46227</v>
      </c>
      <c r="Q32" s="155">
        <f t="shared" si="5"/>
        <v>46311</v>
      </c>
      <c r="R32" s="155">
        <f t="shared" si="6"/>
        <v>46311</v>
      </c>
      <c r="S32" s="155">
        <v>46227</v>
      </c>
      <c r="T32" s="156">
        <f t="shared" si="7"/>
        <v>46325</v>
      </c>
      <c r="U32" s="155">
        <f t="shared" si="8"/>
        <v>46325</v>
      </c>
      <c r="V32" s="155">
        <v>46227</v>
      </c>
      <c r="X32" s="185" t="str">
        <f t="shared" ca="1" si="9"/>
        <v>Completed</v>
      </c>
      <c r="Y32" s="185" t="str">
        <f t="shared" ca="1" si="10"/>
        <v>Completed</v>
      </c>
      <c r="Z32" s="185" t="str">
        <f t="shared" ca="1" si="11"/>
        <v>Completed</v>
      </c>
      <c r="AA32" s="186" t="str">
        <f t="shared" ca="1" si="12"/>
        <v>Completed</v>
      </c>
    </row>
    <row r="33" spans="1:27" s="64" customFormat="1" ht="11.5" x14ac:dyDescent="0.25">
      <c r="A33" s="86" t="s">
        <v>61</v>
      </c>
      <c r="B33" s="86" t="s">
        <v>64</v>
      </c>
      <c r="C33" s="86" t="s">
        <v>63</v>
      </c>
      <c r="D33" s="130" t="s">
        <v>473</v>
      </c>
      <c r="E33" s="98" t="s">
        <v>508</v>
      </c>
      <c r="F33" s="87">
        <f t="shared" ref="F33:F34" si="104">(COUNTIFS(K33,"&lt;="&amp;$D$1)*50%)+(COUNTIFS(N33,"&lt;="&amp;$D$1)*20%)+(COUNTIFS(Q33,"&lt;="&amp;$D$1)*10%)+(COUNTIFS(T33,"&lt;="&amp;$D$1)*20%)</f>
        <v>0.5</v>
      </c>
      <c r="G33" s="87">
        <f t="shared" ref="G33:G34" si="105">(COUNTIFS(L33,"&lt;="&amp;$D$1)*50%)+(COUNTIFS(O33,"&lt;="&amp;$D$1)*20%)+(COUNTIFS(R33,"&lt;="&amp;$D$1)*10%)+(COUNTIFS(U33,"&lt;="&amp;$D$1)*20%)</f>
        <v>0.5</v>
      </c>
      <c r="H33" s="87">
        <f t="shared" ref="H33:H34" si="106">(COUNTIFS(M33,"&lt;="&amp;$D$1)*50%)+(COUNTIFS(P33,"&lt;="&amp;$D$1)*20%)+(COUNTIFS(S33,"&lt;="&amp;$D$1)*10%)+(COUNTIFS(V33,"&lt;="&amp;$D$1)*20%)</f>
        <v>0.5</v>
      </c>
      <c r="I33" s="87">
        <f t="shared" ref="I33:I34" si="107">H33-F33</f>
        <v>0</v>
      </c>
      <c r="J33" s="106">
        <v>1</v>
      </c>
      <c r="K33" s="88">
        <v>46220</v>
      </c>
      <c r="L33" s="88">
        <f t="shared" ref="L33:L34" si="108">K33</f>
        <v>46220</v>
      </c>
      <c r="M33" s="88">
        <v>46188</v>
      </c>
      <c r="N33" s="88">
        <f t="shared" ref="N33:N34" si="109">K33+42</f>
        <v>46262</v>
      </c>
      <c r="O33" s="88">
        <f t="shared" ref="O33:O34" si="110">N33</f>
        <v>46262</v>
      </c>
      <c r="P33" s="88"/>
      <c r="Q33" s="88">
        <f t="shared" ref="Q33:Q34" si="111">N33+42</f>
        <v>46304</v>
      </c>
      <c r="R33" s="88">
        <f t="shared" ref="R33:R34" si="112">Q33</f>
        <v>46304</v>
      </c>
      <c r="S33" s="99"/>
      <c r="T33" s="99">
        <f t="shared" ref="T33:T34" si="113">Q33+14</f>
        <v>46318</v>
      </c>
      <c r="U33" s="88">
        <f t="shared" ref="U33:U34" si="114">T33</f>
        <v>46318</v>
      </c>
      <c r="V33" s="88"/>
      <c r="X33" s="185" t="str">
        <f t="shared" ca="1" si="9"/>
        <v>Completed</v>
      </c>
      <c r="Y33" s="185" t="str">
        <f t="shared" ca="1" si="10"/>
        <v/>
      </c>
      <c r="Z33" s="185" t="str">
        <f t="shared" ca="1" si="11"/>
        <v/>
      </c>
      <c r="AA33" s="186" t="str">
        <f t="shared" ca="1" si="12"/>
        <v/>
      </c>
    </row>
    <row r="34" spans="1:27" s="64" customFormat="1" ht="11.5" x14ac:dyDescent="0.25">
      <c r="A34" s="86" t="s">
        <v>61</v>
      </c>
      <c r="B34" s="86" t="s">
        <v>64</v>
      </c>
      <c r="C34" s="86" t="s">
        <v>63</v>
      </c>
      <c r="D34" s="130" t="s">
        <v>474</v>
      </c>
      <c r="E34" s="98" t="s">
        <v>509</v>
      </c>
      <c r="F34" s="87">
        <f t="shared" si="104"/>
        <v>0</v>
      </c>
      <c r="G34" s="87">
        <f t="shared" si="105"/>
        <v>0</v>
      </c>
      <c r="H34" s="87">
        <f t="shared" si="106"/>
        <v>0</v>
      </c>
      <c r="I34" s="87">
        <f t="shared" si="107"/>
        <v>0</v>
      </c>
      <c r="J34" s="106">
        <v>1</v>
      </c>
      <c r="K34" s="88">
        <v>46262</v>
      </c>
      <c r="L34" s="88">
        <f t="shared" si="108"/>
        <v>46262</v>
      </c>
      <c r="M34" s="88"/>
      <c r="N34" s="88">
        <f t="shared" si="109"/>
        <v>46304</v>
      </c>
      <c r="O34" s="88">
        <f t="shared" si="110"/>
        <v>46304</v>
      </c>
      <c r="P34" s="88"/>
      <c r="Q34" s="88">
        <f t="shared" si="111"/>
        <v>46346</v>
      </c>
      <c r="R34" s="88">
        <f t="shared" si="112"/>
        <v>46346</v>
      </c>
      <c r="S34" s="99"/>
      <c r="T34" s="99">
        <f t="shared" si="113"/>
        <v>46360</v>
      </c>
      <c r="U34" s="88">
        <f t="shared" si="114"/>
        <v>46360</v>
      </c>
      <c r="V34" s="88"/>
      <c r="X34" s="185" t="str">
        <f t="shared" ca="1" si="9"/>
        <v/>
      </c>
      <c r="Y34" s="185" t="str">
        <f t="shared" ca="1" si="10"/>
        <v/>
      </c>
      <c r="Z34" s="185" t="str">
        <f t="shared" ca="1" si="11"/>
        <v/>
      </c>
      <c r="AA34" s="186" t="str">
        <f t="shared" ca="1" si="12"/>
        <v/>
      </c>
    </row>
    <row r="35" spans="1:27" s="64" customFormat="1" ht="11.5" x14ac:dyDescent="0.25">
      <c r="A35" s="83" t="s">
        <v>61</v>
      </c>
      <c r="B35" s="83" t="s">
        <v>67</v>
      </c>
      <c r="C35" s="83" t="s">
        <v>63</v>
      </c>
      <c r="D35" s="127" t="s">
        <v>475</v>
      </c>
      <c r="E35" s="100" t="s">
        <v>86</v>
      </c>
      <c r="F35" s="84">
        <f t="shared" si="28"/>
        <v>0.7</v>
      </c>
      <c r="G35" s="84">
        <f t="shared" si="29"/>
        <v>0.7</v>
      </c>
      <c r="H35" s="84">
        <f t="shared" si="30"/>
        <v>0.7</v>
      </c>
      <c r="I35" s="84">
        <f t="shared" si="1"/>
        <v>0</v>
      </c>
      <c r="J35" s="105">
        <v>2</v>
      </c>
      <c r="K35" s="85">
        <v>46178</v>
      </c>
      <c r="L35" s="85">
        <f t="shared" si="2"/>
        <v>46178</v>
      </c>
      <c r="M35" s="85">
        <v>46171</v>
      </c>
      <c r="N35" s="85">
        <f t="shared" si="3"/>
        <v>46220</v>
      </c>
      <c r="O35" s="85">
        <f t="shared" si="4"/>
        <v>46220</v>
      </c>
      <c r="P35" s="96">
        <v>46217</v>
      </c>
      <c r="Q35" s="85">
        <f t="shared" si="5"/>
        <v>46262</v>
      </c>
      <c r="R35" s="85">
        <f t="shared" si="6"/>
        <v>46262</v>
      </c>
      <c r="S35" s="96"/>
      <c r="T35" s="96">
        <f t="shared" si="7"/>
        <v>46276</v>
      </c>
      <c r="U35" s="85">
        <f t="shared" si="8"/>
        <v>46276</v>
      </c>
      <c r="V35" s="85"/>
      <c r="X35" s="185" t="str">
        <f t="shared" ca="1" si="9"/>
        <v>Completed</v>
      </c>
      <c r="Y35" s="185" t="str">
        <f t="shared" ca="1" si="10"/>
        <v>Completed</v>
      </c>
      <c r="Z35" s="185" t="str">
        <f t="shared" ca="1" si="11"/>
        <v/>
      </c>
      <c r="AA35" s="186" t="str">
        <f t="shared" ca="1" si="12"/>
        <v/>
      </c>
    </row>
    <row r="36" spans="1:27" s="64" customFormat="1" ht="11.5" x14ac:dyDescent="0.25">
      <c r="A36" s="83" t="s">
        <v>61</v>
      </c>
      <c r="B36" s="83" t="s">
        <v>67</v>
      </c>
      <c r="C36" s="83" t="s">
        <v>63</v>
      </c>
      <c r="D36" s="127" t="s">
        <v>476</v>
      </c>
      <c r="E36" s="100" t="s">
        <v>87</v>
      </c>
      <c r="F36" s="84">
        <f t="shared" si="28"/>
        <v>0.7</v>
      </c>
      <c r="G36" s="84">
        <f t="shared" si="29"/>
        <v>0.7</v>
      </c>
      <c r="H36" s="84">
        <f t="shared" si="30"/>
        <v>0.7</v>
      </c>
      <c r="I36" s="84">
        <f t="shared" si="1"/>
        <v>0</v>
      </c>
      <c r="J36" s="105">
        <v>2</v>
      </c>
      <c r="K36" s="85">
        <v>46185</v>
      </c>
      <c r="L36" s="85">
        <f t="shared" si="2"/>
        <v>46185</v>
      </c>
      <c r="M36" s="85">
        <v>46171</v>
      </c>
      <c r="N36" s="85">
        <f t="shared" si="3"/>
        <v>46227</v>
      </c>
      <c r="O36" s="85">
        <f t="shared" si="4"/>
        <v>46227</v>
      </c>
      <c r="P36" s="96">
        <v>46217</v>
      </c>
      <c r="Q36" s="85">
        <f t="shared" si="5"/>
        <v>46269</v>
      </c>
      <c r="R36" s="85">
        <f t="shared" si="6"/>
        <v>46269</v>
      </c>
      <c r="S36" s="96"/>
      <c r="T36" s="96">
        <f t="shared" si="7"/>
        <v>46283</v>
      </c>
      <c r="U36" s="85">
        <f t="shared" si="8"/>
        <v>46283</v>
      </c>
      <c r="V36" s="85"/>
      <c r="X36" s="185" t="str">
        <f t="shared" ca="1" si="9"/>
        <v>Completed</v>
      </c>
      <c r="Y36" s="185" t="str">
        <f t="shared" ca="1" si="10"/>
        <v>Completed</v>
      </c>
      <c r="Z36" s="185" t="str">
        <f t="shared" ca="1" si="11"/>
        <v/>
      </c>
      <c r="AA36" s="186" t="str">
        <f t="shared" ca="1" si="12"/>
        <v/>
      </c>
    </row>
    <row r="37" spans="1:27" s="64" customFormat="1" ht="11.5" x14ac:dyDescent="0.25">
      <c r="A37" s="163" t="s">
        <v>61</v>
      </c>
      <c r="B37" s="163" t="s">
        <v>70</v>
      </c>
      <c r="C37" s="163" t="s">
        <v>63</v>
      </c>
      <c r="D37" s="164" t="s">
        <v>477</v>
      </c>
      <c r="E37" s="198" t="s">
        <v>88</v>
      </c>
      <c r="F37" s="165">
        <f t="shared" si="28"/>
        <v>0.5</v>
      </c>
      <c r="G37" s="165">
        <f t="shared" si="29"/>
        <v>0.5</v>
      </c>
      <c r="H37" s="165">
        <f t="shared" si="30"/>
        <v>1</v>
      </c>
      <c r="I37" s="165">
        <f t="shared" si="1"/>
        <v>0.5</v>
      </c>
      <c r="J37" s="166">
        <v>1</v>
      </c>
      <c r="K37" s="167">
        <v>46206</v>
      </c>
      <c r="L37" s="167">
        <f t="shared" si="2"/>
        <v>46206</v>
      </c>
      <c r="M37" s="167">
        <v>46185</v>
      </c>
      <c r="N37" s="167">
        <f t="shared" si="3"/>
        <v>46248</v>
      </c>
      <c r="O37" s="167">
        <f t="shared" si="4"/>
        <v>46248</v>
      </c>
      <c r="P37" s="167">
        <v>46241</v>
      </c>
      <c r="Q37" s="167">
        <f t="shared" si="5"/>
        <v>46290</v>
      </c>
      <c r="R37" s="167">
        <f t="shared" si="6"/>
        <v>46290</v>
      </c>
      <c r="S37" s="167">
        <v>46241</v>
      </c>
      <c r="T37" s="168">
        <f t="shared" si="7"/>
        <v>46304</v>
      </c>
      <c r="U37" s="167">
        <f t="shared" si="8"/>
        <v>46304</v>
      </c>
      <c r="V37" s="167">
        <v>46241</v>
      </c>
      <c r="X37" s="185" t="str">
        <f t="shared" ca="1" si="9"/>
        <v>Completed</v>
      </c>
      <c r="Y37" s="185" t="str">
        <f t="shared" ca="1" si="10"/>
        <v>Completed</v>
      </c>
      <c r="Z37" s="185" t="str">
        <f t="shared" ca="1" si="11"/>
        <v>Completed</v>
      </c>
      <c r="AA37" s="186" t="str">
        <f t="shared" ca="1" si="12"/>
        <v>Completed</v>
      </c>
    </row>
    <row r="38" spans="1:27" s="64" customFormat="1" ht="11.5" x14ac:dyDescent="0.25">
      <c r="A38" s="163" t="s">
        <v>61</v>
      </c>
      <c r="B38" s="163" t="s">
        <v>70</v>
      </c>
      <c r="C38" s="163" t="s">
        <v>63</v>
      </c>
      <c r="D38" s="164" t="s">
        <v>478</v>
      </c>
      <c r="E38" s="198" t="s">
        <v>89</v>
      </c>
      <c r="F38" s="165">
        <f t="shared" si="28"/>
        <v>0.5</v>
      </c>
      <c r="G38" s="165">
        <f t="shared" si="29"/>
        <v>0.5</v>
      </c>
      <c r="H38" s="165">
        <f t="shared" si="30"/>
        <v>1</v>
      </c>
      <c r="I38" s="165">
        <f t="shared" si="1"/>
        <v>0.5</v>
      </c>
      <c r="J38" s="166">
        <v>1</v>
      </c>
      <c r="K38" s="167">
        <v>46213</v>
      </c>
      <c r="L38" s="167">
        <f t="shared" si="2"/>
        <v>46213</v>
      </c>
      <c r="M38" s="167">
        <v>46188</v>
      </c>
      <c r="N38" s="167">
        <f t="shared" si="3"/>
        <v>46255</v>
      </c>
      <c r="O38" s="167">
        <f t="shared" si="4"/>
        <v>46255</v>
      </c>
      <c r="P38" s="167">
        <v>46241</v>
      </c>
      <c r="Q38" s="167">
        <f t="shared" si="5"/>
        <v>46297</v>
      </c>
      <c r="R38" s="167">
        <f t="shared" si="6"/>
        <v>46297</v>
      </c>
      <c r="S38" s="167">
        <v>46241</v>
      </c>
      <c r="T38" s="167">
        <f t="shared" si="7"/>
        <v>46311</v>
      </c>
      <c r="U38" s="167">
        <f t="shared" si="8"/>
        <v>46311</v>
      </c>
      <c r="V38" s="167">
        <v>46241</v>
      </c>
      <c r="X38" s="185" t="str">
        <f t="shared" ca="1" si="9"/>
        <v>Completed</v>
      </c>
      <c r="Y38" s="185" t="str">
        <f t="shared" ca="1" si="10"/>
        <v>Completed</v>
      </c>
      <c r="Z38" s="185" t="str">
        <f t="shared" ca="1" si="11"/>
        <v>Completed</v>
      </c>
      <c r="AA38" s="186" t="str">
        <f t="shared" ca="1" si="12"/>
        <v>Completed</v>
      </c>
    </row>
    <row r="39" spans="1:27" s="64" customFormat="1" ht="11.5" x14ac:dyDescent="0.25">
      <c r="A39" s="110" t="s">
        <v>61</v>
      </c>
      <c r="B39" s="110" t="s">
        <v>70</v>
      </c>
      <c r="C39" s="110" t="s">
        <v>63</v>
      </c>
      <c r="D39" s="129" t="s">
        <v>477</v>
      </c>
      <c r="E39" s="114" t="s">
        <v>88</v>
      </c>
      <c r="F39" s="111">
        <f t="shared" ref="F39:F40" si="115">(COUNTIFS(K39,"&lt;="&amp;$D$1)*50%)+(COUNTIFS(N39,"&lt;="&amp;$D$1)*20%)+(COUNTIFS(Q39,"&lt;="&amp;$D$1)*10%)+(COUNTIFS(T39,"&lt;="&amp;$D$1)*20%)</f>
        <v>0.5</v>
      </c>
      <c r="G39" s="111">
        <f t="shared" ref="G39:G40" si="116">(COUNTIFS(L39,"&lt;="&amp;$D$1)*50%)+(COUNTIFS(O39,"&lt;="&amp;$D$1)*20%)+(COUNTIFS(R39,"&lt;="&amp;$D$1)*10%)+(COUNTIFS(U39,"&lt;="&amp;$D$1)*20%)</f>
        <v>0.5</v>
      </c>
      <c r="H39" s="111">
        <f t="shared" ref="H39:H40" si="117">(COUNTIFS(M39,"&lt;="&amp;$D$1)*50%)+(COUNTIFS(P39,"&lt;="&amp;$D$1)*20%)+(COUNTIFS(S39,"&lt;="&amp;$D$1)*10%)+(COUNTIFS(V39,"&lt;="&amp;$D$1)*20%)</f>
        <v>0.5</v>
      </c>
      <c r="I39" s="111">
        <f t="shared" ref="I39:I40" si="118">H39-F39</f>
        <v>0</v>
      </c>
      <c r="J39" s="112">
        <v>1</v>
      </c>
      <c r="K39" s="113">
        <v>46206</v>
      </c>
      <c r="L39" s="113">
        <f t="shared" ref="L39:L40" si="119">K39</f>
        <v>46206</v>
      </c>
      <c r="M39" s="113">
        <v>46185</v>
      </c>
      <c r="N39" s="113">
        <f t="shared" ref="N39:N40" si="120">K39+42</f>
        <v>46248</v>
      </c>
      <c r="O39" s="113">
        <f t="shared" ref="O39:O40" si="121">N39</f>
        <v>46248</v>
      </c>
      <c r="P39" s="113"/>
      <c r="Q39" s="113">
        <f t="shared" ref="Q39:Q40" si="122">N39+42</f>
        <v>46290</v>
      </c>
      <c r="R39" s="113">
        <f t="shared" ref="R39:R40" si="123">Q39</f>
        <v>46290</v>
      </c>
      <c r="S39" s="115"/>
      <c r="T39" s="115">
        <f t="shared" ref="T39:T40" si="124">Q39+14</f>
        <v>46304</v>
      </c>
      <c r="U39" s="113">
        <f t="shared" ref="U39:U40" si="125">T39</f>
        <v>46304</v>
      </c>
      <c r="V39" s="113"/>
      <c r="X39" s="185" t="str">
        <f t="shared" ref="X39:X40" ca="1" si="126">IF(OR(M39&lt;&gt;""),"Completed",
IF(L39="","",IF(L39&lt;TODAY(),"Overdue",
IF(AND(L39&gt;=TODAY()-WEEKDAY(TODAY(),2)+1,L39&lt;=TODAY()-WEEKDAY(TODAY(),2)+7),"Follow-This Week",
IF(AND(L39&gt;=TODAY()-WEEKDAY(TODAY(),2)+8,L39&lt;=TODAY()-WEEKDAY(TODAY(),2)+14),"Follow-Next Week","")))))</f>
        <v>Completed</v>
      </c>
      <c r="Y39" s="185" t="str">
        <f t="shared" ref="Y39:Y40" ca="1" si="127">IF(OR(P39&lt;&gt;""),"Completed",IF(O39="","",
IF(O39&lt;TODAY(),"Overdue",
IF(AND(O39&gt;=TODAY()-WEEKDAY(TODAY(),2)+1,O39&lt;=TODAY()-WEEKDAY(TODAY(),2)+7),"Follow-This Week",
IF(AND(O39&gt;=TODAY()-WEEKDAY(TODAY(),2)+8,O39&lt;=TODAY()-WEEKDAY(TODAY(),2)+14),"Follow-Next Week","")))))</f>
        <v>Follow-Next Week</v>
      </c>
      <c r="Z39" s="185" t="str">
        <f t="shared" ref="Z39:Z40" ca="1" si="128">IF(OR(S39&lt;&gt;""),"Completed",IF(R39="","",
IF(R39&lt;TODAY(),"Overdue",
IF(AND(R39&gt;=TODAY()-WEEKDAY(TODAY(),2)+1,R39&lt;=TODAY()-WEEKDAY(TODAY(),2)+7),"Follow-This Week",
IF(AND(R39&gt;=TODAY()-WEEKDAY(TODAY(),2)+8,R39&lt;=TODAY()-WEEKDAY(TODAY(),2)+14),"Follow-Next Week","")))))</f>
        <v/>
      </c>
      <c r="AA39" s="186" t="str">
        <f t="shared" ref="AA39:AA40" ca="1" si="129">IF(OR(V39&lt;&gt;""),"Completed",IF(U39="","",
IF(U39&lt;TODAY(),"Overdue",
IF(AND(U39&gt;=TODAY()-WEEKDAY(TODAY(),2)+1,U39&lt;=TODAY()-WEEKDAY(TODAY(),2)+7),"Follow-This Week",
IF(AND(U39&gt;=TODAY()-WEEKDAY(TODAY(),2)+8,U39&lt;=TODAY()-WEEKDAY(TODAY(),2)+14),"Follow-Next Week","")))))</f>
        <v/>
      </c>
    </row>
    <row r="40" spans="1:27" s="64" customFormat="1" ht="11.5" x14ac:dyDescent="0.25">
      <c r="A40" s="110" t="s">
        <v>61</v>
      </c>
      <c r="B40" s="110" t="s">
        <v>70</v>
      </c>
      <c r="C40" s="110" t="s">
        <v>63</v>
      </c>
      <c r="D40" s="129" t="s">
        <v>478</v>
      </c>
      <c r="E40" s="114" t="s">
        <v>89</v>
      </c>
      <c r="F40" s="111">
        <f t="shared" si="115"/>
        <v>0.5</v>
      </c>
      <c r="G40" s="111">
        <f t="shared" si="116"/>
        <v>0.5</v>
      </c>
      <c r="H40" s="111">
        <f t="shared" si="117"/>
        <v>0.5</v>
      </c>
      <c r="I40" s="111">
        <f t="shared" si="118"/>
        <v>0</v>
      </c>
      <c r="J40" s="112">
        <v>1</v>
      </c>
      <c r="K40" s="113">
        <v>46213</v>
      </c>
      <c r="L40" s="113">
        <f t="shared" si="119"/>
        <v>46213</v>
      </c>
      <c r="M40" s="113">
        <v>46188</v>
      </c>
      <c r="N40" s="113">
        <f t="shared" si="120"/>
        <v>46255</v>
      </c>
      <c r="O40" s="113">
        <f t="shared" si="121"/>
        <v>46255</v>
      </c>
      <c r="P40" s="113"/>
      <c r="Q40" s="113">
        <f t="shared" si="122"/>
        <v>46297</v>
      </c>
      <c r="R40" s="113">
        <f t="shared" si="123"/>
        <v>46297</v>
      </c>
      <c r="S40" s="113"/>
      <c r="T40" s="113">
        <f t="shared" si="124"/>
        <v>46311</v>
      </c>
      <c r="U40" s="113">
        <f t="shared" si="125"/>
        <v>46311</v>
      </c>
      <c r="V40" s="113"/>
      <c r="X40" s="185" t="str">
        <f t="shared" ca="1" si="126"/>
        <v>Completed</v>
      </c>
      <c r="Y40" s="185" t="str">
        <f t="shared" ca="1" si="127"/>
        <v/>
      </c>
      <c r="Z40" s="185" t="str">
        <f t="shared" ca="1" si="128"/>
        <v/>
      </c>
      <c r="AA40" s="186" t="str">
        <f t="shared" ca="1" si="129"/>
        <v/>
      </c>
    </row>
    <row r="41" spans="1:27" s="64" customFormat="1" ht="11.5" x14ac:dyDescent="0.25">
      <c r="A41" s="91" t="s">
        <v>61</v>
      </c>
      <c r="B41" s="91" t="s">
        <v>73</v>
      </c>
      <c r="C41" s="91" t="s">
        <v>63</v>
      </c>
      <c r="D41" s="128" t="s">
        <v>479</v>
      </c>
      <c r="E41" s="109" t="s">
        <v>90</v>
      </c>
      <c r="F41" s="92">
        <f t="shared" si="28"/>
        <v>0.7</v>
      </c>
      <c r="G41" s="92">
        <f t="shared" si="29"/>
        <v>0.7</v>
      </c>
      <c r="H41" s="92">
        <f t="shared" si="30"/>
        <v>0.7</v>
      </c>
      <c r="I41" s="92">
        <f t="shared" si="1"/>
        <v>0</v>
      </c>
      <c r="J41" s="95">
        <v>2</v>
      </c>
      <c r="K41" s="93">
        <v>46192</v>
      </c>
      <c r="L41" s="93">
        <f t="shared" si="2"/>
        <v>46192</v>
      </c>
      <c r="M41" s="93">
        <v>46178</v>
      </c>
      <c r="N41" s="93">
        <f t="shared" si="3"/>
        <v>46234</v>
      </c>
      <c r="O41" s="93">
        <f t="shared" si="4"/>
        <v>46234</v>
      </c>
      <c r="P41" s="97">
        <v>46227</v>
      </c>
      <c r="Q41" s="93">
        <f t="shared" si="5"/>
        <v>46276</v>
      </c>
      <c r="R41" s="93">
        <f t="shared" si="6"/>
        <v>46276</v>
      </c>
      <c r="S41" s="93"/>
      <c r="T41" s="93">
        <f t="shared" si="7"/>
        <v>46290</v>
      </c>
      <c r="U41" s="93">
        <f t="shared" si="8"/>
        <v>46290</v>
      </c>
      <c r="V41" s="93"/>
      <c r="X41" s="185" t="str">
        <f t="shared" ca="1" si="9"/>
        <v>Completed</v>
      </c>
      <c r="Y41" s="185" t="str">
        <f t="shared" ca="1" si="10"/>
        <v>Completed</v>
      </c>
      <c r="Z41" s="185" t="str">
        <f t="shared" ca="1" si="11"/>
        <v/>
      </c>
      <c r="AA41" s="186" t="str">
        <f t="shared" ca="1" si="12"/>
        <v/>
      </c>
    </row>
    <row r="42" spans="1:27" s="64" customFormat="1" ht="11.5" x14ac:dyDescent="0.25">
      <c r="A42" s="91" t="s">
        <v>61</v>
      </c>
      <c r="B42" s="91" t="s">
        <v>73</v>
      </c>
      <c r="C42" s="91" t="s">
        <v>63</v>
      </c>
      <c r="D42" s="128" t="s">
        <v>480</v>
      </c>
      <c r="E42" s="109" t="s">
        <v>91</v>
      </c>
      <c r="F42" s="92">
        <f t="shared" si="28"/>
        <v>0.7</v>
      </c>
      <c r="G42" s="92">
        <f t="shared" si="29"/>
        <v>0.7</v>
      </c>
      <c r="H42" s="92">
        <f t="shared" si="30"/>
        <v>0.7</v>
      </c>
      <c r="I42" s="92">
        <f t="shared" si="1"/>
        <v>0</v>
      </c>
      <c r="J42" s="95">
        <v>2</v>
      </c>
      <c r="K42" s="93">
        <v>46199</v>
      </c>
      <c r="L42" s="93">
        <f t="shared" si="2"/>
        <v>46199</v>
      </c>
      <c r="M42" s="93">
        <v>46181</v>
      </c>
      <c r="N42" s="93">
        <f t="shared" si="3"/>
        <v>46241</v>
      </c>
      <c r="O42" s="93">
        <f t="shared" si="4"/>
        <v>46241</v>
      </c>
      <c r="P42" s="97">
        <v>46227</v>
      </c>
      <c r="Q42" s="93">
        <f t="shared" si="5"/>
        <v>46283</v>
      </c>
      <c r="R42" s="93">
        <f t="shared" si="6"/>
        <v>46283</v>
      </c>
      <c r="S42" s="93"/>
      <c r="T42" s="93">
        <f t="shared" si="7"/>
        <v>46297</v>
      </c>
      <c r="U42" s="93">
        <f t="shared" si="8"/>
        <v>46297</v>
      </c>
      <c r="V42" s="93"/>
      <c r="X42" s="185" t="str">
        <f t="shared" ca="1" si="9"/>
        <v>Completed</v>
      </c>
      <c r="Y42" s="185" t="str">
        <f t="shared" ca="1" si="10"/>
        <v>Completed</v>
      </c>
      <c r="Z42" s="185" t="str">
        <f t="shared" ca="1" si="11"/>
        <v/>
      </c>
      <c r="AA42" s="186" t="str">
        <f t="shared" ca="1" si="12"/>
        <v/>
      </c>
    </row>
    <row r="43" spans="1:27" s="64" customFormat="1" ht="11.5" x14ac:dyDescent="0.25">
      <c r="A43" s="140" t="s">
        <v>61</v>
      </c>
      <c r="B43" s="140" t="s">
        <v>62</v>
      </c>
      <c r="C43" s="191" t="s">
        <v>63</v>
      </c>
      <c r="D43" s="192" t="s">
        <v>273</v>
      </c>
      <c r="E43" s="193" t="s">
        <v>523</v>
      </c>
      <c r="F43" s="194">
        <f t="shared" si="28"/>
        <v>0.7</v>
      </c>
      <c r="G43" s="194">
        <f>(COUNTIFS(L43,"&lt;="&amp;$D$1)*50%)+(COUNTIFS(O43,"&lt;="&amp;$D$1)*20%)+(COUNTIFS(R43,"&lt;="&amp;$D$1)*10%)+(COUNTIFS(U43,"&lt;="&amp;$D$1)*20%)</f>
        <v>0.7</v>
      </c>
      <c r="H43" s="194">
        <f t="shared" si="30"/>
        <v>1</v>
      </c>
      <c r="I43" s="194">
        <f t="shared" si="1"/>
        <v>0.30000000000000004</v>
      </c>
      <c r="J43" s="195">
        <v>1.2</v>
      </c>
      <c r="K43" s="144">
        <v>46164</v>
      </c>
      <c r="L43" s="196">
        <f t="shared" si="2"/>
        <v>46164</v>
      </c>
      <c r="M43" s="144">
        <v>46202</v>
      </c>
      <c r="N43" s="148">
        <f t="shared" si="3"/>
        <v>46206</v>
      </c>
      <c r="O43" s="144">
        <f t="shared" si="4"/>
        <v>46206</v>
      </c>
      <c r="P43" s="144">
        <v>46241</v>
      </c>
      <c r="Q43" s="148">
        <f t="shared" si="5"/>
        <v>46248</v>
      </c>
      <c r="R43" s="196">
        <f t="shared" si="6"/>
        <v>46248</v>
      </c>
      <c r="S43" s="148">
        <v>46241</v>
      </c>
      <c r="T43" s="148">
        <f t="shared" si="7"/>
        <v>46262</v>
      </c>
      <c r="U43" s="196">
        <f t="shared" si="8"/>
        <v>46262</v>
      </c>
      <c r="V43" s="144">
        <v>46241</v>
      </c>
      <c r="X43" s="185" t="str">
        <f t="shared" ca="1" si="9"/>
        <v>Completed</v>
      </c>
      <c r="Y43" s="185" t="str">
        <f t="shared" ca="1" si="10"/>
        <v>Completed</v>
      </c>
      <c r="Z43" s="185" t="str">
        <f t="shared" ca="1" si="11"/>
        <v>Completed</v>
      </c>
      <c r="AA43" s="186" t="str">
        <f t="shared" ca="1" si="12"/>
        <v>Completed</v>
      </c>
    </row>
    <row r="44" spans="1:27" s="64" customFormat="1" ht="11.5" x14ac:dyDescent="0.25">
      <c r="A44" s="70" t="s">
        <v>61</v>
      </c>
      <c r="B44" s="70" t="s">
        <v>62</v>
      </c>
      <c r="C44" s="65" t="s">
        <v>63</v>
      </c>
      <c r="D44" s="82" t="s">
        <v>273</v>
      </c>
      <c r="E44" s="80" t="s">
        <v>524</v>
      </c>
      <c r="F44" s="66">
        <f t="shared" ref="F44" si="130">(COUNTIFS(K44,"&lt;="&amp;$D$1)*50%)+(COUNTIFS(N44,"&lt;="&amp;$D$1)*20%)+(COUNTIFS(Q44,"&lt;="&amp;$D$1)*10%)+(COUNTIFS(T44,"&lt;="&amp;$D$1)*20%)</f>
        <v>0.7</v>
      </c>
      <c r="G44" s="66">
        <f>(COUNTIFS(L44,"&lt;="&amp;$D$1)*50%)+(COUNTIFS(O44,"&lt;="&amp;$D$1)*20%)+(COUNTIFS(R44,"&lt;="&amp;$D$1)*10%)+(COUNTIFS(U44,"&lt;="&amp;$D$1)*20%)</f>
        <v>0.7</v>
      </c>
      <c r="H44" s="66">
        <f t="shared" ref="H44" si="131">(COUNTIFS(M44,"&lt;="&amp;$D$1)*50%)+(COUNTIFS(P44,"&lt;="&amp;$D$1)*20%)+(COUNTIFS(S44,"&lt;="&amp;$D$1)*10%)+(COUNTIFS(V44,"&lt;="&amp;$D$1)*20%)</f>
        <v>0.5</v>
      </c>
      <c r="I44" s="66">
        <f t="shared" ref="I44" si="132">H44-F44</f>
        <v>-0.19999999999999996</v>
      </c>
      <c r="J44" s="71">
        <v>0.8</v>
      </c>
      <c r="K44" s="72">
        <v>46164</v>
      </c>
      <c r="L44" s="68">
        <f t="shared" ref="L44" si="133">K44</f>
        <v>46164</v>
      </c>
      <c r="M44" s="72">
        <v>46202</v>
      </c>
      <c r="N44" s="74">
        <f t="shared" ref="N44" si="134">K44+42</f>
        <v>46206</v>
      </c>
      <c r="O44" s="72">
        <f t="shared" ref="O44" si="135">N44</f>
        <v>46206</v>
      </c>
      <c r="P44" s="72"/>
      <c r="Q44" s="74">
        <f t="shared" ref="Q44" si="136">N44+42</f>
        <v>46248</v>
      </c>
      <c r="R44" s="68">
        <f t="shared" ref="R44" si="137">Q44</f>
        <v>46248</v>
      </c>
      <c r="S44" s="74"/>
      <c r="T44" s="74">
        <f t="shared" ref="T44" si="138">Q44+14</f>
        <v>46262</v>
      </c>
      <c r="U44" s="68">
        <f t="shared" ref="U44" si="139">T44</f>
        <v>46262</v>
      </c>
      <c r="V44" s="72"/>
      <c r="X44" s="185" t="str">
        <f t="shared" ref="X44" ca="1" si="140">IF(OR(M44&lt;&gt;""),"Completed",
IF(L44="","",IF(L44&lt;TODAY(),"Overdue",
IF(AND(L44&gt;=TODAY()-WEEKDAY(TODAY(),2)+1,L44&lt;=TODAY()-WEEKDAY(TODAY(),2)+7),"Follow-This Week",
IF(AND(L44&gt;=TODAY()-WEEKDAY(TODAY(),2)+8,L44&lt;=TODAY()-WEEKDAY(TODAY(),2)+14),"Follow-Next Week","")))))</f>
        <v>Completed</v>
      </c>
      <c r="Y44" s="185" t="str">
        <f t="shared" ref="Y44" ca="1" si="141">IF(OR(P44&lt;&gt;""),"Completed",IF(O44="","",
IF(O44&lt;TODAY(),"Overdue",
IF(AND(O44&gt;=TODAY()-WEEKDAY(TODAY(),2)+1,O44&lt;=TODAY()-WEEKDAY(TODAY(),2)+7),"Follow-This Week",
IF(AND(O44&gt;=TODAY()-WEEKDAY(TODAY(),2)+8,O44&lt;=TODAY()-WEEKDAY(TODAY(),2)+14),"Follow-Next Week","")))))</f>
        <v>Overdue</v>
      </c>
      <c r="Z44" s="185" t="str">
        <f t="shared" ref="Z44" ca="1" si="142">IF(OR(S44&lt;&gt;""),"Completed",IF(R44="","",
IF(R44&lt;TODAY(),"Overdue",
IF(AND(R44&gt;=TODAY()-WEEKDAY(TODAY(),2)+1,R44&lt;=TODAY()-WEEKDAY(TODAY(),2)+7),"Follow-This Week",
IF(AND(R44&gt;=TODAY()-WEEKDAY(TODAY(),2)+8,R44&lt;=TODAY()-WEEKDAY(TODAY(),2)+14),"Follow-Next Week","")))))</f>
        <v>Follow-Next Week</v>
      </c>
      <c r="AA44" s="186" t="str">
        <f t="shared" ref="AA44" ca="1" si="143">IF(OR(V44&lt;&gt;""),"Completed",IF(U44="","",
IF(U44&lt;TODAY(),"Overdue",
IF(AND(U44&gt;=TODAY()-WEEKDAY(TODAY(),2)+1,U44&lt;=TODAY()-WEEKDAY(TODAY(),2)+7),"Follow-This Week",
IF(AND(U44&gt;=TODAY()-WEEKDAY(TODAY(),2)+8,U44&lt;=TODAY()-WEEKDAY(TODAY(),2)+14),"Follow-Next Week","")))))</f>
        <v/>
      </c>
    </row>
    <row r="45" spans="1:27" s="64" customFormat="1" ht="11.5" x14ac:dyDescent="0.25">
      <c r="A45" s="70" t="s">
        <v>61</v>
      </c>
      <c r="B45" s="70" t="s">
        <v>62</v>
      </c>
      <c r="C45" s="65" t="s">
        <v>63</v>
      </c>
      <c r="D45" s="82" t="s">
        <v>256</v>
      </c>
      <c r="E45" s="80" t="s">
        <v>92</v>
      </c>
      <c r="F45" s="66">
        <f t="shared" si="28"/>
        <v>0.7</v>
      </c>
      <c r="G45" s="66">
        <f>(COUNTIFS(L45,"&lt;="&amp;$D$1)*50%)+(COUNTIFS(O45,"&lt;="&amp;$D$1)*20%)+(COUNTIFS(R45,"&lt;="&amp;$D$1)*10%)+(COUNTIFS(U45,"&lt;="&amp;$D$1)*20%)</f>
        <v>0.7</v>
      </c>
      <c r="H45" s="66">
        <f t="shared" si="30"/>
        <v>0.7</v>
      </c>
      <c r="I45" s="66">
        <f t="shared" si="1"/>
        <v>0</v>
      </c>
      <c r="J45" s="67">
        <v>2</v>
      </c>
      <c r="K45" s="72">
        <v>46171</v>
      </c>
      <c r="L45" s="68">
        <f t="shared" si="2"/>
        <v>46171</v>
      </c>
      <c r="M45" s="74">
        <v>46188</v>
      </c>
      <c r="N45" s="74">
        <f t="shared" si="3"/>
        <v>46213</v>
      </c>
      <c r="O45" s="72">
        <f t="shared" si="4"/>
        <v>46213</v>
      </c>
      <c r="P45" s="74">
        <v>46227</v>
      </c>
      <c r="Q45" s="74">
        <f t="shared" si="5"/>
        <v>46255</v>
      </c>
      <c r="R45" s="68">
        <f t="shared" si="6"/>
        <v>46255</v>
      </c>
      <c r="S45" s="74"/>
      <c r="T45" s="74">
        <f t="shared" si="7"/>
        <v>46269</v>
      </c>
      <c r="U45" s="68">
        <f t="shared" si="8"/>
        <v>46269</v>
      </c>
      <c r="V45" s="72"/>
      <c r="X45" s="185" t="str">
        <f t="shared" ca="1" si="9"/>
        <v>Completed</v>
      </c>
      <c r="Y45" s="185" t="str">
        <f t="shared" ca="1" si="10"/>
        <v>Completed</v>
      </c>
      <c r="Z45" s="185" t="str">
        <f t="shared" ca="1" si="11"/>
        <v/>
      </c>
      <c r="AA45" s="186" t="str">
        <f t="shared" ca="1" si="12"/>
        <v/>
      </c>
    </row>
    <row r="46" spans="1:27" s="64" customFormat="1" ht="11.5" x14ac:dyDescent="0.25">
      <c r="A46" s="70" t="s">
        <v>61</v>
      </c>
      <c r="B46" s="70" t="s">
        <v>62</v>
      </c>
      <c r="C46" s="65" t="s">
        <v>63</v>
      </c>
      <c r="D46" s="82" t="s">
        <v>264</v>
      </c>
      <c r="E46" s="80" t="s">
        <v>93</v>
      </c>
      <c r="F46" s="66">
        <f t="shared" si="28"/>
        <v>0.7</v>
      </c>
      <c r="G46" s="66">
        <f t="shared" si="29"/>
        <v>0.7</v>
      </c>
      <c r="H46" s="66">
        <f t="shared" si="30"/>
        <v>0.7</v>
      </c>
      <c r="I46" s="66">
        <f t="shared" si="1"/>
        <v>0</v>
      </c>
      <c r="J46" s="89">
        <v>2</v>
      </c>
      <c r="K46" s="74">
        <v>46178</v>
      </c>
      <c r="L46" s="68">
        <f t="shared" si="2"/>
        <v>46178</v>
      </c>
      <c r="M46" s="72">
        <v>46202</v>
      </c>
      <c r="N46" s="74">
        <f t="shared" si="3"/>
        <v>46220</v>
      </c>
      <c r="O46" s="74">
        <f t="shared" si="4"/>
        <v>46220</v>
      </c>
      <c r="P46" s="74">
        <v>46204</v>
      </c>
      <c r="Q46" s="74">
        <f t="shared" si="5"/>
        <v>46262</v>
      </c>
      <c r="R46" s="74">
        <f t="shared" si="6"/>
        <v>46262</v>
      </c>
      <c r="S46" s="74"/>
      <c r="T46" s="74">
        <f t="shared" si="7"/>
        <v>46276</v>
      </c>
      <c r="U46" s="74">
        <f t="shared" si="8"/>
        <v>46276</v>
      </c>
      <c r="V46" s="72"/>
      <c r="X46" s="185" t="str">
        <f t="shared" ca="1" si="9"/>
        <v>Completed</v>
      </c>
      <c r="Y46" s="185" t="str">
        <f t="shared" ca="1" si="10"/>
        <v>Completed</v>
      </c>
      <c r="Z46" s="185" t="str">
        <f t="shared" ca="1" si="11"/>
        <v/>
      </c>
      <c r="AA46" s="186" t="str">
        <f t="shared" ca="1" si="12"/>
        <v/>
      </c>
    </row>
    <row r="47" spans="1:27" s="64" customFormat="1" ht="11.5" x14ac:dyDescent="0.25">
      <c r="A47" s="70" t="s">
        <v>61</v>
      </c>
      <c r="B47" s="70" t="s">
        <v>62</v>
      </c>
      <c r="C47" s="65" t="s">
        <v>63</v>
      </c>
      <c r="D47" s="82" t="s">
        <v>265</v>
      </c>
      <c r="E47" s="132" t="s">
        <v>248</v>
      </c>
      <c r="F47" s="66">
        <f t="shared" ref="F47:F52" si="144">(COUNTIFS(K47,"&lt;="&amp;$D$1)*50%)+(COUNTIFS(N47,"&lt;="&amp;$D$1)*20%)+(COUNTIFS(Q47,"&lt;="&amp;$D$1)*10%)+(COUNTIFS(T47,"&lt;="&amp;$D$1)*20%)</f>
        <v>1</v>
      </c>
      <c r="G47" s="66">
        <f t="shared" ref="G47:G52" si="145">(COUNTIFS(L47,"&lt;="&amp;$D$1)*50%)+(COUNTIFS(O47,"&lt;="&amp;$D$1)*20%)+(COUNTIFS(R47,"&lt;="&amp;$D$1)*10%)+(COUNTIFS(U47,"&lt;="&amp;$D$1)*20%)</f>
        <v>1</v>
      </c>
      <c r="H47" s="66">
        <f t="shared" ref="H47:H52" si="146">(COUNTIFS(M47,"&lt;="&amp;$D$1)*50%)+(COUNTIFS(P47,"&lt;="&amp;$D$1)*20%)+(COUNTIFS(S47,"&lt;="&amp;$D$1)*10%)+(COUNTIFS(V47,"&lt;="&amp;$D$1)*20%)</f>
        <v>0.79999999999999993</v>
      </c>
      <c r="I47" s="66">
        <f t="shared" ref="I47:I52" si="147">H47-F47</f>
        <v>-0.20000000000000007</v>
      </c>
      <c r="J47" s="89">
        <v>1.5</v>
      </c>
      <c r="K47" s="74">
        <v>46122</v>
      </c>
      <c r="L47" s="68">
        <f t="shared" si="2"/>
        <v>46122</v>
      </c>
      <c r="M47" s="72">
        <v>46122</v>
      </c>
      <c r="N47" s="74">
        <f t="shared" ref="N47:N52" si="148">K47+42</f>
        <v>46164</v>
      </c>
      <c r="O47" s="68">
        <f t="shared" ref="O47:O52" si="149">N47</f>
        <v>46164</v>
      </c>
      <c r="P47" s="72">
        <v>46191</v>
      </c>
      <c r="Q47" s="74">
        <f t="shared" ref="Q47:Q52" si="150">N47+42</f>
        <v>46206</v>
      </c>
      <c r="R47" s="68">
        <f t="shared" ref="R47:R52" si="151">Q47</f>
        <v>46206</v>
      </c>
      <c r="S47" s="74">
        <v>46209</v>
      </c>
      <c r="T47" s="74">
        <f t="shared" ref="T47:T52" si="152">Q47+14</f>
        <v>46220</v>
      </c>
      <c r="U47" s="72">
        <f t="shared" ref="U47:U52" si="153">T47</f>
        <v>46220</v>
      </c>
      <c r="V47" s="72"/>
      <c r="X47" s="185" t="str">
        <f t="shared" ca="1" si="9"/>
        <v>Completed</v>
      </c>
      <c r="Y47" s="185" t="str">
        <f t="shared" ca="1" si="10"/>
        <v>Completed</v>
      </c>
      <c r="Z47" s="185" t="str">
        <f t="shared" ca="1" si="11"/>
        <v>Completed</v>
      </c>
      <c r="AA47" s="186" t="str">
        <f t="shared" ca="1" si="12"/>
        <v>Overdue</v>
      </c>
    </row>
    <row r="48" spans="1:27" s="64" customFormat="1" ht="11.5" x14ac:dyDescent="0.25">
      <c r="A48" s="133" t="s">
        <v>61</v>
      </c>
      <c r="B48" s="133" t="s">
        <v>62</v>
      </c>
      <c r="C48" s="134" t="s">
        <v>63</v>
      </c>
      <c r="D48" s="135" t="s">
        <v>266</v>
      </c>
      <c r="E48" s="136" t="s">
        <v>249</v>
      </c>
      <c r="F48" s="137">
        <f t="shared" si="144"/>
        <v>1</v>
      </c>
      <c r="G48" s="137">
        <f t="shared" si="145"/>
        <v>1</v>
      </c>
      <c r="H48" s="137">
        <f t="shared" si="146"/>
        <v>1</v>
      </c>
      <c r="I48" s="137">
        <f t="shared" si="147"/>
        <v>0</v>
      </c>
      <c r="J48" s="138">
        <v>1.5</v>
      </c>
      <c r="K48" s="107">
        <v>46142</v>
      </c>
      <c r="L48" s="68">
        <f t="shared" si="2"/>
        <v>46142</v>
      </c>
      <c r="M48" s="72">
        <v>46164</v>
      </c>
      <c r="N48" s="74">
        <f t="shared" si="148"/>
        <v>46184</v>
      </c>
      <c r="O48" s="74">
        <f t="shared" si="149"/>
        <v>46184</v>
      </c>
      <c r="P48" s="72">
        <v>46191</v>
      </c>
      <c r="Q48" s="74">
        <f t="shared" si="150"/>
        <v>46226</v>
      </c>
      <c r="R48" s="74">
        <f t="shared" si="151"/>
        <v>46226</v>
      </c>
      <c r="S48" s="74">
        <v>46220</v>
      </c>
      <c r="T48" s="74">
        <f t="shared" si="152"/>
        <v>46240</v>
      </c>
      <c r="U48" s="74">
        <f t="shared" si="153"/>
        <v>46240</v>
      </c>
      <c r="V48" s="139">
        <v>46233</v>
      </c>
      <c r="X48" s="185" t="str">
        <f t="shared" ca="1" si="9"/>
        <v>Completed</v>
      </c>
      <c r="Y48" s="185" t="str">
        <f t="shared" ca="1" si="10"/>
        <v>Completed</v>
      </c>
      <c r="Z48" s="185" t="str">
        <f t="shared" ca="1" si="11"/>
        <v>Completed</v>
      </c>
      <c r="AA48" s="186" t="str">
        <f t="shared" ca="1" si="12"/>
        <v>Completed</v>
      </c>
    </row>
    <row r="49" spans="1:27" s="64" customFormat="1" ht="19" x14ac:dyDescent="0.25">
      <c r="A49" s="133" t="s">
        <v>61</v>
      </c>
      <c r="B49" s="133" t="s">
        <v>62</v>
      </c>
      <c r="C49" s="134" t="s">
        <v>63</v>
      </c>
      <c r="D49" s="135" t="s">
        <v>267</v>
      </c>
      <c r="E49" s="136" t="s">
        <v>250</v>
      </c>
      <c r="F49" s="137">
        <f t="shared" si="144"/>
        <v>1</v>
      </c>
      <c r="G49" s="137">
        <f t="shared" si="145"/>
        <v>1</v>
      </c>
      <c r="H49" s="137">
        <f t="shared" si="146"/>
        <v>0.79999999999999993</v>
      </c>
      <c r="I49" s="137">
        <f t="shared" si="147"/>
        <v>-0.20000000000000007</v>
      </c>
      <c r="J49" s="89">
        <v>1.5</v>
      </c>
      <c r="K49" s="107">
        <v>46122</v>
      </c>
      <c r="L49" s="68">
        <f t="shared" si="2"/>
        <v>46122</v>
      </c>
      <c r="M49" s="72">
        <v>46122</v>
      </c>
      <c r="N49" s="74">
        <f t="shared" si="148"/>
        <v>46164</v>
      </c>
      <c r="O49" s="68">
        <f t="shared" si="149"/>
        <v>46164</v>
      </c>
      <c r="P49" s="72">
        <v>46191</v>
      </c>
      <c r="Q49" s="74">
        <f t="shared" si="150"/>
        <v>46206</v>
      </c>
      <c r="R49" s="68">
        <f t="shared" si="151"/>
        <v>46206</v>
      </c>
      <c r="S49" s="74">
        <v>46209</v>
      </c>
      <c r="T49" s="74">
        <f t="shared" si="152"/>
        <v>46220</v>
      </c>
      <c r="U49" s="72">
        <f t="shared" si="153"/>
        <v>46220</v>
      </c>
      <c r="V49" s="139"/>
      <c r="X49" s="185" t="str">
        <f t="shared" ca="1" si="9"/>
        <v>Completed</v>
      </c>
      <c r="Y49" s="185" t="str">
        <f t="shared" ca="1" si="10"/>
        <v>Completed</v>
      </c>
      <c r="Z49" s="185" t="str">
        <f t="shared" ca="1" si="11"/>
        <v>Completed</v>
      </c>
      <c r="AA49" s="186" t="str">
        <f t="shared" ca="1" si="12"/>
        <v>Overdue</v>
      </c>
    </row>
    <row r="50" spans="1:27" s="64" customFormat="1" ht="19" x14ac:dyDescent="0.25">
      <c r="A50" s="133" t="s">
        <v>61</v>
      </c>
      <c r="B50" s="133" t="s">
        <v>62</v>
      </c>
      <c r="C50" s="134" t="s">
        <v>63</v>
      </c>
      <c r="D50" s="135" t="s">
        <v>268</v>
      </c>
      <c r="E50" s="136" t="s">
        <v>251</v>
      </c>
      <c r="F50" s="137">
        <f t="shared" si="144"/>
        <v>1</v>
      </c>
      <c r="G50" s="137">
        <f t="shared" si="145"/>
        <v>1</v>
      </c>
      <c r="H50" s="137">
        <f t="shared" si="146"/>
        <v>1</v>
      </c>
      <c r="I50" s="137">
        <f t="shared" si="147"/>
        <v>0</v>
      </c>
      <c r="J50" s="138">
        <v>1.5</v>
      </c>
      <c r="K50" s="107">
        <v>46142</v>
      </c>
      <c r="L50" s="68">
        <f t="shared" si="2"/>
        <v>46142</v>
      </c>
      <c r="M50" s="72">
        <v>46164</v>
      </c>
      <c r="N50" s="74">
        <f t="shared" si="148"/>
        <v>46184</v>
      </c>
      <c r="O50" s="74">
        <f t="shared" si="149"/>
        <v>46184</v>
      </c>
      <c r="P50" s="72">
        <v>46191</v>
      </c>
      <c r="Q50" s="74">
        <f t="shared" si="150"/>
        <v>46226</v>
      </c>
      <c r="R50" s="74">
        <f t="shared" si="151"/>
        <v>46226</v>
      </c>
      <c r="S50" s="74">
        <v>46220</v>
      </c>
      <c r="T50" s="74">
        <f t="shared" si="152"/>
        <v>46240</v>
      </c>
      <c r="U50" s="74">
        <f t="shared" si="153"/>
        <v>46240</v>
      </c>
      <c r="V50" s="139">
        <v>46233</v>
      </c>
      <c r="X50" s="185" t="str">
        <f t="shared" ca="1" si="9"/>
        <v>Completed</v>
      </c>
      <c r="Y50" s="185" t="str">
        <f t="shared" ca="1" si="10"/>
        <v>Completed</v>
      </c>
      <c r="Z50" s="185" t="str">
        <f t="shared" ca="1" si="11"/>
        <v>Completed</v>
      </c>
      <c r="AA50" s="186" t="str">
        <f t="shared" ca="1" si="12"/>
        <v>Completed</v>
      </c>
    </row>
    <row r="51" spans="1:27" s="64" customFormat="1" ht="11.5" x14ac:dyDescent="0.25">
      <c r="A51" s="70" t="s">
        <v>61</v>
      </c>
      <c r="B51" s="70" t="s">
        <v>62</v>
      </c>
      <c r="C51" s="65" t="s">
        <v>63</v>
      </c>
      <c r="D51" s="82" t="s">
        <v>269</v>
      </c>
      <c r="E51" s="132" t="s">
        <v>252</v>
      </c>
      <c r="F51" s="66">
        <f t="shared" si="144"/>
        <v>1</v>
      </c>
      <c r="G51" s="66">
        <f t="shared" si="145"/>
        <v>1</v>
      </c>
      <c r="H51" s="66">
        <f t="shared" si="146"/>
        <v>0.79999999999999993</v>
      </c>
      <c r="I51" s="66">
        <f t="shared" si="147"/>
        <v>-0.20000000000000007</v>
      </c>
      <c r="J51" s="89">
        <v>1.5</v>
      </c>
      <c r="K51" s="74">
        <v>46136</v>
      </c>
      <c r="L51" s="68">
        <f t="shared" si="2"/>
        <v>46136</v>
      </c>
      <c r="M51" s="72">
        <v>46135</v>
      </c>
      <c r="N51" s="74">
        <f t="shared" si="148"/>
        <v>46178</v>
      </c>
      <c r="O51" s="68">
        <f t="shared" si="149"/>
        <v>46178</v>
      </c>
      <c r="P51" s="72">
        <v>46191</v>
      </c>
      <c r="Q51" s="74">
        <f t="shared" si="150"/>
        <v>46220</v>
      </c>
      <c r="R51" s="68">
        <f t="shared" si="151"/>
        <v>46220</v>
      </c>
      <c r="S51" s="74">
        <v>46209</v>
      </c>
      <c r="T51" s="74">
        <f t="shared" si="152"/>
        <v>46234</v>
      </c>
      <c r="U51" s="72">
        <f t="shared" si="153"/>
        <v>46234</v>
      </c>
      <c r="V51" s="72"/>
      <c r="X51" s="185" t="str">
        <f t="shared" ca="1" si="9"/>
        <v>Completed</v>
      </c>
      <c r="Y51" s="185" t="str">
        <f t="shared" ca="1" si="10"/>
        <v>Completed</v>
      </c>
      <c r="Z51" s="185" t="str">
        <f t="shared" ca="1" si="11"/>
        <v>Completed</v>
      </c>
      <c r="AA51" s="186" t="str">
        <f t="shared" ca="1" si="12"/>
        <v>Overdue</v>
      </c>
    </row>
    <row r="52" spans="1:27" s="64" customFormat="1" ht="11.5" x14ac:dyDescent="0.25">
      <c r="A52" s="70" t="s">
        <v>61</v>
      </c>
      <c r="B52" s="70" t="s">
        <v>62</v>
      </c>
      <c r="C52" s="65" t="s">
        <v>63</v>
      </c>
      <c r="D52" s="82" t="s">
        <v>270</v>
      </c>
      <c r="E52" s="132" t="s">
        <v>253</v>
      </c>
      <c r="F52" s="66">
        <f t="shared" si="144"/>
        <v>1</v>
      </c>
      <c r="G52" s="66">
        <f t="shared" si="145"/>
        <v>1</v>
      </c>
      <c r="H52" s="66">
        <f t="shared" si="146"/>
        <v>0.79999999999999993</v>
      </c>
      <c r="I52" s="66">
        <f t="shared" si="147"/>
        <v>-0.20000000000000007</v>
      </c>
      <c r="J52" s="138">
        <v>1.5</v>
      </c>
      <c r="K52" s="74">
        <v>46142</v>
      </c>
      <c r="L52" s="68">
        <f t="shared" si="2"/>
        <v>46142</v>
      </c>
      <c r="M52" s="72">
        <v>46171</v>
      </c>
      <c r="N52" s="74">
        <f t="shared" si="148"/>
        <v>46184</v>
      </c>
      <c r="O52" s="74">
        <f t="shared" si="149"/>
        <v>46184</v>
      </c>
      <c r="P52" s="72">
        <v>46191</v>
      </c>
      <c r="Q52" s="74">
        <f t="shared" si="150"/>
        <v>46226</v>
      </c>
      <c r="R52" s="74">
        <f t="shared" si="151"/>
        <v>46226</v>
      </c>
      <c r="S52" s="149">
        <v>46237</v>
      </c>
      <c r="T52" s="74">
        <f t="shared" si="152"/>
        <v>46240</v>
      </c>
      <c r="U52" s="74">
        <f t="shared" si="153"/>
        <v>46240</v>
      </c>
      <c r="V52" s="72"/>
      <c r="X52" s="185" t="str">
        <f t="shared" ca="1" si="9"/>
        <v>Completed</v>
      </c>
      <c r="Y52" s="185" t="str">
        <f t="shared" ca="1" si="10"/>
        <v>Completed</v>
      </c>
      <c r="Z52" s="185" t="str">
        <f t="shared" ca="1" si="11"/>
        <v>Completed</v>
      </c>
      <c r="AA52" s="186" t="str">
        <f t="shared" ca="1" si="12"/>
        <v>Overdue</v>
      </c>
    </row>
    <row r="53" spans="1:27" s="64" customFormat="1" ht="11.5" x14ac:dyDescent="0.25">
      <c r="A53" s="70" t="s">
        <v>61</v>
      </c>
      <c r="B53" s="70" t="s">
        <v>58</v>
      </c>
      <c r="C53" s="65" t="s">
        <v>63</v>
      </c>
      <c r="D53" s="82" t="s">
        <v>481</v>
      </c>
      <c r="E53" s="80" t="s">
        <v>225</v>
      </c>
      <c r="F53" s="66">
        <f t="shared" ref="F53:F68" si="154">(COUNTIFS(K53,"&lt;="&amp;$D$1)*50%)+(COUNTIFS(N53,"&lt;="&amp;$D$1)*20%)+(COUNTIFS(Q53,"&lt;="&amp;$D$1)*10%)+(COUNTIFS(T53,"&lt;="&amp;$D$1)*20%)</f>
        <v>0</v>
      </c>
      <c r="G53" s="66">
        <f t="shared" ref="G53:G68" si="155">(COUNTIFS(L53,"&lt;="&amp;$D$1)*50%)+(COUNTIFS(O53,"&lt;="&amp;$D$1)*20%)+(COUNTIFS(R53,"&lt;="&amp;$D$1)*10%)+(COUNTIFS(U53,"&lt;="&amp;$D$1)*20%)</f>
        <v>0</v>
      </c>
      <c r="H53" s="66">
        <f t="shared" ref="H53:H68" si="156">(COUNTIFS(M53,"&lt;="&amp;$D$1)*50%)+(COUNTIFS(P53,"&lt;="&amp;$D$1)*20%)+(COUNTIFS(S53,"&lt;="&amp;$D$1)*10%)+(COUNTIFS(V53,"&lt;="&amp;$D$1)*20%)</f>
        <v>0</v>
      </c>
      <c r="I53" s="66">
        <f t="shared" ref="I53:I68" si="157">H53-F53</f>
        <v>0</v>
      </c>
      <c r="J53" s="67">
        <v>0.25</v>
      </c>
      <c r="K53" s="74"/>
      <c r="L53" s="74"/>
      <c r="M53" s="72"/>
      <c r="N53" s="74"/>
      <c r="O53" s="74"/>
      <c r="P53" s="72"/>
      <c r="Q53" s="74"/>
      <c r="R53" s="74"/>
      <c r="S53" s="74"/>
      <c r="T53" s="74"/>
      <c r="U53" s="74"/>
      <c r="V53" s="72"/>
      <c r="X53" s="185" t="str">
        <f t="shared" ca="1" si="9"/>
        <v/>
      </c>
      <c r="Y53" s="185" t="str">
        <f t="shared" ca="1" si="10"/>
        <v/>
      </c>
      <c r="Z53" s="185" t="str">
        <f t="shared" ca="1" si="11"/>
        <v/>
      </c>
      <c r="AA53" s="186" t="str">
        <f t="shared" ca="1" si="12"/>
        <v/>
      </c>
    </row>
    <row r="54" spans="1:27" s="64" customFormat="1" ht="11.5" x14ac:dyDescent="0.25">
      <c r="A54" s="70" t="s">
        <v>61</v>
      </c>
      <c r="B54" s="70" t="s">
        <v>58</v>
      </c>
      <c r="C54" s="65" t="s">
        <v>63</v>
      </c>
      <c r="D54" s="82" t="s">
        <v>482</v>
      </c>
      <c r="E54" s="80" t="s">
        <v>236</v>
      </c>
      <c r="F54" s="66">
        <f t="shared" si="154"/>
        <v>0</v>
      </c>
      <c r="G54" s="66">
        <f t="shared" si="155"/>
        <v>0</v>
      </c>
      <c r="H54" s="66">
        <f t="shared" si="156"/>
        <v>0</v>
      </c>
      <c r="I54" s="66">
        <f t="shared" si="157"/>
        <v>0</v>
      </c>
      <c r="J54" s="89">
        <v>0.25</v>
      </c>
      <c r="K54" s="74"/>
      <c r="L54" s="74"/>
      <c r="M54" s="72"/>
      <c r="N54" s="74"/>
      <c r="O54" s="74"/>
      <c r="P54" s="72"/>
      <c r="Q54" s="74"/>
      <c r="R54" s="74"/>
      <c r="S54" s="74"/>
      <c r="T54" s="74"/>
      <c r="U54" s="74"/>
      <c r="V54" s="72"/>
      <c r="X54" s="185" t="str">
        <f t="shared" ca="1" si="9"/>
        <v/>
      </c>
      <c r="Y54" s="185" t="str">
        <f t="shared" ca="1" si="10"/>
        <v/>
      </c>
      <c r="Z54" s="185" t="str">
        <f t="shared" ca="1" si="11"/>
        <v/>
      </c>
      <c r="AA54" s="186" t="str">
        <f t="shared" ca="1" si="12"/>
        <v/>
      </c>
    </row>
    <row r="55" spans="1:27" s="64" customFormat="1" ht="11.5" x14ac:dyDescent="0.25">
      <c r="A55" s="70" t="s">
        <v>61</v>
      </c>
      <c r="B55" s="70" t="s">
        <v>58</v>
      </c>
      <c r="C55" s="65" t="s">
        <v>63</v>
      </c>
      <c r="D55" s="82" t="s">
        <v>483</v>
      </c>
      <c r="E55" s="80" t="s">
        <v>226</v>
      </c>
      <c r="F55" s="66">
        <f t="shared" si="154"/>
        <v>0</v>
      </c>
      <c r="G55" s="66">
        <f t="shared" si="155"/>
        <v>0</v>
      </c>
      <c r="H55" s="66">
        <f t="shared" si="156"/>
        <v>0</v>
      </c>
      <c r="I55" s="66">
        <f t="shared" si="157"/>
        <v>0</v>
      </c>
      <c r="J55" s="67">
        <v>0.25</v>
      </c>
      <c r="K55" s="74"/>
      <c r="L55" s="74"/>
      <c r="M55" s="72"/>
      <c r="N55" s="74"/>
      <c r="O55" s="74"/>
      <c r="P55" s="72"/>
      <c r="Q55" s="74"/>
      <c r="R55" s="74"/>
      <c r="S55" s="74"/>
      <c r="T55" s="74"/>
      <c r="U55" s="74"/>
      <c r="V55" s="72"/>
      <c r="X55" s="185" t="str">
        <f t="shared" ca="1" si="9"/>
        <v/>
      </c>
      <c r="Y55" s="185" t="str">
        <f t="shared" ca="1" si="10"/>
        <v/>
      </c>
      <c r="Z55" s="185" t="str">
        <f t="shared" ca="1" si="11"/>
        <v/>
      </c>
      <c r="AA55" s="186" t="str">
        <f t="shared" ca="1" si="12"/>
        <v/>
      </c>
    </row>
    <row r="56" spans="1:27" s="64" customFormat="1" ht="11.5" x14ac:dyDescent="0.25">
      <c r="A56" s="70" t="s">
        <v>61</v>
      </c>
      <c r="B56" s="70" t="s">
        <v>58</v>
      </c>
      <c r="C56" s="65" t="s">
        <v>63</v>
      </c>
      <c r="D56" s="82" t="s">
        <v>484</v>
      </c>
      <c r="E56" s="80" t="s">
        <v>238</v>
      </c>
      <c r="F56" s="66">
        <f t="shared" si="154"/>
        <v>0</v>
      </c>
      <c r="G56" s="66">
        <f t="shared" si="155"/>
        <v>0</v>
      </c>
      <c r="H56" s="66">
        <f t="shared" si="156"/>
        <v>0</v>
      </c>
      <c r="I56" s="66">
        <f t="shared" si="157"/>
        <v>0</v>
      </c>
      <c r="J56" s="89">
        <v>0.25</v>
      </c>
      <c r="K56" s="74"/>
      <c r="L56" s="74"/>
      <c r="M56" s="72"/>
      <c r="N56" s="74"/>
      <c r="O56" s="74"/>
      <c r="P56" s="72"/>
      <c r="Q56" s="74"/>
      <c r="R56" s="74"/>
      <c r="S56" s="74"/>
      <c r="T56" s="74"/>
      <c r="U56" s="74"/>
      <c r="V56" s="72"/>
      <c r="X56" s="185" t="str">
        <f t="shared" ca="1" si="9"/>
        <v/>
      </c>
      <c r="Y56" s="185" t="str">
        <f t="shared" ca="1" si="10"/>
        <v/>
      </c>
      <c r="Z56" s="185" t="str">
        <f t="shared" ca="1" si="11"/>
        <v/>
      </c>
      <c r="AA56" s="186" t="str">
        <f t="shared" ca="1" si="12"/>
        <v/>
      </c>
    </row>
    <row r="57" spans="1:27" s="64" customFormat="1" ht="11.5" x14ac:dyDescent="0.25">
      <c r="A57" s="70" t="s">
        <v>61</v>
      </c>
      <c r="B57" s="70" t="s">
        <v>58</v>
      </c>
      <c r="C57" s="65" t="s">
        <v>63</v>
      </c>
      <c r="D57" s="82" t="s">
        <v>485</v>
      </c>
      <c r="E57" s="80" t="s">
        <v>227</v>
      </c>
      <c r="F57" s="66">
        <f t="shared" si="154"/>
        <v>0</v>
      </c>
      <c r="G57" s="66">
        <f t="shared" si="155"/>
        <v>0</v>
      </c>
      <c r="H57" s="66">
        <f t="shared" si="156"/>
        <v>0</v>
      </c>
      <c r="I57" s="66">
        <f t="shared" si="157"/>
        <v>0</v>
      </c>
      <c r="J57" s="67">
        <v>0.25</v>
      </c>
      <c r="K57" s="74"/>
      <c r="L57" s="74"/>
      <c r="M57" s="72"/>
      <c r="N57" s="74"/>
      <c r="O57" s="74"/>
      <c r="P57" s="72"/>
      <c r="Q57" s="74"/>
      <c r="R57" s="74"/>
      <c r="S57" s="74"/>
      <c r="T57" s="74"/>
      <c r="U57" s="74"/>
      <c r="V57" s="72"/>
      <c r="X57" s="185" t="str">
        <f t="shared" ca="1" si="9"/>
        <v/>
      </c>
      <c r="Y57" s="185" t="str">
        <f t="shared" ca="1" si="10"/>
        <v/>
      </c>
      <c r="Z57" s="185" t="str">
        <f t="shared" ca="1" si="11"/>
        <v/>
      </c>
      <c r="AA57" s="186" t="str">
        <f t="shared" ca="1" si="12"/>
        <v/>
      </c>
    </row>
    <row r="58" spans="1:27" s="64" customFormat="1" ht="11.5" x14ac:dyDescent="0.25">
      <c r="A58" s="70" t="s">
        <v>61</v>
      </c>
      <c r="B58" s="70" t="s">
        <v>58</v>
      </c>
      <c r="C58" s="65" t="s">
        <v>63</v>
      </c>
      <c r="D58" s="82" t="s">
        <v>486</v>
      </c>
      <c r="E58" s="80" t="s">
        <v>239</v>
      </c>
      <c r="F58" s="66">
        <f t="shared" si="154"/>
        <v>0</v>
      </c>
      <c r="G58" s="66">
        <f t="shared" si="155"/>
        <v>0</v>
      </c>
      <c r="H58" s="66">
        <f t="shared" si="156"/>
        <v>0</v>
      </c>
      <c r="I58" s="66">
        <f t="shared" si="157"/>
        <v>0</v>
      </c>
      <c r="J58" s="89">
        <v>0.25</v>
      </c>
      <c r="K58" s="74"/>
      <c r="L58" s="74"/>
      <c r="M58" s="72"/>
      <c r="N58" s="74"/>
      <c r="O58" s="74"/>
      <c r="P58" s="72"/>
      <c r="Q58" s="74"/>
      <c r="R58" s="74"/>
      <c r="S58" s="74"/>
      <c r="T58" s="74"/>
      <c r="U58" s="74"/>
      <c r="V58" s="72"/>
      <c r="X58" s="185" t="str">
        <f t="shared" ca="1" si="9"/>
        <v/>
      </c>
      <c r="Y58" s="185" t="str">
        <f t="shared" ca="1" si="10"/>
        <v/>
      </c>
      <c r="Z58" s="185" t="str">
        <f t="shared" ca="1" si="11"/>
        <v/>
      </c>
      <c r="AA58" s="186" t="str">
        <f t="shared" ca="1" si="12"/>
        <v/>
      </c>
    </row>
    <row r="59" spans="1:27" s="64" customFormat="1" ht="11.5" x14ac:dyDescent="0.25">
      <c r="A59" s="70" t="s">
        <v>61</v>
      </c>
      <c r="B59" s="70" t="s">
        <v>58</v>
      </c>
      <c r="C59" s="65" t="s">
        <v>63</v>
      </c>
      <c r="D59" s="82" t="s">
        <v>487</v>
      </c>
      <c r="E59" s="80" t="s">
        <v>228</v>
      </c>
      <c r="F59" s="66">
        <f t="shared" si="154"/>
        <v>0</v>
      </c>
      <c r="G59" s="66">
        <f t="shared" si="155"/>
        <v>0</v>
      </c>
      <c r="H59" s="66">
        <f t="shared" si="156"/>
        <v>0</v>
      </c>
      <c r="I59" s="66">
        <f t="shared" si="157"/>
        <v>0</v>
      </c>
      <c r="J59" s="67">
        <v>0.25</v>
      </c>
      <c r="K59" s="74"/>
      <c r="L59" s="74"/>
      <c r="M59" s="72"/>
      <c r="N59" s="74"/>
      <c r="O59" s="74"/>
      <c r="P59" s="72"/>
      <c r="Q59" s="74"/>
      <c r="R59" s="74"/>
      <c r="S59" s="74"/>
      <c r="T59" s="74"/>
      <c r="U59" s="74"/>
      <c r="V59" s="72"/>
      <c r="X59" s="185" t="str">
        <f t="shared" ca="1" si="9"/>
        <v/>
      </c>
      <c r="Y59" s="185" t="str">
        <f t="shared" ca="1" si="10"/>
        <v/>
      </c>
      <c r="Z59" s="185" t="str">
        <f t="shared" ca="1" si="11"/>
        <v/>
      </c>
      <c r="AA59" s="186" t="str">
        <f t="shared" ca="1" si="12"/>
        <v/>
      </c>
    </row>
    <row r="60" spans="1:27" s="64" customFormat="1" ht="11.5" x14ac:dyDescent="0.25">
      <c r="A60" s="70" t="s">
        <v>61</v>
      </c>
      <c r="B60" s="70" t="s">
        <v>58</v>
      </c>
      <c r="C60" s="65" t="s">
        <v>63</v>
      </c>
      <c r="D60" s="82" t="s">
        <v>488</v>
      </c>
      <c r="E60" s="80" t="s">
        <v>229</v>
      </c>
      <c r="F60" s="66">
        <f t="shared" si="154"/>
        <v>0</v>
      </c>
      <c r="G60" s="66">
        <f t="shared" si="155"/>
        <v>0</v>
      </c>
      <c r="H60" s="66">
        <f t="shared" si="156"/>
        <v>0</v>
      </c>
      <c r="I60" s="66">
        <f t="shared" si="157"/>
        <v>0</v>
      </c>
      <c r="J60" s="89">
        <v>0.25</v>
      </c>
      <c r="K60" s="74"/>
      <c r="L60" s="74"/>
      <c r="M60" s="72"/>
      <c r="N60" s="74"/>
      <c r="O60" s="74"/>
      <c r="P60" s="72"/>
      <c r="Q60" s="74"/>
      <c r="R60" s="74"/>
      <c r="S60" s="74"/>
      <c r="T60" s="74"/>
      <c r="U60" s="74"/>
      <c r="V60" s="72"/>
      <c r="X60" s="185" t="str">
        <f t="shared" ca="1" si="9"/>
        <v/>
      </c>
      <c r="Y60" s="185" t="str">
        <f t="shared" ca="1" si="10"/>
        <v/>
      </c>
      <c r="Z60" s="185" t="str">
        <f t="shared" ca="1" si="11"/>
        <v/>
      </c>
      <c r="AA60" s="186" t="str">
        <f t="shared" ca="1" si="12"/>
        <v/>
      </c>
    </row>
    <row r="61" spans="1:27" s="64" customFormat="1" ht="11.5" x14ac:dyDescent="0.25">
      <c r="A61" s="70" t="s">
        <v>61</v>
      </c>
      <c r="B61" s="70" t="s">
        <v>58</v>
      </c>
      <c r="C61" s="65" t="s">
        <v>63</v>
      </c>
      <c r="D61" s="82" t="s">
        <v>489</v>
      </c>
      <c r="E61" s="80" t="s">
        <v>230</v>
      </c>
      <c r="F61" s="66">
        <f t="shared" si="154"/>
        <v>0</v>
      </c>
      <c r="G61" s="66">
        <f t="shared" si="155"/>
        <v>0</v>
      </c>
      <c r="H61" s="66">
        <f t="shared" si="156"/>
        <v>0</v>
      </c>
      <c r="I61" s="66">
        <f t="shared" si="157"/>
        <v>0</v>
      </c>
      <c r="J61" s="67">
        <v>0.25</v>
      </c>
      <c r="K61" s="74"/>
      <c r="L61" s="74"/>
      <c r="M61" s="72"/>
      <c r="N61" s="74"/>
      <c r="O61" s="74"/>
      <c r="P61" s="72"/>
      <c r="Q61" s="74"/>
      <c r="R61" s="74"/>
      <c r="S61" s="74"/>
      <c r="T61" s="74"/>
      <c r="U61" s="74"/>
      <c r="V61" s="72"/>
      <c r="X61" s="185" t="str">
        <f t="shared" ca="1" si="9"/>
        <v/>
      </c>
      <c r="Y61" s="185" t="str">
        <f t="shared" ca="1" si="10"/>
        <v/>
      </c>
      <c r="Z61" s="185" t="str">
        <f t="shared" ca="1" si="11"/>
        <v/>
      </c>
      <c r="AA61" s="186" t="str">
        <f t="shared" ca="1" si="12"/>
        <v/>
      </c>
    </row>
    <row r="62" spans="1:27" s="64" customFormat="1" ht="11.5" x14ac:dyDescent="0.25">
      <c r="A62" s="70" t="s">
        <v>61</v>
      </c>
      <c r="B62" s="70" t="s">
        <v>58</v>
      </c>
      <c r="C62" s="65" t="s">
        <v>63</v>
      </c>
      <c r="D62" s="82" t="s">
        <v>490</v>
      </c>
      <c r="E62" s="80" t="s">
        <v>240</v>
      </c>
      <c r="F62" s="66">
        <f t="shared" si="154"/>
        <v>0</v>
      </c>
      <c r="G62" s="66">
        <f t="shared" si="155"/>
        <v>0</v>
      </c>
      <c r="H62" s="66">
        <f t="shared" si="156"/>
        <v>0</v>
      </c>
      <c r="I62" s="66">
        <f t="shared" si="157"/>
        <v>0</v>
      </c>
      <c r="J62" s="89">
        <v>0.25</v>
      </c>
      <c r="K62" s="74"/>
      <c r="L62" s="74"/>
      <c r="M62" s="72"/>
      <c r="N62" s="74"/>
      <c r="O62" s="74"/>
      <c r="P62" s="72"/>
      <c r="Q62" s="74"/>
      <c r="R62" s="74"/>
      <c r="S62" s="74"/>
      <c r="T62" s="74"/>
      <c r="U62" s="74"/>
      <c r="V62" s="72"/>
      <c r="X62" s="185" t="str">
        <f t="shared" ca="1" si="9"/>
        <v/>
      </c>
      <c r="Y62" s="185" t="str">
        <f t="shared" ca="1" si="10"/>
        <v/>
      </c>
      <c r="Z62" s="185" t="str">
        <f t="shared" ca="1" si="11"/>
        <v/>
      </c>
      <c r="AA62" s="186" t="str">
        <f t="shared" ca="1" si="12"/>
        <v/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491</v>
      </c>
      <c r="E63" s="80" t="s">
        <v>231</v>
      </c>
      <c r="F63" s="66">
        <f t="shared" si="154"/>
        <v>0</v>
      </c>
      <c r="G63" s="66">
        <f t="shared" si="155"/>
        <v>0</v>
      </c>
      <c r="H63" s="66">
        <f t="shared" si="156"/>
        <v>0</v>
      </c>
      <c r="I63" s="66">
        <f t="shared" si="157"/>
        <v>0</v>
      </c>
      <c r="J63" s="67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85" t="str">
        <f t="shared" ca="1" si="9"/>
        <v/>
      </c>
      <c r="Y63" s="185" t="str">
        <f t="shared" ca="1" si="10"/>
        <v/>
      </c>
      <c r="Z63" s="185" t="str">
        <f t="shared" ca="1" si="11"/>
        <v/>
      </c>
      <c r="AA63" s="186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492</v>
      </c>
      <c r="E64" s="80" t="s">
        <v>232</v>
      </c>
      <c r="F64" s="66">
        <f t="shared" si="154"/>
        <v>0</v>
      </c>
      <c r="G64" s="66">
        <f t="shared" si="155"/>
        <v>0</v>
      </c>
      <c r="H64" s="66">
        <f t="shared" si="156"/>
        <v>0</v>
      </c>
      <c r="I64" s="66">
        <f t="shared" si="157"/>
        <v>0</v>
      </c>
      <c r="J64" s="89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85" t="str">
        <f t="shared" ca="1" si="9"/>
        <v/>
      </c>
      <c r="Y64" s="185" t="str">
        <f t="shared" ca="1" si="10"/>
        <v/>
      </c>
      <c r="Z64" s="185" t="str">
        <f t="shared" ca="1" si="11"/>
        <v/>
      </c>
      <c r="AA64" s="186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493</v>
      </c>
      <c r="E65" s="80" t="s">
        <v>233</v>
      </c>
      <c r="F65" s="66">
        <f t="shared" si="154"/>
        <v>0</v>
      </c>
      <c r="G65" s="66">
        <f t="shared" si="155"/>
        <v>0</v>
      </c>
      <c r="H65" s="66">
        <f t="shared" si="156"/>
        <v>0</v>
      </c>
      <c r="I65" s="66">
        <f t="shared" si="157"/>
        <v>0</v>
      </c>
      <c r="J65" s="67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85" t="str">
        <f t="shared" ca="1" si="9"/>
        <v/>
      </c>
      <c r="Y65" s="185" t="str">
        <f t="shared" ca="1" si="10"/>
        <v/>
      </c>
      <c r="Z65" s="185" t="str">
        <f t="shared" ca="1" si="11"/>
        <v/>
      </c>
      <c r="AA65" s="186" t="str">
        <f t="shared" ca="1" si="12"/>
        <v/>
      </c>
    </row>
    <row r="66" spans="1:27" s="64" customFormat="1" ht="11.5" x14ac:dyDescent="0.25">
      <c r="A66" s="70" t="s">
        <v>61</v>
      </c>
      <c r="B66" s="70" t="s">
        <v>58</v>
      </c>
      <c r="C66" s="65" t="s">
        <v>63</v>
      </c>
      <c r="D66" s="82" t="s">
        <v>494</v>
      </c>
      <c r="E66" s="80" t="s">
        <v>237</v>
      </c>
      <c r="F66" s="66">
        <f t="shared" si="154"/>
        <v>0</v>
      </c>
      <c r="G66" s="66">
        <f t="shared" si="155"/>
        <v>0</v>
      </c>
      <c r="H66" s="66">
        <f t="shared" si="156"/>
        <v>0</v>
      </c>
      <c r="I66" s="66">
        <f t="shared" si="157"/>
        <v>0</v>
      </c>
      <c r="J66" s="89">
        <v>0.25</v>
      </c>
      <c r="K66" s="74"/>
      <c r="L66" s="74"/>
      <c r="M66" s="72"/>
      <c r="N66" s="74"/>
      <c r="O66" s="74"/>
      <c r="P66" s="72"/>
      <c r="Q66" s="74"/>
      <c r="R66" s="74"/>
      <c r="S66" s="74"/>
      <c r="T66" s="74"/>
      <c r="U66" s="74"/>
      <c r="V66" s="72"/>
      <c r="X66" s="185" t="str">
        <f t="shared" ca="1" si="9"/>
        <v/>
      </c>
      <c r="Y66" s="185" t="str">
        <f t="shared" ca="1" si="10"/>
        <v/>
      </c>
      <c r="Z66" s="185" t="str">
        <f t="shared" ca="1" si="11"/>
        <v/>
      </c>
      <c r="AA66" s="186" t="str">
        <f t="shared" ca="1" si="12"/>
        <v/>
      </c>
    </row>
    <row r="67" spans="1:27" s="64" customFormat="1" ht="11.5" x14ac:dyDescent="0.25">
      <c r="A67" s="70" t="s">
        <v>61</v>
      </c>
      <c r="B67" s="70" t="s">
        <v>58</v>
      </c>
      <c r="C67" s="65" t="s">
        <v>63</v>
      </c>
      <c r="D67" s="82" t="s">
        <v>495</v>
      </c>
      <c r="E67" s="80" t="s">
        <v>234</v>
      </c>
      <c r="F67" s="66">
        <f t="shared" si="154"/>
        <v>0</v>
      </c>
      <c r="G67" s="66">
        <f t="shared" si="155"/>
        <v>0</v>
      </c>
      <c r="H67" s="66">
        <f t="shared" si="156"/>
        <v>0</v>
      </c>
      <c r="I67" s="66">
        <f t="shared" si="157"/>
        <v>0</v>
      </c>
      <c r="J67" s="67">
        <v>0.25</v>
      </c>
      <c r="K67" s="74"/>
      <c r="L67" s="74"/>
      <c r="M67" s="72"/>
      <c r="N67" s="74"/>
      <c r="O67" s="74"/>
      <c r="P67" s="72"/>
      <c r="Q67" s="74"/>
      <c r="R67" s="74"/>
      <c r="S67" s="74"/>
      <c r="T67" s="74"/>
      <c r="U67" s="74"/>
      <c r="V67" s="72"/>
      <c r="X67" s="185" t="str">
        <f t="shared" ca="1" si="9"/>
        <v/>
      </c>
      <c r="Y67" s="185" t="str">
        <f t="shared" ca="1" si="10"/>
        <v/>
      </c>
      <c r="Z67" s="185" t="str">
        <f t="shared" ca="1" si="11"/>
        <v/>
      </c>
      <c r="AA67" s="186" t="str">
        <f t="shared" ca="1" si="12"/>
        <v/>
      </c>
    </row>
    <row r="68" spans="1:27" s="64" customFormat="1" ht="11.5" x14ac:dyDescent="0.25">
      <c r="A68" s="70" t="s">
        <v>61</v>
      </c>
      <c r="B68" s="70" t="s">
        <v>58</v>
      </c>
      <c r="C68" s="65" t="s">
        <v>63</v>
      </c>
      <c r="D68" s="82" t="s">
        <v>496</v>
      </c>
      <c r="E68" s="80" t="s">
        <v>235</v>
      </c>
      <c r="F68" s="66">
        <f t="shared" si="154"/>
        <v>0</v>
      </c>
      <c r="G68" s="66">
        <f t="shared" si="155"/>
        <v>0</v>
      </c>
      <c r="H68" s="66">
        <f t="shared" si="156"/>
        <v>0</v>
      </c>
      <c r="I68" s="66">
        <f t="shared" si="157"/>
        <v>0</v>
      </c>
      <c r="J68" s="89">
        <v>0.25</v>
      </c>
      <c r="K68" s="74"/>
      <c r="L68" s="74"/>
      <c r="M68" s="72"/>
      <c r="N68" s="74"/>
      <c r="O68" s="74"/>
      <c r="P68" s="72"/>
      <c r="Q68" s="74"/>
      <c r="R68" s="74"/>
      <c r="S68" s="74"/>
      <c r="T68" s="74"/>
      <c r="U68" s="74"/>
      <c r="V68" s="72"/>
      <c r="X68" s="185" t="str">
        <f t="shared" ca="1" si="9"/>
        <v/>
      </c>
      <c r="Y68" s="185" t="str">
        <f t="shared" ca="1" si="10"/>
        <v/>
      </c>
      <c r="Z68" s="185" t="str">
        <f t="shared" ca="1" si="11"/>
        <v/>
      </c>
      <c r="AA68" s="186" t="str">
        <f t="shared" ca="1" si="12"/>
        <v/>
      </c>
    </row>
    <row r="69" spans="1:27" s="64" customFormat="1" ht="11.5" x14ac:dyDescent="0.25">
      <c r="A69" s="117"/>
      <c r="B69" s="117"/>
      <c r="C69" s="117"/>
      <c r="D69" s="118"/>
      <c r="E69" s="119"/>
      <c r="F69" s="120"/>
      <c r="G69" s="120"/>
      <c r="H69" s="120"/>
      <c r="I69" s="120"/>
      <c r="J69" s="121"/>
      <c r="K69" s="122"/>
      <c r="L69" s="122"/>
      <c r="M69" s="123"/>
      <c r="N69" s="122"/>
      <c r="O69" s="122"/>
      <c r="P69" s="123"/>
      <c r="Q69" s="122"/>
      <c r="R69" s="122"/>
      <c r="S69" s="123"/>
      <c r="T69" s="122"/>
      <c r="U69" s="122"/>
      <c r="V69" s="123"/>
      <c r="X69" s="185" t="str">
        <f t="shared" ca="1" si="9"/>
        <v/>
      </c>
      <c r="Y69" s="185" t="str">
        <f t="shared" ca="1" si="10"/>
        <v/>
      </c>
      <c r="Z69" s="185" t="str">
        <f t="shared" ca="1" si="11"/>
        <v/>
      </c>
      <c r="AA69" s="186" t="str">
        <f t="shared" ca="1" si="12"/>
        <v/>
      </c>
    </row>
    <row r="70" spans="1:27" s="64" customFormat="1" ht="11.5" x14ac:dyDescent="0.25">
      <c r="A70" s="70" t="s">
        <v>61</v>
      </c>
      <c r="B70" s="70" t="s">
        <v>62</v>
      </c>
      <c r="C70" s="65" t="s">
        <v>94</v>
      </c>
      <c r="D70" s="82" t="s">
        <v>274</v>
      </c>
      <c r="E70" s="65" t="s">
        <v>95</v>
      </c>
      <c r="F70" s="66">
        <f t="shared" ref="F70:H72" si="158">(COUNTIFS(K70,"&lt;="&amp;$D$1)*50%)+(COUNTIFS(N70,"&lt;="&amp;$D$1)*20%)+(COUNTIFS(Q70,"&lt;="&amp;$D$1)*10%)+(COUNTIFS(T70,"&lt;="&amp;$D$1)*20%)</f>
        <v>0.79999999999999993</v>
      </c>
      <c r="G70" s="66">
        <f t="shared" si="158"/>
        <v>0.79999999999999993</v>
      </c>
      <c r="H70" s="66">
        <f t="shared" si="158"/>
        <v>1</v>
      </c>
      <c r="I70" s="66">
        <f t="shared" si="1"/>
        <v>0.20000000000000007</v>
      </c>
      <c r="J70" s="81">
        <v>0.05</v>
      </c>
      <c r="K70" s="68">
        <v>46157</v>
      </c>
      <c r="L70" s="68">
        <f t="shared" si="2"/>
        <v>46157</v>
      </c>
      <c r="M70" s="72">
        <v>46135</v>
      </c>
      <c r="N70" s="72">
        <f t="shared" si="3"/>
        <v>46199</v>
      </c>
      <c r="O70" s="68">
        <f t="shared" si="4"/>
        <v>46199</v>
      </c>
      <c r="P70" s="72">
        <v>46185</v>
      </c>
      <c r="Q70" s="72">
        <f t="shared" si="5"/>
        <v>46241</v>
      </c>
      <c r="R70" s="72">
        <f t="shared" si="6"/>
        <v>46241</v>
      </c>
      <c r="S70" s="72">
        <v>46185</v>
      </c>
      <c r="T70" s="72">
        <f t="shared" si="7"/>
        <v>46255</v>
      </c>
      <c r="U70" s="72">
        <f t="shared" si="8"/>
        <v>46255</v>
      </c>
      <c r="V70" s="72">
        <v>46192</v>
      </c>
      <c r="X70" s="185" t="str">
        <f t="shared" ca="1" si="9"/>
        <v>Completed</v>
      </c>
      <c r="Y70" s="185" t="str">
        <f t="shared" ca="1" si="10"/>
        <v>Completed</v>
      </c>
      <c r="Z70" s="185" t="str">
        <f t="shared" ca="1" si="11"/>
        <v>Completed</v>
      </c>
      <c r="AA70" s="186" t="str">
        <f t="shared" ca="1" si="12"/>
        <v>Completed</v>
      </c>
    </row>
    <row r="71" spans="1:27" s="64" customFormat="1" ht="11.5" x14ac:dyDescent="0.25">
      <c r="A71" s="70" t="s">
        <v>61</v>
      </c>
      <c r="B71" s="70" t="s">
        <v>62</v>
      </c>
      <c r="C71" s="65" t="s">
        <v>94</v>
      </c>
      <c r="D71" s="82" t="s">
        <v>275</v>
      </c>
      <c r="E71" s="65" t="s">
        <v>96</v>
      </c>
      <c r="F71" s="66">
        <f t="shared" si="158"/>
        <v>0.79999999999999993</v>
      </c>
      <c r="G71" s="66">
        <f t="shared" si="158"/>
        <v>0.79999999999999993</v>
      </c>
      <c r="H71" s="66">
        <f t="shared" si="158"/>
        <v>1</v>
      </c>
      <c r="I71" s="66">
        <f t="shared" si="1"/>
        <v>0.20000000000000007</v>
      </c>
      <c r="J71" s="81">
        <v>0.05</v>
      </c>
      <c r="K71" s="68">
        <v>46157</v>
      </c>
      <c r="L71" s="68">
        <f t="shared" si="2"/>
        <v>46157</v>
      </c>
      <c r="M71" s="72">
        <v>46135</v>
      </c>
      <c r="N71" s="72">
        <f t="shared" si="3"/>
        <v>46199</v>
      </c>
      <c r="O71" s="68">
        <f t="shared" si="4"/>
        <v>46199</v>
      </c>
      <c r="P71" s="72">
        <v>46185</v>
      </c>
      <c r="Q71" s="72">
        <f t="shared" si="5"/>
        <v>46241</v>
      </c>
      <c r="R71" s="72">
        <f t="shared" si="6"/>
        <v>46241</v>
      </c>
      <c r="S71" s="72">
        <v>46185</v>
      </c>
      <c r="T71" s="72">
        <f t="shared" si="7"/>
        <v>46255</v>
      </c>
      <c r="U71" s="72">
        <f t="shared" si="8"/>
        <v>46255</v>
      </c>
      <c r="V71" s="72">
        <v>46192</v>
      </c>
      <c r="X71" s="185" t="str">
        <f t="shared" ca="1" si="9"/>
        <v>Completed</v>
      </c>
      <c r="Y71" s="185" t="str">
        <f t="shared" ca="1" si="10"/>
        <v>Completed</v>
      </c>
      <c r="Z71" s="185" t="str">
        <f t="shared" ca="1" si="11"/>
        <v>Completed</v>
      </c>
      <c r="AA71" s="186" t="str">
        <f t="shared" ca="1" si="12"/>
        <v>Completed</v>
      </c>
    </row>
    <row r="72" spans="1:27" s="64" customFormat="1" ht="11.5" x14ac:dyDescent="0.25">
      <c r="A72" s="70" t="s">
        <v>61</v>
      </c>
      <c r="B72" s="70" t="s">
        <v>62</v>
      </c>
      <c r="C72" s="65" t="s">
        <v>94</v>
      </c>
      <c r="D72" s="73" t="s">
        <v>276</v>
      </c>
      <c r="E72" s="65" t="s">
        <v>97</v>
      </c>
      <c r="F72" s="66">
        <f t="shared" si="158"/>
        <v>0.79999999999999993</v>
      </c>
      <c r="G72" s="66">
        <f t="shared" si="158"/>
        <v>0.79999999999999993</v>
      </c>
      <c r="H72" s="66">
        <f t="shared" si="158"/>
        <v>1</v>
      </c>
      <c r="I72" s="66">
        <f t="shared" si="1"/>
        <v>0.20000000000000007</v>
      </c>
      <c r="J72" s="81">
        <v>0.1</v>
      </c>
      <c r="K72" s="68">
        <v>46157</v>
      </c>
      <c r="L72" s="72">
        <f t="shared" si="2"/>
        <v>46157</v>
      </c>
      <c r="M72" s="72">
        <v>46135</v>
      </c>
      <c r="N72" s="72">
        <f t="shared" si="3"/>
        <v>46199</v>
      </c>
      <c r="O72" s="72">
        <f t="shared" si="4"/>
        <v>46199</v>
      </c>
      <c r="P72" s="72">
        <v>46185</v>
      </c>
      <c r="Q72" s="72">
        <f t="shared" si="5"/>
        <v>46241</v>
      </c>
      <c r="R72" s="72">
        <f t="shared" si="6"/>
        <v>46241</v>
      </c>
      <c r="S72" s="72">
        <v>46185</v>
      </c>
      <c r="T72" s="72">
        <f t="shared" si="7"/>
        <v>46255</v>
      </c>
      <c r="U72" s="72">
        <f t="shared" si="8"/>
        <v>46255</v>
      </c>
      <c r="V72" s="72">
        <v>46192</v>
      </c>
      <c r="X72" s="185" t="str">
        <f t="shared" ca="1" si="9"/>
        <v>Completed</v>
      </c>
      <c r="Y72" s="185" t="str">
        <f t="shared" ca="1" si="10"/>
        <v>Completed</v>
      </c>
      <c r="Z72" s="185" t="str">
        <f t="shared" ca="1" si="11"/>
        <v>Completed</v>
      </c>
      <c r="AA72" s="186" t="str">
        <f t="shared" ca="1" si="12"/>
        <v>Completed</v>
      </c>
    </row>
    <row r="73" spans="1:27" s="64" customFormat="1" ht="11.5" x14ac:dyDescent="0.25">
      <c r="A73" s="70" t="s">
        <v>61</v>
      </c>
      <c r="B73" s="70" t="s">
        <v>62</v>
      </c>
      <c r="C73" s="65" t="s">
        <v>94</v>
      </c>
      <c r="D73" s="73" t="s">
        <v>277</v>
      </c>
      <c r="E73" s="65" t="s">
        <v>98</v>
      </c>
      <c r="F73" s="66">
        <f t="shared" ref="F73:F85" si="159">(COUNTIFS(K73,"&lt;="&amp;$D$1)*50%)+(COUNTIFS(N73,"&lt;="&amp;$D$1)*20%)+(COUNTIFS(Q73,"&lt;="&amp;$D$1)*10%)+(COUNTIFS(T73,"&lt;="&amp;$D$1)*20%)</f>
        <v>0.79999999999999993</v>
      </c>
      <c r="G73" s="66">
        <f t="shared" ref="G73:G85" si="160">(COUNTIFS(L73,"&lt;="&amp;$D$1)*50%)+(COUNTIFS(O73,"&lt;="&amp;$D$1)*20%)+(COUNTIFS(R73,"&lt;="&amp;$D$1)*10%)+(COUNTIFS(U73,"&lt;="&amp;$D$1)*20%)</f>
        <v>0.79999999999999993</v>
      </c>
      <c r="H73" s="66">
        <f t="shared" ref="H73:H85" si="161">(COUNTIFS(M73,"&lt;="&amp;$D$1)*50%)+(COUNTIFS(P73,"&lt;="&amp;$D$1)*20%)+(COUNTIFS(S73,"&lt;="&amp;$D$1)*10%)+(COUNTIFS(V73,"&lt;="&amp;$D$1)*20%)</f>
        <v>0.79999999999999993</v>
      </c>
      <c r="I73" s="66">
        <f t="shared" ref="I73:I85" si="162">H73-F73</f>
        <v>0</v>
      </c>
      <c r="J73" s="81">
        <v>0.15</v>
      </c>
      <c r="K73" s="68">
        <v>46157</v>
      </c>
      <c r="L73" s="72">
        <f t="shared" si="2"/>
        <v>46157</v>
      </c>
      <c r="M73" s="72">
        <v>46135</v>
      </c>
      <c r="N73" s="72">
        <f t="shared" si="3"/>
        <v>46199</v>
      </c>
      <c r="O73" s="72">
        <f t="shared" si="4"/>
        <v>46199</v>
      </c>
      <c r="P73" s="72">
        <v>46191</v>
      </c>
      <c r="Q73" s="72">
        <f t="shared" si="5"/>
        <v>46241</v>
      </c>
      <c r="R73" s="72">
        <f t="shared" si="6"/>
        <v>46241</v>
      </c>
      <c r="S73" s="150">
        <v>46241</v>
      </c>
      <c r="T73" s="72">
        <f t="shared" si="7"/>
        <v>46255</v>
      </c>
      <c r="U73" s="72">
        <f t="shared" si="8"/>
        <v>46255</v>
      </c>
      <c r="V73" s="76"/>
      <c r="X73" s="185" t="str">
        <f t="shared" ca="1" si="9"/>
        <v>Completed</v>
      </c>
      <c r="Y73" s="185" t="str">
        <f t="shared" ca="1" si="10"/>
        <v>Completed</v>
      </c>
      <c r="Z73" s="185" t="str">
        <f t="shared" ca="1" si="11"/>
        <v>Completed</v>
      </c>
      <c r="AA73" s="186" t="str">
        <f t="shared" ca="1" si="12"/>
        <v/>
      </c>
    </row>
    <row r="74" spans="1:27" s="64" customFormat="1" ht="11.5" x14ac:dyDescent="0.25">
      <c r="A74" s="70" t="s">
        <v>61</v>
      </c>
      <c r="B74" s="70" t="s">
        <v>62</v>
      </c>
      <c r="C74" s="65" t="s">
        <v>94</v>
      </c>
      <c r="D74" s="82" t="s">
        <v>278</v>
      </c>
      <c r="E74" s="65" t="s">
        <v>99</v>
      </c>
      <c r="F74" s="66">
        <f t="shared" si="159"/>
        <v>0.79999999999999993</v>
      </c>
      <c r="G74" s="66">
        <f t="shared" si="160"/>
        <v>0.79999999999999993</v>
      </c>
      <c r="H74" s="66">
        <f t="shared" si="161"/>
        <v>1</v>
      </c>
      <c r="I74" s="66">
        <f t="shared" si="162"/>
        <v>0.20000000000000007</v>
      </c>
      <c r="J74" s="81">
        <v>0.15</v>
      </c>
      <c r="K74" s="68">
        <v>46157</v>
      </c>
      <c r="L74" s="72">
        <f t="shared" si="2"/>
        <v>46157</v>
      </c>
      <c r="M74" s="72">
        <v>46135</v>
      </c>
      <c r="N74" s="72">
        <f t="shared" si="3"/>
        <v>46199</v>
      </c>
      <c r="O74" s="72">
        <f t="shared" si="4"/>
        <v>46199</v>
      </c>
      <c r="P74" s="72">
        <v>46185</v>
      </c>
      <c r="Q74" s="72">
        <f t="shared" si="5"/>
        <v>46241</v>
      </c>
      <c r="R74" s="72">
        <f t="shared" si="6"/>
        <v>46241</v>
      </c>
      <c r="S74" s="72">
        <v>46185</v>
      </c>
      <c r="T74" s="72">
        <f t="shared" si="7"/>
        <v>46255</v>
      </c>
      <c r="U74" s="72">
        <f t="shared" si="8"/>
        <v>46255</v>
      </c>
      <c r="V74" s="72">
        <v>46192</v>
      </c>
      <c r="X74" s="185" t="str">
        <f t="shared" ref="X74:X137" ca="1" si="163">IF(OR(M74&lt;&gt;""),"Completed",
IF(L74="","",IF(L74&lt;TODAY(),"Overdue",
IF(AND(L74&gt;=TODAY()-WEEKDAY(TODAY(),2)+1,L74&lt;=TODAY()-WEEKDAY(TODAY(),2)+7),"Follow-This Week",
IF(AND(L74&gt;=TODAY()-WEEKDAY(TODAY(),2)+8,L74&lt;=TODAY()-WEEKDAY(TODAY(),2)+14),"Follow-Next Week","")))))</f>
        <v>Completed</v>
      </c>
      <c r="Y74" s="185" t="str">
        <f t="shared" ref="Y74:Y137" ca="1" si="164">IF(OR(P74&lt;&gt;""),"Completed",IF(O74="","",
IF(O74&lt;TODAY(),"Overdue",
IF(AND(O74&gt;=TODAY()-WEEKDAY(TODAY(),2)+1,O74&lt;=TODAY()-WEEKDAY(TODAY(),2)+7),"Follow-This Week",
IF(AND(O74&gt;=TODAY()-WEEKDAY(TODAY(),2)+8,O74&lt;=TODAY()-WEEKDAY(TODAY(),2)+14),"Follow-Next Week","")))))</f>
        <v>Completed</v>
      </c>
      <c r="Z74" s="185" t="str">
        <f t="shared" ref="Z74:Z137" ca="1" si="165">IF(OR(S74&lt;&gt;""),"Completed",IF(R74="","",
IF(R74&lt;TODAY(),"Overdue",
IF(AND(R74&gt;=TODAY()-WEEKDAY(TODAY(),2)+1,R74&lt;=TODAY()-WEEKDAY(TODAY(),2)+7),"Follow-This Week",
IF(AND(R74&gt;=TODAY()-WEEKDAY(TODAY(),2)+8,R74&lt;=TODAY()-WEEKDAY(TODAY(),2)+14),"Follow-Next Week","")))))</f>
        <v>Completed</v>
      </c>
      <c r="AA74" s="186" t="str">
        <f t="shared" ref="AA74:AA137" ca="1" si="166">IF(OR(V74&lt;&gt;""),"Completed",IF(U74="","",
IF(U74&lt;TODAY(),"Overdue",
IF(AND(U74&gt;=TODAY()-WEEKDAY(TODAY(),2)+1,U74&lt;=TODAY()-WEEKDAY(TODAY(),2)+7),"Follow-This Week",
IF(AND(U74&gt;=TODAY()-WEEKDAY(TODAY(),2)+8,U74&lt;=TODAY()-WEEKDAY(TODAY(),2)+14),"Follow-Next Week","")))))</f>
        <v>Completed</v>
      </c>
    </row>
    <row r="75" spans="1:27" s="64" customFormat="1" ht="11.5" x14ac:dyDescent="0.25">
      <c r="A75" s="70" t="s">
        <v>61</v>
      </c>
      <c r="B75" s="70" t="s">
        <v>62</v>
      </c>
      <c r="C75" s="65" t="s">
        <v>94</v>
      </c>
      <c r="D75" s="82" t="s">
        <v>279</v>
      </c>
      <c r="E75" s="65" t="s">
        <v>100</v>
      </c>
      <c r="F75" s="66">
        <f t="shared" si="159"/>
        <v>0.79999999999999993</v>
      </c>
      <c r="G75" s="66">
        <f t="shared" si="160"/>
        <v>0.79999999999999993</v>
      </c>
      <c r="H75" s="66">
        <f t="shared" si="161"/>
        <v>0.79999999999999993</v>
      </c>
      <c r="I75" s="66">
        <f t="shared" si="162"/>
        <v>0</v>
      </c>
      <c r="J75" s="81">
        <v>0.15</v>
      </c>
      <c r="K75" s="68">
        <v>46157</v>
      </c>
      <c r="L75" s="72">
        <f t="shared" si="2"/>
        <v>46157</v>
      </c>
      <c r="M75" s="72">
        <v>46135</v>
      </c>
      <c r="N75" s="72">
        <f t="shared" si="3"/>
        <v>46199</v>
      </c>
      <c r="O75" s="72">
        <f t="shared" si="4"/>
        <v>46199</v>
      </c>
      <c r="P75" s="72">
        <v>46191</v>
      </c>
      <c r="Q75" s="72">
        <f t="shared" si="5"/>
        <v>46241</v>
      </c>
      <c r="R75" s="72">
        <f t="shared" si="6"/>
        <v>46241</v>
      </c>
      <c r="S75" s="150">
        <v>46241</v>
      </c>
      <c r="T75" s="72">
        <f t="shared" si="7"/>
        <v>46255</v>
      </c>
      <c r="U75" s="72">
        <f t="shared" si="8"/>
        <v>46255</v>
      </c>
      <c r="V75" s="72"/>
      <c r="X75" s="185" t="str">
        <f t="shared" ca="1" si="163"/>
        <v>Completed</v>
      </c>
      <c r="Y75" s="185" t="str">
        <f t="shared" ca="1" si="164"/>
        <v>Completed</v>
      </c>
      <c r="Z75" s="185" t="str">
        <f t="shared" ca="1" si="165"/>
        <v>Completed</v>
      </c>
      <c r="AA75" s="186" t="str">
        <f t="shared" ca="1" si="166"/>
        <v/>
      </c>
    </row>
    <row r="76" spans="1:27" s="64" customFormat="1" ht="11.5" x14ac:dyDescent="0.25">
      <c r="A76" s="70" t="s">
        <v>61</v>
      </c>
      <c r="B76" s="70" t="s">
        <v>62</v>
      </c>
      <c r="C76" s="65" t="s">
        <v>94</v>
      </c>
      <c r="D76" s="73" t="s">
        <v>280</v>
      </c>
      <c r="E76" s="65" t="s">
        <v>101</v>
      </c>
      <c r="F76" s="66">
        <f t="shared" si="159"/>
        <v>0.79999999999999993</v>
      </c>
      <c r="G76" s="66">
        <f t="shared" si="160"/>
        <v>0.79999999999999993</v>
      </c>
      <c r="H76" s="66">
        <f t="shared" si="161"/>
        <v>1</v>
      </c>
      <c r="I76" s="66">
        <f t="shared" si="162"/>
        <v>0.20000000000000007</v>
      </c>
      <c r="J76" s="81">
        <v>0.15</v>
      </c>
      <c r="K76" s="68">
        <v>46157</v>
      </c>
      <c r="L76" s="72">
        <f t="shared" si="2"/>
        <v>46157</v>
      </c>
      <c r="M76" s="72">
        <v>46135</v>
      </c>
      <c r="N76" s="72">
        <f t="shared" si="3"/>
        <v>46199</v>
      </c>
      <c r="O76" s="72">
        <f t="shared" si="4"/>
        <v>46199</v>
      </c>
      <c r="P76" s="72">
        <v>46185</v>
      </c>
      <c r="Q76" s="72">
        <f t="shared" si="5"/>
        <v>46241</v>
      </c>
      <c r="R76" s="72">
        <f t="shared" si="6"/>
        <v>46241</v>
      </c>
      <c r="S76" s="72">
        <v>46185</v>
      </c>
      <c r="T76" s="72">
        <f t="shared" si="7"/>
        <v>46255</v>
      </c>
      <c r="U76" s="72">
        <f t="shared" si="8"/>
        <v>46255</v>
      </c>
      <c r="V76" s="72">
        <v>46192</v>
      </c>
      <c r="X76" s="185" t="str">
        <f t="shared" ca="1" si="163"/>
        <v>Completed</v>
      </c>
      <c r="Y76" s="185" t="str">
        <f t="shared" ca="1" si="164"/>
        <v>Completed</v>
      </c>
      <c r="Z76" s="185" t="str">
        <f t="shared" ca="1" si="165"/>
        <v>Completed</v>
      </c>
      <c r="AA76" s="186" t="str">
        <f t="shared" ca="1" si="166"/>
        <v>Completed</v>
      </c>
    </row>
    <row r="77" spans="1:27" s="64" customFormat="1" ht="11.5" x14ac:dyDescent="0.25">
      <c r="A77" s="70" t="s">
        <v>61</v>
      </c>
      <c r="B77" s="70" t="s">
        <v>62</v>
      </c>
      <c r="C77" s="65" t="s">
        <v>94</v>
      </c>
      <c r="D77" s="73" t="s">
        <v>281</v>
      </c>
      <c r="E77" s="65" t="s">
        <v>102</v>
      </c>
      <c r="F77" s="66">
        <f t="shared" si="159"/>
        <v>0.79999999999999993</v>
      </c>
      <c r="G77" s="66">
        <f t="shared" si="160"/>
        <v>0.79999999999999993</v>
      </c>
      <c r="H77" s="66">
        <f t="shared" si="161"/>
        <v>1</v>
      </c>
      <c r="I77" s="66">
        <f t="shared" si="162"/>
        <v>0.20000000000000007</v>
      </c>
      <c r="J77" s="81">
        <v>0.15</v>
      </c>
      <c r="K77" s="68">
        <v>46157</v>
      </c>
      <c r="L77" s="68">
        <f t="shared" si="2"/>
        <v>46157</v>
      </c>
      <c r="M77" s="72">
        <v>46135</v>
      </c>
      <c r="N77" s="68">
        <f t="shared" si="3"/>
        <v>46199</v>
      </c>
      <c r="O77" s="68">
        <f t="shared" si="4"/>
        <v>46199</v>
      </c>
      <c r="P77" s="72">
        <v>46185</v>
      </c>
      <c r="Q77" s="72">
        <f t="shared" si="5"/>
        <v>46241</v>
      </c>
      <c r="R77" s="72">
        <f t="shared" si="6"/>
        <v>46241</v>
      </c>
      <c r="S77" s="72">
        <v>46185</v>
      </c>
      <c r="T77" s="72">
        <f t="shared" si="7"/>
        <v>46255</v>
      </c>
      <c r="U77" s="72">
        <f t="shared" si="8"/>
        <v>46255</v>
      </c>
      <c r="V77" s="72">
        <v>46192</v>
      </c>
      <c r="X77" s="185" t="str">
        <f t="shared" ca="1" si="163"/>
        <v>Completed</v>
      </c>
      <c r="Y77" s="185" t="str">
        <f t="shared" ca="1" si="164"/>
        <v>Completed</v>
      </c>
      <c r="Z77" s="185" t="str">
        <f t="shared" ca="1" si="165"/>
        <v>Completed</v>
      </c>
      <c r="AA77" s="186" t="str">
        <f t="shared" ca="1" si="166"/>
        <v>Completed</v>
      </c>
    </row>
    <row r="78" spans="1:27" s="64" customFormat="1" ht="11.5" x14ac:dyDescent="0.25">
      <c r="A78" s="70" t="s">
        <v>61</v>
      </c>
      <c r="B78" s="70" t="s">
        <v>62</v>
      </c>
      <c r="C78" s="65" t="s">
        <v>94</v>
      </c>
      <c r="D78" s="82" t="s">
        <v>282</v>
      </c>
      <c r="E78" s="65" t="s">
        <v>103</v>
      </c>
      <c r="F78" s="66">
        <f t="shared" si="159"/>
        <v>0.79999999999999993</v>
      </c>
      <c r="G78" s="66">
        <f t="shared" si="160"/>
        <v>0.79999999999999993</v>
      </c>
      <c r="H78" s="66">
        <f t="shared" si="161"/>
        <v>0.79999999999999993</v>
      </c>
      <c r="I78" s="66">
        <f t="shared" si="162"/>
        <v>0</v>
      </c>
      <c r="J78" s="81">
        <v>0.15</v>
      </c>
      <c r="K78" s="68">
        <v>46157</v>
      </c>
      <c r="L78" s="68">
        <f t="shared" si="2"/>
        <v>46157</v>
      </c>
      <c r="M78" s="72">
        <v>46135</v>
      </c>
      <c r="N78" s="68">
        <f t="shared" si="3"/>
        <v>46199</v>
      </c>
      <c r="O78" s="68">
        <f t="shared" si="4"/>
        <v>46199</v>
      </c>
      <c r="P78" s="72">
        <v>46191</v>
      </c>
      <c r="Q78" s="72">
        <f t="shared" si="5"/>
        <v>46241</v>
      </c>
      <c r="R78" s="72">
        <f t="shared" si="6"/>
        <v>46241</v>
      </c>
      <c r="S78" s="150">
        <v>46241</v>
      </c>
      <c r="T78" s="72">
        <f t="shared" si="7"/>
        <v>46255</v>
      </c>
      <c r="U78" s="72">
        <f t="shared" si="8"/>
        <v>46255</v>
      </c>
      <c r="V78" s="76"/>
      <c r="X78" s="185" t="str">
        <f t="shared" ca="1" si="163"/>
        <v>Completed</v>
      </c>
      <c r="Y78" s="185" t="str">
        <f t="shared" ca="1" si="164"/>
        <v>Completed</v>
      </c>
      <c r="Z78" s="185" t="str">
        <f t="shared" ca="1" si="165"/>
        <v>Completed</v>
      </c>
      <c r="AA78" s="186" t="str">
        <f t="shared" ca="1" si="166"/>
        <v/>
      </c>
    </row>
    <row r="79" spans="1:27" s="64" customFormat="1" ht="11.5" x14ac:dyDescent="0.25">
      <c r="A79" s="70" t="s">
        <v>61</v>
      </c>
      <c r="B79" s="70" t="s">
        <v>62</v>
      </c>
      <c r="C79" s="65" t="s">
        <v>94</v>
      </c>
      <c r="D79" s="82" t="s">
        <v>283</v>
      </c>
      <c r="E79" s="65" t="s">
        <v>104</v>
      </c>
      <c r="F79" s="66">
        <f t="shared" si="159"/>
        <v>0.79999999999999993</v>
      </c>
      <c r="G79" s="66">
        <f t="shared" si="160"/>
        <v>0.79999999999999993</v>
      </c>
      <c r="H79" s="66">
        <f t="shared" si="161"/>
        <v>1</v>
      </c>
      <c r="I79" s="66">
        <f t="shared" si="162"/>
        <v>0.20000000000000007</v>
      </c>
      <c r="J79" s="81">
        <v>0.15</v>
      </c>
      <c r="K79" s="68">
        <v>46157</v>
      </c>
      <c r="L79" s="68">
        <f t="shared" si="2"/>
        <v>46157</v>
      </c>
      <c r="M79" s="72">
        <v>46135</v>
      </c>
      <c r="N79" s="68">
        <f t="shared" si="3"/>
        <v>46199</v>
      </c>
      <c r="O79" s="68">
        <f t="shared" si="4"/>
        <v>46199</v>
      </c>
      <c r="P79" s="72">
        <v>46185</v>
      </c>
      <c r="Q79" s="72">
        <f t="shared" si="5"/>
        <v>46241</v>
      </c>
      <c r="R79" s="72">
        <f t="shared" si="6"/>
        <v>46241</v>
      </c>
      <c r="S79" s="72">
        <v>46185</v>
      </c>
      <c r="T79" s="72">
        <f t="shared" si="7"/>
        <v>46255</v>
      </c>
      <c r="U79" s="72">
        <f t="shared" si="8"/>
        <v>46255</v>
      </c>
      <c r="V79" s="76">
        <v>46198</v>
      </c>
      <c r="X79" s="185" t="str">
        <f t="shared" ca="1" si="163"/>
        <v>Completed</v>
      </c>
      <c r="Y79" s="185" t="str">
        <f t="shared" ca="1" si="164"/>
        <v>Completed</v>
      </c>
      <c r="Z79" s="185" t="str">
        <f t="shared" ca="1" si="165"/>
        <v>Completed</v>
      </c>
      <c r="AA79" s="186" t="str">
        <f t="shared" ca="1" si="166"/>
        <v>Completed</v>
      </c>
    </row>
    <row r="80" spans="1:27" s="64" customFormat="1" ht="11.5" x14ac:dyDescent="0.25">
      <c r="A80" s="70" t="s">
        <v>61</v>
      </c>
      <c r="B80" s="70" t="s">
        <v>62</v>
      </c>
      <c r="C80" s="65" t="s">
        <v>94</v>
      </c>
      <c r="D80" s="73" t="s">
        <v>284</v>
      </c>
      <c r="E80" s="65" t="s">
        <v>105</v>
      </c>
      <c r="F80" s="66">
        <f t="shared" si="159"/>
        <v>0.79999999999999993</v>
      </c>
      <c r="G80" s="66">
        <f t="shared" si="160"/>
        <v>0.79999999999999993</v>
      </c>
      <c r="H80" s="66">
        <f t="shared" si="161"/>
        <v>0.79999999999999993</v>
      </c>
      <c r="I80" s="66">
        <f t="shared" si="162"/>
        <v>0</v>
      </c>
      <c r="J80" s="81">
        <v>0.15</v>
      </c>
      <c r="K80" s="68">
        <v>46157</v>
      </c>
      <c r="L80" s="68">
        <f t="shared" si="2"/>
        <v>46157</v>
      </c>
      <c r="M80" s="72">
        <v>46135</v>
      </c>
      <c r="N80" s="68">
        <f t="shared" si="3"/>
        <v>46199</v>
      </c>
      <c r="O80" s="68">
        <f t="shared" si="4"/>
        <v>46199</v>
      </c>
      <c r="P80" s="72">
        <v>46191</v>
      </c>
      <c r="Q80" s="72">
        <f t="shared" si="5"/>
        <v>46241</v>
      </c>
      <c r="R80" s="72">
        <f t="shared" si="6"/>
        <v>46241</v>
      </c>
      <c r="S80" s="150">
        <v>46241</v>
      </c>
      <c r="T80" s="72">
        <f t="shared" si="7"/>
        <v>46255</v>
      </c>
      <c r="U80" s="72">
        <f t="shared" si="8"/>
        <v>46255</v>
      </c>
      <c r="V80" s="76"/>
      <c r="X80" s="185" t="str">
        <f t="shared" ca="1" si="163"/>
        <v>Completed</v>
      </c>
      <c r="Y80" s="185" t="str">
        <f t="shared" ca="1" si="164"/>
        <v>Completed</v>
      </c>
      <c r="Z80" s="185" t="str">
        <f t="shared" ca="1" si="165"/>
        <v>Completed</v>
      </c>
      <c r="AA80" s="186" t="str">
        <f t="shared" ca="1" si="166"/>
        <v/>
      </c>
    </row>
    <row r="81" spans="1:27" s="64" customFormat="1" ht="11.5" x14ac:dyDescent="0.25">
      <c r="A81" s="70" t="s">
        <v>61</v>
      </c>
      <c r="B81" s="70" t="s">
        <v>62</v>
      </c>
      <c r="C81" s="65" t="s">
        <v>94</v>
      </c>
      <c r="D81" s="73" t="s">
        <v>285</v>
      </c>
      <c r="E81" s="65" t="s">
        <v>106</v>
      </c>
      <c r="F81" s="66">
        <f t="shared" si="159"/>
        <v>0.79999999999999993</v>
      </c>
      <c r="G81" s="66">
        <f t="shared" si="160"/>
        <v>0.79999999999999993</v>
      </c>
      <c r="H81" s="66">
        <f t="shared" si="161"/>
        <v>0.79999999999999993</v>
      </c>
      <c r="I81" s="66">
        <f t="shared" si="162"/>
        <v>0</v>
      </c>
      <c r="J81" s="81">
        <v>0.15</v>
      </c>
      <c r="K81" s="68">
        <v>46157</v>
      </c>
      <c r="L81" s="68">
        <f t="shared" si="2"/>
        <v>46157</v>
      </c>
      <c r="M81" s="72">
        <v>46135</v>
      </c>
      <c r="N81" s="68">
        <f t="shared" si="3"/>
        <v>46199</v>
      </c>
      <c r="O81" s="68">
        <f t="shared" si="4"/>
        <v>46199</v>
      </c>
      <c r="P81" s="72">
        <v>46191</v>
      </c>
      <c r="Q81" s="72">
        <f t="shared" si="5"/>
        <v>46241</v>
      </c>
      <c r="R81" s="72">
        <f t="shared" si="6"/>
        <v>46241</v>
      </c>
      <c r="S81" s="150">
        <v>46241</v>
      </c>
      <c r="T81" s="72">
        <f t="shared" si="7"/>
        <v>46255</v>
      </c>
      <c r="U81" s="72">
        <f t="shared" si="8"/>
        <v>46255</v>
      </c>
      <c r="V81" s="76"/>
      <c r="X81" s="185" t="str">
        <f t="shared" ca="1" si="163"/>
        <v>Completed</v>
      </c>
      <c r="Y81" s="185" t="str">
        <f t="shared" ca="1" si="164"/>
        <v>Completed</v>
      </c>
      <c r="Z81" s="185" t="str">
        <f t="shared" ca="1" si="165"/>
        <v>Completed</v>
      </c>
      <c r="AA81" s="186" t="str">
        <f t="shared" ca="1" si="166"/>
        <v/>
      </c>
    </row>
    <row r="82" spans="1:27" s="64" customFormat="1" ht="11.5" x14ac:dyDescent="0.25">
      <c r="A82" s="70" t="s">
        <v>61</v>
      </c>
      <c r="B82" s="70" t="s">
        <v>62</v>
      </c>
      <c r="C82" s="65" t="s">
        <v>94</v>
      </c>
      <c r="D82" s="82" t="s">
        <v>286</v>
      </c>
      <c r="E82" s="65" t="s">
        <v>107</v>
      </c>
      <c r="F82" s="66">
        <f t="shared" si="159"/>
        <v>0.79999999999999993</v>
      </c>
      <c r="G82" s="66">
        <f t="shared" si="160"/>
        <v>0.79999999999999993</v>
      </c>
      <c r="H82" s="66">
        <f t="shared" si="161"/>
        <v>0.7</v>
      </c>
      <c r="I82" s="66">
        <f t="shared" si="162"/>
        <v>-9.9999999999999978E-2</v>
      </c>
      <c r="J82" s="81">
        <v>0.15</v>
      </c>
      <c r="K82" s="68">
        <v>46157</v>
      </c>
      <c r="L82" s="68">
        <f t="shared" si="2"/>
        <v>46157</v>
      </c>
      <c r="M82" s="72">
        <v>46135</v>
      </c>
      <c r="N82" s="68">
        <f t="shared" si="3"/>
        <v>46199</v>
      </c>
      <c r="O82" s="68">
        <f t="shared" si="4"/>
        <v>46199</v>
      </c>
      <c r="P82" s="150">
        <v>46241</v>
      </c>
      <c r="Q82" s="72">
        <f t="shared" si="5"/>
        <v>46241</v>
      </c>
      <c r="R82" s="72">
        <f t="shared" si="6"/>
        <v>46241</v>
      </c>
      <c r="S82" s="72"/>
      <c r="T82" s="72">
        <f t="shared" si="7"/>
        <v>46255</v>
      </c>
      <c r="U82" s="72">
        <f t="shared" si="8"/>
        <v>46255</v>
      </c>
      <c r="V82" s="76"/>
      <c r="X82" s="185" t="str">
        <f t="shared" ca="1" si="163"/>
        <v>Completed</v>
      </c>
      <c r="Y82" s="185" t="str">
        <f t="shared" ca="1" si="164"/>
        <v>Completed</v>
      </c>
      <c r="Z82" s="185" t="str">
        <f t="shared" ca="1" si="165"/>
        <v>Overdue</v>
      </c>
      <c r="AA82" s="186" t="str">
        <f t="shared" ca="1" si="166"/>
        <v/>
      </c>
    </row>
    <row r="83" spans="1:27" s="64" customFormat="1" ht="11" customHeight="1" x14ac:dyDescent="0.25">
      <c r="A83" s="70" t="s">
        <v>61</v>
      </c>
      <c r="B83" s="70" t="s">
        <v>62</v>
      </c>
      <c r="C83" s="65" t="s">
        <v>94</v>
      </c>
      <c r="D83" s="82" t="s">
        <v>287</v>
      </c>
      <c r="E83" s="65" t="s">
        <v>108</v>
      </c>
      <c r="F83" s="66">
        <f t="shared" si="159"/>
        <v>0.79999999999999993</v>
      </c>
      <c r="G83" s="66">
        <f t="shared" si="160"/>
        <v>0.79999999999999993</v>
      </c>
      <c r="H83" s="66">
        <f t="shared" si="161"/>
        <v>1</v>
      </c>
      <c r="I83" s="66">
        <f t="shared" si="162"/>
        <v>0.20000000000000007</v>
      </c>
      <c r="J83" s="81">
        <v>0.15</v>
      </c>
      <c r="K83" s="68">
        <v>46157</v>
      </c>
      <c r="L83" s="68">
        <f t="shared" si="2"/>
        <v>46157</v>
      </c>
      <c r="M83" s="72">
        <v>46135</v>
      </c>
      <c r="N83" s="68">
        <f t="shared" si="3"/>
        <v>46199</v>
      </c>
      <c r="O83" s="68">
        <f t="shared" si="4"/>
        <v>46199</v>
      </c>
      <c r="P83" s="72">
        <v>46185</v>
      </c>
      <c r="Q83" s="72">
        <f t="shared" si="5"/>
        <v>46241</v>
      </c>
      <c r="R83" s="72">
        <f t="shared" si="6"/>
        <v>46241</v>
      </c>
      <c r="S83" s="72">
        <v>46185</v>
      </c>
      <c r="T83" s="72">
        <f t="shared" si="7"/>
        <v>46255</v>
      </c>
      <c r="U83" s="72">
        <f t="shared" si="8"/>
        <v>46255</v>
      </c>
      <c r="V83" s="72">
        <v>46192</v>
      </c>
      <c r="X83" s="185" t="str">
        <f t="shared" ca="1" si="163"/>
        <v>Completed</v>
      </c>
      <c r="Y83" s="185" t="str">
        <f t="shared" ca="1" si="164"/>
        <v>Completed</v>
      </c>
      <c r="Z83" s="185" t="str">
        <f t="shared" ca="1" si="165"/>
        <v>Completed</v>
      </c>
      <c r="AA83" s="186" t="str">
        <f t="shared" ca="1" si="166"/>
        <v>Completed</v>
      </c>
    </row>
    <row r="84" spans="1:27" s="64" customFormat="1" ht="11" customHeight="1" x14ac:dyDescent="0.25">
      <c r="A84" s="70" t="s">
        <v>61</v>
      </c>
      <c r="B84" s="70" t="s">
        <v>62</v>
      </c>
      <c r="C84" s="65" t="s">
        <v>94</v>
      </c>
      <c r="D84" s="73" t="s">
        <v>288</v>
      </c>
      <c r="E84" s="65" t="s">
        <v>109</v>
      </c>
      <c r="F84" s="66">
        <f t="shared" si="159"/>
        <v>0.79999999999999993</v>
      </c>
      <c r="G84" s="66">
        <f t="shared" si="160"/>
        <v>0.79999999999999993</v>
      </c>
      <c r="H84" s="66">
        <f t="shared" si="161"/>
        <v>1</v>
      </c>
      <c r="I84" s="66">
        <f t="shared" si="162"/>
        <v>0.20000000000000007</v>
      </c>
      <c r="J84" s="81">
        <v>0.15</v>
      </c>
      <c r="K84" s="68">
        <v>46157</v>
      </c>
      <c r="L84" s="68">
        <f t="shared" si="2"/>
        <v>46157</v>
      </c>
      <c r="M84" s="72">
        <v>46135</v>
      </c>
      <c r="N84" s="68">
        <f t="shared" si="3"/>
        <v>46199</v>
      </c>
      <c r="O84" s="68">
        <f t="shared" si="4"/>
        <v>46199</v>
      </c>
      <c r="P84" s="72">
        <v>46185</v>
      </c>
      <c r="Q84" s="72">
        <f t="shared" si="5"/>
        <v>46241</v>
      </c>
      <c r="R84" s="72">
        <f t="shared" si="6"/>
        <v>46241</v>
      </c>
      <c r="S84" s="72">
        <v>46185</v>
      </c>
      <c r="T84" s="72">
        <f t="shared" si="7"/>
        <v>46255</v>
      </c>
      <c r="U84" s="72">
        <f t="shared" si="8"/>
        <v>46255</v>
      </c>
      <c r="V84" s="76">
        <v>46198</v>
      </c>
      <c r="X84" s="185" t="str">
        <f t="shared" ca="1" si="163"/>
        <v>Completed</v>
      </c>
      <c r="Y84" s="185" t="str">
        <f t="shared" ca="1" si="164"/>
        <v>Completed</v>
      </c>
      <c r="Z84" s="185" t="str">
        <f t="shared" ca="1" si="165"/>
        <v>Completed</v>
      </c>
      <c r="AA84" s="186" t="str">
        <f t="shared" ca="1" si="166"/>
        <v>Completed</v>
      </c>
    </row>
    <row r="85" spans="1:27" s="64" customFormat="1" ht="11" customHeight="1" x14ac:dyDescent="0.25">
      <c r="A85" s="70" t="s">
        <v>61</v>
      </c>
      <c r="B85" s="70" t="s">
        <v>62</v>
      </c>
      <c r="C85" s="65" t="s">
        <v>94</v>
      </c>
      <c r="D85" s="73" t="s">
        <v>289</v>
      </c>
      <c r="E85" s="65" t="s">
        <v>110</v>
      </c>
      <c r="F85" s="66">
        <f t="shared" si="159"/>
        <v>0.79999999999999993</v>
      </c>
      <c r="G85" s="66">
        <f t="shared" si="160"/>
        <v>0.79999999999999993</v>
      </c>
      <c r="H85" s="66">
        <f t="shared" si="161"/>
        <v>0.7</v>
      </c>
      <c r="I85" s="66">
        <f t="shared" si="162"/>
        <v>-9.9999999999999978E-2</v>
      </c>
      <c r="J85" s="81">
        <v>0.15</v>
      </c>
      <c r="K85" s="68">
        <v>46157</v>
      </c>
      <c r="L85" s="68">
        <f t="shared" si="2"/>
        <v>46157</v>
      </c>
      <c r="M85" s="72">
        <v>46135</v>
      </c>
      <c r="N85" s="68">
        <f t="shared" si="3"/>
        <v>46199</v>
      </c>
      <c r="O85" s="68">
        <f t="shared" si="4"/>
        <v>46199</v>
      </c>
      <c r="P85" s="150">
        <v>46241</v>
      </c>
      <c r="Q85" s="72">
        <f t="shared" si="5"/>
        <v>46241</v>
      </c>
      <c r="R85" s="72">
        <f t="shared" si="6"/>
        <v>46241</v>
      </c>
      <c r="S85" s="72"/>
      <c r="T85" s="72">
        <f t="shared" si="7"/>
        <v>46255</v>
      </c>
      <c r="U85" s="72">
        <f t="shared" si="8"/>
        <v>46255</v>
      </c>
      <c r="V85" s="76"/>
      <c r="X85" s="185" t="str">
        <f t="shared" ca="1" si="163"/>
        <v>Completed</v>
      </c>
      <c r="Y85" s="185" t="str">
        <f t="shared" ca="1" si="164"/>
        <v>Completed</v>
      </c>
      <c r="Z85" s="185" t="str">
        <f t="shared" ca="1" si="165"/>
        <v>Overdue</v>
      </c>
      <c r="AA85" s="186" t="str">
        <f t="shared" ca="1" si="166"/>
        <v/>
      </c>
    </row>
    <row r="86" spans="1:27" s="64" customFormat="1" ht="11.5" x14ac:dyDescent="0.25">
      <c r="A86" s="70" t="s">
        <v>61</v>
      </c>
      <c r="B86" s="70" t="s">
        <v>62</v>
      </c>
      <c r="C86" s="70" t="s">
        <v>94</v>
      </c>
      <c r="D86" s="75" t="s">
        <v>290</v>
      </c>
      <c r="E86" s="75" t="s">
        <v>111</v>
      </c>
      <c r="F86" s="116">
        <f t="shared" ref="F86:G101" si="167">(COUNTIFS(K86,"&lt;="&amp;$D$1)*50%)+(COUNTIFS(N86,"&lt;="&amp;$D$1)*20%)+(COUNTIFS(Q86,"&lt;="&amp;$D$1)*10%)+(COUNTIFS(T86,"&lt;="&amp;$D$1)*20%)</f>
        <v>0.79999999999999993</v>
      </c>
      <c r="G86" s="116">
        <f>(COUNTIFS(L86,"&lt;="&amp;$D$1)*50%)+(COUNTIFS(O86,"&lt;="&amp;$D$1)*20%)+(COUNTIFS(R86,"&lt;="&amp;$D$1)*10%)+(COUNTIFS(U86,"&lt;="&amp;$D$1)*20%)</f>
        <v>0.79999999999999993</v>
      </c>
      <c r="H86" s="116">
        <f t="shared" ref="G86:H108" si="168">(COUNTIFS(M86,"&lt;="&amp;$D$1)*50%)+(COUNTIFS(P86,"&lt;="&amp;$D$1)*20%)+(COUNTIFS(S86,"&lt;="&amp;$D$1)*10%)+(COUNTIFS(V86,"&lt;="&amp;$D$1)*20%)</f>
        <v>0.7</v>
      </c>
      <c r="I86" s="116">
        <f t="shared" ref="I86:I145" si="169">H86-F86</f>
        <v>-9.9999999999999978E-2</v>
      </c>
      <c r="J86" s="81">
        <v>0.15</v>
      </c>
      <c r="K86" s="68">
        <v>46157</v>
      </c>
      <c r="L86" s="72">
        <f t="shared" si="2"/>
        <v>46157</v>
      </c>
      <c r="M86" s="72">
        <v>46135</v>
      </c>
      <c r="N86" s="72">
        <f t="shared" si="3"/>
        <v>46199</v>
      </c>
      <c r="O86" s="72">
        <f t="shared" si="4"/>
        <v>46199</v>
      </c>
      <c r="P86" s="150">
        <v>46241</v>
      </c>
      <c r="Q86" s="72">
        <f t="shared" si="5"/>
        <v>46241</v>
      </c>
      <c r="R86" s="72">
        <f t="shared" si="6"/>
        <v>46241</v>
      </c>
      <c r="S86" s="74"/>
      <c r="T86" s="72">
        <f t="shared" si="7"/>
        <v>46255</v>
      </c>
      <c r="U86" s="72">
        <f t="shared" si="8"/>
        <v>46255</v>
      </c>
      <c r="V86" s="72"/>
      <c r="X86" s="185" t="str">
        <f t="shared" ca="1" si="163"/>
        <v>Completed</v>
      </c>
      <c r="Y86" s="185" t="str">
        <f t="shared" ca="1" si="164"/>
        <v>Completed</v>
      </c>
      <c r="Z86" s="185" t="str">
        <f t="shared" ca="1" si="165"/>
        <v>Overdue</v>
      </c>
      <c r="AA86" s="186" t="str">
        <f t="shared" ca="1" si="166"/>
        <v/>
      </c>
    </row>
    <row r="87" spans="1:27" s="64" customFormat="1" ht="11.5" x14ac:dyDescent="0.25">
      <c r="A87" s="70" t="s">
        <v>61</v>
      </c>
      <c r="B87" s="70" t="s">
        <v>62</v>
      </c>
      <c r="C87" s="70" t="s">
        <v>94</v>
      </c>
      <c r="D87" s="75" t="s">
        <v>291</v>
      </c>
      <c r="E87" s="75" t="s">
        <v>112</v>
      </c>
      <c r="F87" s="116">
        <f t="shared" si="167"/>
        <v>0.79999999999999993</v>
      </c>
      <c r="G87" s="116">
        <f t="shared" si="167"/>
        <v>0.79999999999999993</v>
      </c>
      <c r="H87" s="116">
        <f t="shared" si="168"/>
        <v>1</v>
      </c>
      <c r="I87" s="116">
        <f t="shared" si="169"/>
        <v>0.20000000000000007</v>
      </c>
      <c r="J87" s="81">
        <v>0.15</v>
      </c>
      <c r="K87" s="68">
        <v>46157</v>
      </c>
      <c r="L87" s="72">
        <f t="shared" ref="L87:L158" si="170">K87</f>
        <v>46157</v>
      </c>
      <c r="M87" s="72">
        <v>46135</v>
      </c>
      <c r="N87" s="72">
        <f t="shared" ref="N87:N158" si="171">K87+42</f>
        <v>46199</v>
      </c>
      <c r="O87" s="72">
        <f t="shared" ref="O87:O158" si="172">N87</f>
        <v>46199</v>
      </c>
      <c r="P87" s="72">
        <v>46185</v>
      </c>
      <c r="Q87" s="72">
        <f t="shared" ref="Q87:Q158" si="173">N87+42</f>
        <v>46241</v>
      </c>
      <c r="R87" s="72">
        <f t="shared" ref="R87:R158" si="174">Q87</f>
        <v>46241</v>
      </c>
      <c r="S87" s="72">
        <v>46185</v>
      </c>
      <c r="T87" s="72">
        <f t="shared" ref="T87:T158" si="175">Q87+14</f>
        <v>46255</v>
      </c>
      <c r="U87" s="72">
        <f t="shared" ref="U87:U158" si="176">T87</f>
        <v>46255</v>
      </c>
      <c r="V87" s="76">
        <v>46198</v>
      </c>
      <c r="X87" s="185" t="str">
        <f t="shared" ca="1" si="163"/>
        <v>Completed</v>
      </c>
      <c r="Y87" s="185" t="str">
        <f t="shared" ca="1" si="164"/>
        <v>Completed</v>
      </c>
      <c r="Z87" s="185" t="str">
        <f t="shared" ca="1" si="165"/>
        <v>Completed</v>
      </c>
      <c r="AA87" s="186" t="str">
        <f t="shared" ca="1" si="166"/>
        <v>Completed</v>
      </c>
    </row>
    <row r="88" spans="1:27" s="64" customFormat="1" ht="11.5" x14ac:dyDescent="0.25">
      <c r="A88" s="70" t="s">
        <v>61</v>
      </c>
      <c r="B88" s="70" t="s">
        <v>62</v>
      </c>
      <c r="C88" s="70" t="s">
        <v>94</v>
      </c>
      <c r="D88" s="75" t="s">
        <v>292</v>
      </c>
      <c r="E88" s="75" t="s">
        <v>113</v>
      </c>
      <c r="F88" s="116">
        <f t="shared" si="167"/>
        <v>0.79999999999999993</v>
      </c>
      <c r="G88" s="116">
        <f t="shared" si="167"/>
        <v>0.79999999999999993</v>
      </c>
      <c r="H88" s="116">
        <f t="shared" si="168"/>
        <v>1</v>
      </c>
      <c r="I88" s="116">
        <f t="shared" si="169"/>
        <v>0.20000000000000007</v>
      </c>
      <c r="J88" s="81">
        <v>0.15</v>
      </c>
      <c r="K88" s="68">
        <v>46157</v>
      </c>
      <c r="L88" s="72">
        <f t="shared" si="170"/>
        <v>46157</v>
      </c>
      <c r="M88" s="72">
        <v>46135</v>
      </c>
      <c r="N88" s="72">
        <f t="shared" si="171"/>
        <v>46199</v>
      </c>
      <c r="O88" s="72">
        <f t="shared" si="172"/>
        <v>46199</v>
      </c>
      <c r="P88" s="72">
        <v>46185</v>
      </c>
      <c r="Q88" s="72">
        <f t="shared" si="173"/>
        <v>46241</v>
      </c>
      <c r="R88" s="72">
        <f t="shared" si="174"/>
        <v>46241</v>
      </c>
      <c r="S88" s="72">
        <v>46185</v>
      </c>
      <c r="T88" s="72">
        <f t="shared" si="175"/>
        <v>46255</v>
      </c>
      <c r="U88" s="72">
        <f t="shared" si="176"/>
        <v>46255</v>
      </c>
      <c r="V88" s="76">
        <v>46198</v>
      </c>
      <c r="X88" s="185" t="str">
        <f t="shared" ca="1" si="163"/>
        <v>Completed</v>
      </c>
      <c r="Y88" s="185" t="str">
        <f t="shared" ca="1" si="164"/>
        <v>Completed</v>
      </c>
      <c r="Z88" s="185" t="str">
        <f t="shared" ca="1" si="165"/>
        <v>Completed</v>
      </c>
      <c r="AA88" s="186" t="str">
        <f t="shared" ca="1" si="166"/>
        <v>Completed</v>
      </c>
    </row>
    <row r="89" spans="1:27" s="64" customFormat="1" ht="11.5" x14ac:dyDescent="0.25">
      <c r="A89" s="70" t="s">
        <v>61</v>
      </c>
      <c r="B89" s="70" t="s">
        <v>62</v>
      </c>
      <c r="C89" s="70" t="s">
        <v>94</v>
      </c>
      <c r="D89" s="75" t="s">
        <v>467</v>
      </c>
      <c r="E89" s="75" t="s">
        <v>468</v>
      </c>
      <c r="F89" s="116">
        <f t="shared" si="167"/>
        <v>0.79999999999999993</v>
      </c>
      <c r="G89" s="116">
        <f t="shared" si="167"/>
        <v>0.79999999999999993</v>
      </c>
      <c r="H89" s="116">
        <f t="shared" si="168"/>
        <v>1</v>
      </c>
      <c r="I89" s="116">
        <f t="shared" si="169"/>
        <v>0.20000000000000007</v>
      </c>
      <c r="J89" s="81">
        <v>0.15</v>
      </c>
      <c r="K89" s="68">
        <v>46157</v>
      </c>
      <c r="L89" s="72">
        <f t="shared" si="170"/>
        <v>46157</v>
      </c>
      <c r="M89" s="72">
        <v>46135</v>
      </c>
      <c r="N89" s="72">
        <f t="shared" si="171"/>
        <v>46199</v>
      </c>
      <c r="O89" s="72">
        <f t="shared" si="172"/>
        <v>46199</v>
      </c>
      <c r="P89" s="72">
        <v>46185</v>
      </c>
      <c r="Q89" s="72">
        <f t="shared" si="173"/>
        <v>46241</v>
      </c>
      <c r="R89" s="72">
        <f t="shared" si="174"/>
        <v>46241</v>
      </c>
      <c r="S89" s="72">
        <v>46185</v>
      </c>
      <c r="T89" s="72">
        <f t="shared" si="175"/>
        <v>46255</v>
      </c>
      <c r="U89" s="72">
        <f t="shared" si="176"/>
        <v>46255</v>
      </c>
      <c r="V89" s="72">
        <v>46192</v>
      </c>
      <c r="X89" s="185" t="str">
        <f t="shared" ca="1" si="163"/>
        <v>Completed</v>
      </c>
      <c r="Y89" s="185" t="str">
        <f t="shared" ca="1" si="164"/>
        <v>Completed</v>
      </c>
      <c r="Z89" s="185" t="str">
        <f t="shared" ca="1" si="165"/>
        <v>Completed</v>
      </c>
      <c r="AA89" s="186" t="str">
        <f t="shared" ca="1" si="166"/>
        <v>Completed</v>
      </c>
    </row>
    <row r="90" spans="1:27" s="64" customFormat="1" ht="11.5" x14ac:dyDescent="0.25">
      <c r="A90" s="70" t="s">
        <v>61</v>
      </c>
      <c r="B90" s="70" t="s">
        <v>62</v>
      </c>
      <c r="C90" s="70" t="s">
        <v>94</v>
      </c>
      <c r="D90" s="75" t="s">
        <v>293</v>
      </c>
      <c r="E90" s="75" t="s">
        <v>114</v>
      </c>
      <c r="F90" s="116">
        <f t="shared" si="167"/>
        <v>0.5</v>
      </c>
      <c r="G90" s="116">
        <f t="shared" si="167"/>
        <v>0.5</v>
      </c>
      <c r="H90" s="116">
        <f t="shared" si="168"/>
        <v>0</v>
      </c>
      <c r="I90" s="116">
        <f t="shared" si="169"/>
        <v>-0.5</v>
      </c>
      <c r="J90" s="81">
        <v>0.05</v>
      </c>
      <c r="K90" s="72">
        <v>46234</v>
      </c>
      <c r="L90" s="72">
        <f t="shared" si="170"/>
        <v>46234</v>
      </c>
      <c r="M90" s="72"/>
      <c r="N90" s="72">
        <f t="shared" si="171"/>
        <v>46276</v>
      </c>
      <c r="O90" s="72">
        <f t="shared" si="172"/>
        <v>46276</v>
      </c>
      <c r="P90" s="74"/>
      <c r="Q90" s="72">
        <f t="shared" si="173"/>
        <v>46318</v>
      </c>
      <c r="R90" s="72">
        <f t="shared" si="174"/>
        <v>46318</v>
      </c>
      <c r="S90" s="74"/>
      <c r="T90" s="72">
        <f t="shared" si="175"/>
        <v>46332</v>
      </c>
      <c r="U90" s="72">
        <f t="shared" si="176"/>
        <v>46332</v>
      </c>
      <c r="V90" s="72"/>
      <c r="X90" s="185" t="str">
        <f t="shared" ca="1" si="163"/>
        <v>Overdue</v>
      </c>
      <c r="Y90" s="185" t="str">
        <f t="shared" ca="1" si="164"/>
        <v/>
      </c>
      <c r="Z90" s="185" t="str">
        <f t="shared" ca="1" si="165"/>
        <v/>
      </c>
      <c r="AA90" s="186" t="str">
        <f t="shared" ca="1" si="166"/>
        <v/>
      </c>
    </row>
    <row r="91" spans="1:27" s="64" customFormat="1" ht="11.5" x14ac:dyDescent="0.25">
      <c r="A91" s="70" t="s">
        <v>61</v>
      </c>
      <c r="B91" s="70" t="s">
        <v>62</v>
      </c>
      <c r="C91" s="70" t="s">
        <v>94</v>
      </c>
      <c r="D91" s="75" t="s">
        <v>294</v>
      </c>
      <c r="E91" s="75" t="s">
        <v>115</v>
      </c>
      <c r="F91" s="116">
        <f t="shared" si="167"/>
        <v>0.5</v>
      </c>
      <c r="G91" s="116">
        <f t="shared" si="167"/>
        <v>0.5</v>
      </c>
      <c r="H91" s="116">
        <f t="shared" si="168"/>
        <v>0</v>
      </c>
      <c r="I91" s="116">
        <f t="shared" si="169"/>
        <v>-0.5</v>
      </c>
      <c r="J91" s="81">
        <v>0.05</v>
      </c>
      <c r="K91" s="72">
        <v>46234</v>
      </c>
      <c r="L91" s="72">
        <f t="shared" si="170"/>
        <v>46234</v>
      </c>
      <c r="M91" s="72"/>
      <c r="N91" s="72">
        <f t="shared" si="171"/>
        <v>46276</v>
      </c>
      <c r="O91" s="72">
        <f t="shared" si="172"/>
        <v>46276</v>
      </c>
      <c r="P91" s="74"/>
      <c r="Q91" s="72">
        <f t="shared" si="173"/>
        <v>46318</v>
      </c>
      <c r="R91" s="72">
        <f t="shared" si="174"/>
        <v>46318</v>
      </c>
      <c r="S91" s="74"/>
      <c r="T91" s="72">
        <f t="shared" si="175"/>
        <v>46332</v>
      </c>
      <c r="U91" s="72">
        <f t="shared" si="176"/>
        <v>46332</v>
      </c>
      <c r="V91" s="72"/>
      <c r="X91" s="185" t="str">
        <f t="shared" ca="1" si="163"/>
        <v>Overdue</v>
      </c>
      <c r="Y91" s="185" t="str">
        <f t="shared" ca="1" si="164"/>
        <v/>
      </c>
      <c r="Z91" s="185" t="str">
        <f t="shared" ca="1" si="165"/>
        <v/>
      </c>
      <c r="AA91" s="186" t="str">
        <f t="shared" ca="1" si="166"/>
        <v/>
      </c>
    </row>
    <row r="92" spans="1:27" s="64" customFormat="1" ht="11.5" x14ac:dyDescent="0.25">
      <c r="A92" s="70" t="s">
        <v>61</v>
      </c>
      <c r="B92" s="70" t="s">
        <v>62</v>
      </c>
      <c r="C92" s="70" t="s">
        <v>94</v>
      </c>
      <c r="D92" s="75" t="s">
        <v>411</v>
      </c>
      <c r="E92" s="75" t="s">
        <v>412</v>
      </c>
      <c r="F92" s="116">
        <f t="shared" ref="F92" si="177">(COUNTIFS(K92,"&lt;="&amp;$D$1)*50%)+(COUNTIFS(N92,"&lt;="&amp;$D$1)*20%)+(COUNTIFS(Q92,"&lt;="&amp;$D$1)*10%)+(COUNTIFS(T92,"&lt;="&amp;$D$1)*20%)</f>
        <v>0.5</v>
      </c>
      <c r="G92" s="116">
        <f t="shared" ref="G92" si="178">(COUNTIFS(L92,"&lt;="&amp;$D$1)*50%)+(COUNTIFS(O92,"&lt;="&amp;$D$1)*20%)+(COUNTIFS(R92,"&lt;="&amp;$D$1)*10%)+(COUNTIFS(U92,"&lt;="&amp;$D$1)*20%)</f>
        <v>0.5</v>
      </c>
      <c r="H92" s="116">
        <f t="shared" ref="H92" si="179">(COUNTIFS(M92,"&lt;="&amp;$D$1)*50%)+(COUNTIFS(P92,"&lt;="&amp;$D$1)*20%)+(COUNTIFS(S92,"&lt;="&amp;$D$1)*10%)+(COUNTIFS(V92,"&lt;="&amp;$D$1)*20%)</f>
        <v>0</v>
      </c>
      <c r="I92" s="116">
        <f t="shared" ref="I92" si="180">H92-F92</f>
        <v>-0.5</v>
      </c>
      <c r="J92" s="81">
        <v>0.05</v>
      </c>
      <c r="K92" s="72">
        <v>46234</v>
      </c>
      <c r="L92" s="72">
        <f t="shared" ref="L92" si="181">K92</f>
        <v>46234</v>
      </c>
      <c r="M92" s="72"/>
      <c r="N92" s="72">
        <f t="shared" ref="N92" si="182">K92+42</f>
        <v>46276</v>
      </c>
      <c r="O92" s="72">
        <f t="shared" ref="O92" si="183">N92</f>
        <v>46276</v>
      </c>
      <c r="P92" s="74"/>
      <c r="Q92" s="72">
        <f t="shared" ref="Q92" si="184">N92+42</f>
        <v>46318</v>
      </c>
      <c r="R92" s="72">
        <f t="shared" ref="R92" si="185">Q92</f>
        <v>46318</v>
      </c>
      <c r="S92" s="74"/>
      <c r="T92" s="72">
        <f t="shared" ref="T92" si="186">Q92+14</f>
        <v>46332</v>
      </c>
      <c r="U92" s="72">
        <f t="shared" ref="U92" si="187">T92</f>
        <v>46332</v>
      </c>
      <c r="V92" s="72"/>
      <c r="X92" s="185" t="str">
        <f t="shared" ca="1" si="163"/>
        <v>Overdue</v>
      </c>
      <c r="Y92" s="185" t="str">
        <f t="shared" ca="1" si="164"/>
        <v/>
      </c>
      <c r="Z92" s="185" t="str">
        <f t="shared" ca="1" si="165"/>
        <v/>
      </c>
      <c r="AA92" s="186" t="str">
        <f t="shared" ca="1" si="166"/>
        <v/>
      </c>
    </row>
    <row r="93" spans="1:27" s="64" customFormat="1" ht="11.5" x14ac:dyDescent="0.25">
      <c r="A93" s="70" t="s">
        <v>61</v>
      </c>
      <c r="B93" s="70" t="s">
        <v>62</v>
      </c>
      <c r="C93" s="70" t="s">
        <v>94</v>
      </c>
      <c r="D93" s="75" t="s">
        <v>295</v>
      </c>
      <c r="E93" s="75" t="s">
        <v>116</v>
      </c>
      <c r="F93" s="116">
        <f t="shared" si="167"/>
        <v>0.5</v>
      </c>
      <c r="G93" s="116">
        <f t="shared" si="167"/>
        <v>0.5</v>
      </c>
      <c r="H93" s="116">
        <f t="shared" si="168"/>
        <v>0.7</v>
      </c>
      <c r="I93" s="116">
        <f t="shared" si="169"/>
        <v>0.19999999999999996</v>
      </c>
      <c r="J93" s="81">
        <v>0.15</v>
      </c>
      <c r="K93" s="72">
        <v>46234</v>
      </c>
      <c r="L93" s="72">
        <f t="shared" si="170"/>
        <v>46234</v>
      </c>
      <c r="M93" s="72">
        <v>46150</v>
      </c>
      <c r="N93" s="72">
        <f t="shared" si="171"/>
        <v>46276</v>
      </c>
      <c r="O93" s="72">
        <f t="shared" si="172"/>
        <v>46276</v>
      </c>
      <c r="P93" s="74">
        <v>46227</v>
      </c>
      <c r="Q93" s="72">
        <f t="shared" si="173"/>
        <v>46318</v>
      </c>
      <c r="R93" s="72">
        <f t="shared" si="174"/>
        <v>46318</v>
      </c>
      <c r="S93" s="74"/>
      <c r="T93" s="72">
        <f t="shared" si="175"/>
        <v>46332</v>
      </c>
      <c r="U93" s="72">
        <f t="shared" si="176"/>
        <v>46332</v>
      </c>
      <c r="V93" s="72"/>
      <c r="X93" s="185" t="str">
        <f t="shared" ca="1" si="163"/>
        <v>Completed</v>
      </c>
      <c r="Y93" s="185" t="str">
        <f t="shared" ca="1" si="164"/>
        <v>Completed</v>
      </c>
      <c r="Z93" s="185" t="str">
        <f t="shared" ca="1" si="165"/>
        <v/>
      </c>
      <c r="AA93" s="186" t="str">
        <f t="shared" ca="1" si="166"/>
        <v/>
      </c>
    </row>
    <row r="94" spans="1:27" s="64" customFormat="1" ht="11.5" x14ac:dyDescent="0.25">
      <c r="A94" s="70" t="s">
        <v>61</v>
      </c>
      <c r="B94" s="70" t="s">
        <v>62</v>
      </c>
      <c r="C94" s="70" t="s">
        <v>94</v>
      </c>
      <c r="D94" s="75" t="s">
        <v>296</v>
      </c>
      <c r="E94" s="75" t="s">
        <v>117</v>
      </c>
      <c r="F94" s="116">
        <f t="shared" si="167"/>
        <v>0.7</v>
      </c>
      <c r="G94" s="116">
        <f t="shared" si="167"/>
        <v>0.7</v>
      </c>
      <c r="H94" s="116">
        <f t="shared" si="168"/>
        <v>0.7</v>
      </c>
      <c r="I94" s="116">
        <f t="shared" si="169"/>
        <v>0</v>
      </c>
      <c r="J94" s="81">
        <v>0.15</v>
      </c>
      <c r="K94" s="72">
        <v>46171</v>
      </c>
      <c r="L94" s="72">
        <f t="shared" si="170"/>
        <v>46171</v>
      </c>
      <c r="M94" s="72">
        <v>46150</v>
      </c>
      <c r="N94" s="72">
        <f t="shared" si="171"/>
        <v>46213</v>
      </c>
      <c r="O94" s="72">
        <f t="shared" si="172"/>
        <v>46213</v>
      </c>
      <c r="P94" s="74">
        <v>46227</v>
      </c>
      <c r="Q94" s="72">
        <f t="shared" si="173"/>
        <v>46255</v>
      </c>
      <c r="R94" s="72">
        <f t="shared" si="174"/>
        <v>46255</v>
      </c>
      <c r="S94" s="74"/>
      <c r="T94" s="72">
        <f t="shared" si="175"/>
        <v>46269</v>
      </c>
      <c r="U94" s="72">
        <f t="shared" si="176"/>
        <v>46269</v>
      </c>
      <c r="V94" s="72"/>
      <c r="X94" s="185" t="str">
        <f t="shared" ca="1" si="163"/>
        <v>Completed</v>
      </c>
      <c r="Y94" s="185" t="str">
        <f t="shared" ca="1" si="164"/>
        <v>Completed</v>
      </c>
      <c r="Z94" s="185" t="str">
        <f t="shared" ca="1" si="165"/>
        <v/>
      </c>
      <c r="AA94" s="186" t="str">
        <f t="shared" ca="1" si="166"/>
        <v/>
      </c>
    </row>
    <row r="95" spans="1:27" s="64" customFormat="1" ht="11.5" x14ac:dyDescent="0.25">
      <c r="A95" s="70" t="s">
        <v>61</v>
      </c>
      <c r="B95" s="70" t="s">
        <v>62</v>
      </c>
      <c r="C95" s="70" t="s">
        <v>94</v>
      </c>
      <c r="D95" s="75" t="s">
        <v>297</v>
      </c>
      <c r="E95" s="75" t="s">
        <v>118</v>
      </c>
      <c r="F95" s="116">
        <f t="shared" si="167"/>
        <v>0.7</v>
      </c>
      <c r="G95" s="116">
        <f t="shared" si="167"/>
        <v>0.7</v>
      </c>
      <c r="H95" s="116">
        <f t="shared" si="168"/>
        <v>0.79999999999999993</v>
      </c>
      <c r="I95" s="116">
        <f t="shared" si="169"/>
        <v>9.9999999999999978E-2</v>
      </c>
      <c r="J95" s="81">
        <v>0.15</v>
      </c>
      <c r="K95" s="72">
        <v>46171</v>
      </c>
      <c r="L95" s="72">
        <f t="shared" si="170"/>
        <v>46171</v>
      </c>
      <c r="M95" s="72">
        <v>46150</v>
      </c>
      <c r="N95" s="72">
        <f t="shared" si="171"/>
        <v>46213</v>
      </c>
      <c r="O95" s="72">
        <f t="shared" si="172"/>
        <v>46213</v>
      </c>
      <c r="P95" s="74">
        <v>46227</v>
      </c>
      <c r="Q95" s="72">
        <f t="shared" si="173"/>
        <v>46255</v>
      </c>
      <c r="R95" s="72">
        <f t="shared" si="174"/>
        <v>46255</v>
      </c>
      <c r="S95" s="74">
        <v>46227</v>
      </c>
      <c r="T95" s="72">
        <f t="shared" si="175"/>
        <v>46269</v>
      </c>
      <c r="U95" s="72">
        <f t="shared" si="176"/>
        <v>46269</v>
      </c>
      <c r="V95" s="72"/>
      <c r="X95" s="185" t="str">
        <f t="shared" ca="1" si="163"/>
        <v>Completed</v>
      </c>
      <c r="Y95" s="185" t="str">
        <f t="shared" ca="1" si="164"/>
        <v>Completed</v>
      </c>
      <c r="Z95" s="185" t="str">
        <f t="shared" ca="1" si="165"/>
        <v>Completed</v>
      </c>
      <c r="AA95" s="186" t="str">
        <f t="shared" ca="1" si="166"/>
        <v/>
      </c>
    </row>
    <row r="96" spans="1:27" s="64" customFormat="1" ht="11.5" x14ac:dyDescent="0.25">
      <c r="A96" s="70" t="s">
        <v>61</v>
      </c>
      <c r="B96" s="70" t="s">
        <v>62</v>
      </c>
      <c r="C96" s="70" t="s">
        <v>94</v>
      </c>
      <c r="D96" s="75" t="s">
        <v>298</v>
      </c>
      <c r="E96" s="75" t="s">
        <v>119</v>
      </c>
      <c r="F96" s="116">
        <f t="shared" si="167"/>
        <v>0.7</v>
      </c>
      <c r="G96" s="116">
        <f t="shared" si="167"/>
        <v>0.7</v>
      </c>
      <c r="H96" s="116">
        <f t="shared" si="168"/>
        <v>0.7</v>
      </c>
      <c r="I96" s="116">
        <f t="shared" si="169"/>
        <v>0</v>
      </c>
      <c r="J96" s="81">
        <v>0.15</v>
      </c>
      <c r="K96" s="72">
        <v>46171</v>
      </c>
      <c r="L96" s="72">
        <f t="shared" si="170"/>
        <v>46171</v>
      </c>
      <c r="M96" s="72">
        <v>46150</v>
      </c>
      <c r="N96" s="72">
        <f t="shared" si="171"/>
        <v>46213</v>
      </c>
      <c r="O96" s="72">
        <f t="shared" si="172"/>
        <v>46213</v>
      </c>
      <c r="P96" s="74">
        <v>46227</v>
      </c>
      <c r="Q96" s="72">
        <f t="shared" si="173"/>
        <v>46255</v>
      </c>
      <c r="R96" s="72">
        <f t="shared" si="174"/>
        <v>46255</v>
      </c>
      <c r="S96" s="74"/>
      <c r="T96" s="72">
        <f t="shared" si="175"/>
        <v>46269</v>
      </c>
      <c r="U96" s="72">
        <f t="shared" si="176"/>
        <v>46269</v>
      </c>
      <c r="V96" s="72"/>
      <c r="X96" s="185" t="str">
        <f t="shared" ca="1" si="163"/>
        <v>Completed</v>
      </c>
      <c r="Y96" s="185" t="str">
        <f t="shared" ca="1" si="164"/>
        <v>Completed</v>
      </c>
      <c r="Z96" s="185" t="str">
        <f t="shared" ca="1" si="165"/>
        <v/>
      </c>
      <c r="AA96" s="186" t="str">
        <f t="shared" ca="1" si="166"/>
        <v/>
      </c>
    </row>
    <row r="97" spans="1:27" s="64" customFormat="1" ht="11.5" x14ac:dyDescent="0.25">
      <c r="A97" s="70" t="s">
        <v>61</v>
      </c>
      <c r="B97" s="70" t="s">
        <v>62</v>
      </c>
      <c r="C97" s="70" t="s">
        <v>94</v>
      </c>
      <c r="D97" s="75" t="s">
        <v>299</v>
      </c>
      <c r="E97" s="75" t="s">
        <v>120</v>
      </c>
      <c r="F97" s="116">
        <f t="shared" si="167"/>
        <v>0.7</v>
      </c>
      <c r="G97" s="116">
        <f t="shared" si="167"/>
        <v>0.7</v>
      </c>
      <c r="H97" s="116">
        <f t="shared" si="168"/>
        <v>0.7</v>
      </c>
      <c r="I97" s="116">
        <f t="shared" si="169"/>
        <v>0</v>
      </c>
      <c r="J97" s="81">
        <v>0.15</v>
      </c>
      <c r="K97" s="72">
        <v>46171</v>
      </c>
      <c r="L97" s="72">
        <f t="shared" si="170"/>
        <v>46171</v>
      </c>
      <c r="M97" s="72">
        <v>46150</v>
      </c>
      <c r="N97" s="72">
        <f t="shared" si="171"/>
        <v>46213</v>
      </c>
      <c r="O97" s="72">
        <f t="shared" si="172"/>
        <v>46213</v>
      </c>
      <c r="P97" s="74">
        <v>46227</v>
      </c>
      <c r="Q97" s="72">
        <f t="shared" si="173"/>
        <v>46255</v>
      </c>
      <c r="R97" s="72">
        <f t="shared" si="174"/>
        <v>46255</v>
      </c>
      <c r="S97" s="74"/>
      <c r="T97" s="72">
        <f t="shared" si="175"/>
        <v>46269</v>
      </c>
      <c r="U97" s="72">
        <f t="shared" si="176"/>
        <v>46269</v>
      </c>
      <c r="V97" s="72"/>
      <c r="X97" s="185" t="str">
        <f t="shared" ca="1" si="163"/>
        <v>Completed</v>
      </c>
      <c r="Y97" s="185" t="str">
        <f t="shared" ca="1" si="164"/>
        <v>Completed</v>
      </c>
      <c r="Z97" s="185" t="str">
        <f t="shared" ca="1" si="165"/>
        <v/>
      </c>
      <c r="AA97" s="186" t="str">
        <f t="shared" ca="1" si="166"/>
        <v/>
      </c>
    </row>
    <row r="98" spans="1:27" s="64" customFormat="1" ht="11.5" x14ac:dyDescent="0.25">
      <c r="A98" s="70" t="s">
        <v>61</v>
      </c>
      <c r="B98" s="70" t="s">
        <v>62</v>
      </c>
      <c r="C98" s="70" t="s">
        <v>94</v>
      </c>
      <c r="D98" s="75" t="s">
        <v>300</v>
      </c>
      <c r="E98" s="75" t="s">
        <v>121</v>
      </c>
      <c r="F98" s="116">
        <f t="shared" si="167"/>
        <v>0.7</v>
      </c>
      <c r="G98" s="116">
        <f t="shared" si="167"/>
        <v>0.7</v>
      </c>
      <c r="H98" s="116">
        <f t="shared" si="168"/>
        <v>0.7</v>
      </c>
      <c r="I98" s="116">
        <f t="shared" si="169"/>
        <v>0</v>
      </c>
      <c r="J98" s="81">
        <v>0.15</v>
      </c>
      <c r="K98" s="72">
        <v>46171</v>
      </c>
      <c r="L98" s="72">
        <f t="shared" si="170"/>
        <v>46171</v>
      </c>
      <c r="M98" s="72">
        <v>46150</v>
      </c>
      <c r="N98" s="72">
        <f t="shared" si="171"/>
        <v>46213</v>
      </c>
      <c r="O98" s="72">
        <f t="shared" si="172"/>
        <v>46213</v>
      </c>
      <c r="P98" s="74">
        <v>46227</v>
      </c>
      <c r="Q98" s="72">
        <f t="shared" si="173"/>
        <v>46255</v>
      </c>
      <c r="R98" s="72">
        <f t="shared" si="174"/>
        <v>46255</v>
      </c>
      <c r="S98" s="74"/>
      <c r="T98" s="72">
        <f t="shared" si="175"/>
        <v>46269</v>
      </c>
      <c r="U98" s="72">
        <f t="shared" si="176"/>
        <v>46269</v>
      </c>
      <c r="V98" s="72"/>
      <c r="X98" s="185" t="str">
        <f t="shared" ca="1" si="163"/>
        <v>Completed</v>
      </c>
      <c r="Y98" s="185" t="str">
        <f t="shared" ca="1" si="164"/>
        <v>Completed</v>
      </c>
      <c r="Z98" s="185" t="str">
        <f t="shared" ca="1" si="165"/>
        <v/>
      </c>
      <c r="AA98" s="186" t="str">
        <f t="shared" ca="1" si="166"/>
        <v/>
      </c>
    </row>
    <row r="99" spans="1:27" s="64" customFormat="1" ht="11.5" x14ac:dyDescent="0.25">
      <c r="A99" s="70" t="s">
        <v>61</v>
      </c>
      <c r="B99" s="70" t="s">
        <v>62</v>
      </c>
      <c r="C99" s="70" t="s">
        <v>94</v>
      </c>
      <c r="D99" s="75" t="s">
        <v>301</v>
      </c>
      <c r="E99" s="75" t="s">
        <v>122</v>
      </c>
      <c r="F99" s="116">
        <f t="shared" si="167"/>
        <v>0.7</v>
      </c>
      <c r="G99" s="116">
        <f t="shared" si="167"/>
        <v>0.7</v>
      </c>
      <c r="H99" s="116">
        <f t="shared" si="168"/>
        <v>0.7</v>
      </c>
      <c r="I99" s="116">
        <f t="shared" si="169"/>
        <v>0</v>
      </c>
      <c r="J99" s="81">
        <v>0.15</v>
      </c>
      <c r="K99" s="72">
        <v>46171</v>
      </c>
      <c r="L99" s="72">
        <f t="shared" si="170"/>
        <v>46171</v>
      </c>
      <c r="M99" s="72">
        <v>46150</v>
      </c>
      <c r="N99" s="72">
        <f t="shared" si="171"/>
        <v>46213</v>
      </c>
      <c r="O99" s="72">
        <f t="shared" si="172"/>
        <v>46213</v>
      </c>
      <c r="P99" s="74">
        <v>46227</v>
      </c>
      <c r="Q99" s="72">
        <f t="shared" si="173"/>
        <v>46255</v>
      </c>
      <c r="R99" s="72">
        <f t="shared" si="174"/>
        <v>46255</v>
      </c>
      <c r="S99" s="74"/>
      <c r="T99" s="72">
        <f t="shared" si="175"/>
        <v>46269</v>
      </c>
      <c r="U99" s="72">
        <f t="shared" si="176"/>
        <v>46269</v>
      </c>
      <c r="V99" s="72"/>
      <c r="X99" s="185" t="str">
        <f t="shared" ca="1" si="163"/>
        <v>Completed</v>
      </c>
      <c r="Y99" s="185" t="str">
        <f t="shared" ca="1" si="164"/>
        <v>Completed</v>
      </c>
      <c r="Z99" s="185" t="str">
        <f t="shared" ca="1" si="165"/>
        <v/>
      </c>
      <c r="AA99" s="186" t="str">
        <f t="shared" ca="1" si="166"/>
        <v/>
      </c>
    </row>
    <row r="100" spans="1:27" s="64" customFormat="1" ht="11.5" x14ac:dyDescent="0.25">
      <c r="A100" s="70" t="s">
        <v>61</v>
      </c>
      <c r="B100" s="70" t="s">
        <v>62</v>
      </c>
      <c r="C100" s="70" t="s">
        <v>94</v>
      </c>
      <c r="D100" s="75" t="s">
        <v>302</v>
      </c>
      <c r="E100" s="75" t="s">
        <v>123</v>
      </c>
      <c r="F100" s="116">
        <f t="shared" si="167"/>
        <v>0.7</v>
      </c>
      <c r="G100" s="116">
        <f t="shared" si="167"/>
        <v>0.7</v>
      </c>
      <c r="H100" s="116">
        <f t="shared" si="168"/>
        <v>0.7</v>
      </c>
      <c r="I100" s="116">
        <f t="shared" si="169"/>
        <v>0</v>
      </c>
      <c r="J100" s="81">
        <v>0.15</v>
      </c>
      <c r="K100" s="72">
        <v>46171</v>
      </c>
      <c r="L100" s="72">
        <f t="shared" si="170"/>
        <v>46171</v>
      </c>
      <c r="M100" s="72">
        <v>46150</v>
      </c>
      <c r="N100" s="74">
        <f t="shared" si="171"/>
        <v>46213</v>
      </c>
      <c r="O100" s="72">
        <f t="shared" si="172"/>
        <v>46213</v>
      </c>
      <c r="P100" s="74">
        <v>46227</v>
      </c>
      <c r="Q100" s="74">
        <f t="shared" si="173"/>
        <v>46255</v>
      </c>
      <c r="R100" s="72">
        <f t="shared" si="174"/>
        <v>46255</v>
      </c>
      <c r="S100" s="74"/>
      <c r="T100" s="72">
        <f t="shared" si="175"/>
        <v>46269</v>
      </c>
      <c r="U100" s="72">
        <f t="shared" si="176"/>
        <v>46269</v>
      </c>
      <c r="V100" s="72"/>
      <c r="X100" s="185" t="str">
        <f t="shared" ca="1" si="163"/>
        <v>Completed</v>
      </c>
      <c r="Y100" s="185" t="str">
        <f t="shared" ca="1" si="164"/>
        <v>Completed</v>
      </c>
      <c r="Z100" s="185" t="str">
        <f t="shared" ca="1" si="165"/>
        <v/>
      </c>
      <c r="AA100" s="186" t="str">
        <f t="shared" ca="1" si="166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94</v>
      </c>
      <c r="D101" s="75" t="s">
        <v>303</v>
      </c>
      <c r="E101" s="75" t="s">
        <v>124</v>
      </c>
      <c r="F101" s="116">
        <f t="shared" si="167"/>
        <v>0.7</v>
      </c>
      <c r="G101" s="116">
        <f t="shared" si="167"/>
        <v>0.7</v>
      </c>
      <c r="H101" s="116">
        <f t="shared" si="168"/>
        <v>0.7</v>
      </c>
      <c r="I101" s="116">
        <f t="shared" si="169"/>
        <v>0</v>
      </c>
      <c r="J101" s="81">
        <v>0.15</v>
      </c>
      <c r="K101" s="72">
        <v>46178</v>
      </c>
      <c r="L101" s="72">
        <f t="shared" si="170"/>
        <v>46178</v>
      </c>
      <c r="M101" s="72">
        <v>46150</v>
      </c>
      <c r="N101" s="74">
        <f t="shared" si="171"/>
        <v>46220</v>
      </c>
      <c r="O101" s="72">
        <f t="shared" si="172"/>
        <v>46220</v>
      </c>
      <c r="P101" s="74">
        <v>46227</v>
      </c>
      <c r="Q101" s="74">
        <f t="shared" si="173"/>
        <v>46262</v>
      </c>
      <c r="R101" s="72">
        <f t="shared" si="174"/>
        <v>46262</v>
      </c>
      <c r="S101" s="74"/>
      <c r="T101" s="72">
        <f t="shared" si="175"/>
        <v>46276</v>
      </c>
      <c r="U101" s="72">
        <f t="shared" si="176"/>
        <v>46276</v>
      </c>
      <c r="V101" s="72"/>
      <c r="X101" s="185" t="str">
        <f t="shared" ca="1" si="163"/>
        <v>Completed</v>
      </c>
      <c r="Y101" s="185" t="str">
        <f t="shared" ca="1" si="164"/>
        <v>Completed</v>
      </c>
      <c r="Z101" s="185" t="str">
        <f t="shared" ca="1" si="165"/>
        <v/>
      </c>
      <c r="AA101" s="186" t="str">
        <f t="shared" ca="1" si="166"/>
        <v/>
      </c>
    </row>
    <row r="102" spans="1:27" s="64" customFormat="1" ht="11.5" x14ac:dyDescent="0.25">
      <c r="A102" s="70" t="s">
        <v>61</v>
      </c>
      <c r="B102" s="70" t="s">
        <v>62</v>
      </c>
      <c r="C102" s="70" t="s">
        <v>94</v>
      </c>
      <c r="D102" s="75" t="s">
        <v>304</v>
      </c>
      <c r="E102" s="75" t="s">
        <v>125</v>
      </c>
      <c r="F102" s="116">
        <f t="shared" ref="F102:H177" si="188">(COUNTIFS(K102,"&lt;="&amp;$D$1)*50%)+(COUNTIFS(N102,"&lt;="&amp;$D$1)*20%)+(COUNTIFS(Q102,"&lt;="&amp;$D$1)*10%)+(COUNTIFS(T102,"&lt;="&amp;$D$1)*20%)</f>
        <v>0.7</v>
      </c>
      <c r="G102" s="116">
        <f t="shared" si="188"/>
        <v>0.7</v>
      </c>
      <c r="H102" s="116">
        <f t="shared" si="168"/>
        <v>0.7</v>
      </c>
      <c r="I102" s="116">
        <f t="shared" si="169"/>
        <v>0</v>
      </c>
      <c r="J102" s="81">
        <v>0.15</v>
      </c>
      <c r="K102" s="72">
        <v>46178</v>
      </c>
      <c r="L102" s="72">
        <f t="shared" si="170"/>
        <v>46178</v>
      </c>
      <c r="M102" s="72">
        <v>46150</v>
      </c>
      <c r="N102" s="74">
        <f t="shared" si="171"/>
        <v>46220</v>
      </c>
      <c r="O102" s="72">
        <f t="shared" si="172"/>
        <v>46220</v>
      </c>
      <c r="P102" s="74">
        <v>46227</v>
      </c>
      <c r="Q102" s="74">
        <f t="shared" si="173"/>
        <v>46262</v>
      </c>
      <c r="R102" s="72">
        <f t="shared" si="174"/>
        <v>46262</v>
      </c>
      <c r="S102" s="74"/>
      <c r="T102" s="72">
        <f t="shared" si="175"/>
        <v>46276</v>
      </c>
      <c r="U102" s="72">
        <f t="shared" si="176"/>
        <v>46276</v>
      </c>
      <c r="V102" s="72"/>
      <c r="X102" s="185" t="str">
        <f t="shared" ca="1" si="163"/>
        <v>Completed</v>
      </c>
      <c r="Y102" s="185" t="str">
        <f t="shared" ca="1" si="164"/>
        <v>Completed</v>
      </c>
      <c r="Z102" s="185" t="str">
        <f t="shared" ca="1" si="165"/>
        <v/>
      </c>
      <c r="AA102" s="186" t="str">
        <f t="shared" ca="1" si="166"/>
        <v/>
      </c>
    </row>
    <row r="103" spans="1:27" s="64" customFormat="1" ht="11.5" x14ac:dyDescent="0.25">
      <c r="A103" s="70" t="s">
        <v>61</v>
      </c>
      <c r="B103" s="70" t="s">
        <v>62</v>
      </c>
      <c r="C103" s="70" t="s">
        <v>94</v>
      </c>
      <c r="D103" s="75" t="s">
        <v>305</v>
      </c>
      <c r="E103" s="75" t="s">
        <v>126</v>
      </c>
      <c r="F103" s="116">
        <f t="shared" si="188"/>
        <v>0.7</v>
      </c>
      <c r="G103" s="116">
        <f t="shared" si="188"/>
        <v>0.7</v>
      </c>
      <c r="H103" s="116">
        <f t="shared" si="168"/>
        <v>0.7</v>
      </c>
      <c r="I103" s="116">
        <f t="shared" si="169"/>
        <v>0</v>
      </c>
      <c r="J103" s="81">
        <v>0.15</v>
      </c>
      <c r="K103" s="72">
        <v>46178</v>
      </c>
      <c r="L103" s="72">
        <f t="shared" si="170"/>
        <v>46178</v>
      </c>
      <c r="M103" s="72">
        <v>46150</v>
      </c>
      <c r="N103" s="74">
        <f t="shared" si="171"/>
        <v>46220</v>
      </c>
      <c r="O103" s="72">
        <f t="shared" si="172"/>
        <v>46220</v>
      </c>
      <c r="P103" s="74">
        <v>46227</v>
      </c>
      <c r="Q103" s="74">
        <f t="shared" si="173"/>
        <v>46262</v>
      </c>
      <c r="R103" s="72">
        <f t="shared" si="174"/>
        <v>46262</v>
      </c>
      <c r="S103" s="74"/>
      <c r="T103" s="72">
        <f t="shared" si="175"/>
        <v>46276</v>
      </c>
      <c r="U103" s="72">
        <f t="shared" si="176"/>
        <v>46276</v>
      </c>
      <c r="V103" s="72"/>
      <c r="X103" s="185" t="str">
        <f t="shared" ca="1" si="163"/>
        <v>Completed</v>
      </c>
      <c r="Y103" s="185" t="str">
        <f t="shared" ca="1" si="164"/>
        <v>Completed</v>
      </c>
      <c r="Z103" s="185" t="str">
        <f t="shared" ca="1" si="165"/>
        <v/>
      </c>
      <c r="AA103" s="186" t="str">
        <f t="shared" ca="1" si="166"/>
        <v/>
      </c>
    </row>
    <row r="104" spans="1:27" s="64" customFormat="1" ht="11.5" x14ac:dyDescent="0.25">
      <c r="A104" s="70" t="s">
        <v>61</v>
      </c>
      <c r="B104" s="70" t="s">
        <v>62</v>
      </c>
      <c r="C104" s="70" t="s">
        <v>94</v>
      </c>
      <c r="D104" s="75" t="s">
        <v>306</v>
      </c>
      <c r="E104" s="75" t="s">
        <v>127</v>
      </c>
      <c r="F104" s="116">
        <f t="shared" si="188"/>
        <v>0.7</v>
      </c>
      <c r="G104" s="116">
        <f t="shared" si="188"/>
        <v>0.7</v>
      </c>
      <c r="H104" s="116">
        <f t="shared" si="168"/>
        <v>0.7</v>
      </c>
      <c r="I104" s="116">
        <f t="shared" si="169"/>
        <v>0</v>
      </c>
      <c r="J104" s="81">
        <v>0.15</v>
      </c>
      <c r="K104" s="72">
        <v>46178</v>
      </c>
      <c r="L104" s="72">
        <f t="shared" si="170"/>
        <v>46178</v>
      </c>
      <c r="M104" s="72">
        <v>46150</v>
      </c>
      <c r="N104" s="74">
        <f t="shared" si="171"/>
        <v>46220</v>
      </c>
      <c r="O104" s="72">
        <f t="shared" si="172"/>
        <v>46220</v>
      </c>
      <c r="P104" s="74">
        <v>46227</v>
      </c>
      <c r="Q104" s="74">
        <f t="shared" si="173"/>
        <v>46262</v>
      </c>
      <c r="R104" s="72">
        <f t="shared" si="174"/>
        <v>46262</v>
      </c>
      <c r="S104" s="74"/>
      <c r="T104" s="72">
        <f t="shared" si="175"/>
        <v>46276</v>
      </c>
      <c r="U104" s="72">
        <f t="shared" si="176"/>
        <v>46276</v>
      </c>
      <c r="V104" s="72"/>
      <c r="X104" s="185" t="str">
        <f t="shared" ca="1" si="163"/>
        <v>Completed</v>
      </c>
      <c r="Y104" s="185" t="str">
        <f t="shared" ca="1" si="164"/>
        <v>Completed</v>
      </c>
      <c r="Z104" s="185" t="str">
        <f t="shared" ca="1" si="165"/>
        <v/>
      </c>
      <c r="AA104" s="186" t="str">
        <f t="shared" ca="1" si="166"/>
        <v/>
      </c>
    </row>
    <row r="105" spans="1:27" s="64" customFormat="1" ht="11.5" x14ac:dyDescent="0.25">
      <c r="A105" s="70" t="s">
        <v>61</v>
      </c>
      <c r="B105" s="70" t="s">
        <v>62</v>
      </c>
      <c r="C105" s="70" t="s">
        <v>94</v>
      </c>
      <c r="D105" s="75" t="s">
        <v>307</v>
      </c>
      <c r="E105" s="75" t="s">
        <v>128</v>
      </c>
      <c r="F105" s="116">
        <f t="shared" si="188"/>
        <v>0.7</v>
      </c>
      <c r="G105" s="116">
        <f t="shared" si="188"/>
        <v>0.7</v>
      </c>
      <c r="H105" s="116">
        <f t="shared" si="168"/>
        <v>0.7</v>
      </c>
      <c r="I105" s="116">
        <f t="shared" si="169"/>
        <v>0</v>
      </c>
      <c r="J105" s="81">
        <v>0.15</v>
      </c>
      <c r="K105" s="72">
        <v>46178</v>
      </c>
      <c r="L105" s="72">
        <f t="shared" si="170"/>
        <v>46178</v>
      </c>
      <c r="M105" s="72">
        <v>46150</v>
      </c>
      <c r="N105" s="74">
        <f t="shared" si="171"/>
        <v>46220</v>
      </c>
      <c r="O105" s="72">
        <f t="shared" si="172"/>
        <v>46220</v>
      </c>
      <c r="P105" s="74">
        <v>46227</v>
      </c>
      <c r="Q105" s="74">
        <f t="shared" si="173"/>
        <v>46262</v>
      </c>
      <c r="R105" s="72">
        <f t="shared" si="174"/>
        <v>46262</v>
      </c>
      <c r="S105" s="74"/>
      <c r="T105" s="72">
        <f t="shared" si="175"/>
        <v>46276</v>
      </c>
      <c r="U105" s="72">
        <f t="shared" si="176"/>
        <v>46276</v>
      </c>
      <c r="V105" s="72"/>
      <c r="X105" s="185" t="str">
        <f t="shared" ca="1" si="163"/>
        <v>Completed</v>
      </c>
      <c r="Y105" s="185" t="str">
        <f t="shared" ca="1" si="164"/>
        <v>Completed</v>
      </c>
      <c r="Z105" s="185" t="str">
        <f t="shared" ca="1" si="165"/>
        <v/>
      </c>
      <c r="AA105" s="186" t="str">
        <f t="shared" ca="1" si="166"/>
        <v/>
      </c>
    </row>
    <row r="106" spans="1:27" s="64" customFormat="1" ht="11.5" x14ac:dyDescent="0.25">
      <c r="A106" s="70" t="s">
        <v>61</v>
      </c>
      <c r="B106" s="70" t="s">
        <v>62</v>
      </c>
      <c r="C106" s="70" t="s">
        <v>94</v>
      </c>
      <c r="D106" s="75" t="s">
        <v>308</v>
      </c>
      <c r="E106" s="75" t="s">
        <v>129</v>
      </c>
      <c r="F106" s="116">
        <f t="shared" si="188"/>
        <v>0.7</v>
      </c>
      <c r="G106" s="116">
        <f t="shared" si="188"/>
        <v>0.7</v>
      </c>
      <c r="H106" s="116">
        <f t="shared" si="168"/>
        <v>0.7</v>
      </c>
      <c r="I106" s="116">
        <f t="shared" si="169"/>
        <v>0</v>
      </c>
      <c r="J106" s="81">
        <v>0.15</v>
      </c>
      <c r="K106" s="72">
        <v>46178</v>
      </c>
      <c r="L106" s="72">
        <f t="shared" si="170"/>
        <v>46178</v>
      </c>
      <c r="M106" s="72">
        <v>46150</v>
      </c>
      <c r="N106" s="74">
        <f t="shared" si="171"/>
        <v>46220</v>
      </c>
      <c r="O106" s="72">
        <f t="shared" si="172"/>
        <v>46220</v>
      </c>
      <c r="P106" s="74">
        <v>46227</v>
      </c>
      <c r="Q106" s="74">
        <f t="shared" si="173"/>
        <v>46262</v>
      </c>
      <c r="R106" s="72">
        <f t="shared" si="174"/>
        <v>46262</v>
      </c>
      <c r="S106" s="74"/>
      <c r="T106" s="72">
        <f t="shared" si="175"/>
        <v>46276</v>
      </c>
      <c r="U106" s="72">
        <f t="shared" si="176"/>
        <v>46276</v>
      </c>
      <c r="V106" s="72"/>
      <c r="X106" s="185" t="str">
        <f t="shared" ca="1" si="163"/>
        <v>Completed</v>
      </c>
      <c r="Y106" s="185" t="str">
        <f t="shared" ca="1" si="164"/>
        <v>Completed</v>
      </c>
      <c r="Z106" s="185" t="str">
        <f t="shared" ca="1" si="165"/>
        <v/>
      </c>
      <c r="AA106" s="186" t="str">
        <f t="shared" ca="1" si="166"/>
        <v/>
      </c>
    </row>
    <row r="107" spans="1:27" s="64" customFormat="1" ht="11.5" x14ac:dyDescent="0.25">
      <c r="A107" s="70" t="s">
        <v>61</v>
      </c>
      <c r="B107" s="70" t="s">
        <v>62</v>
      </c>
      <c r="C107" s="70" t="s">
        <v>94</v>
      </c>
      <c r="D107" s="75" t="s">
        <v>309</v>
      </c>
      <c r="E107" s="75" t="s">
        <v>130</v>
      </c>
      <c r="F107" s="116">
        <f t="shared" si="188"/>
        <v>0.7</v>
      </c>
      <c r="G107" s="116">
        <f>(COUNTIFS(L107,"&lt;="&amp;$D$1)*50%)+(COUNTIFS(O107,"&lt;="&amp;$D$1)*20%)+(COUNTIFS(R107,"&lt;="&amp;$D$1)*10%)+(COUNTIFS(U107,"&lt;="&amp;$D$1)*20%)</f>
        <v>0.7</v>
      </c>
      <c r="H107" s="116">
        <f t="shared" si="168"/>
        <v>0.7</v>
      </c>
      <c r="I107" s="116">
        <f t="shared" si="169"/>
        <v>0</v>
      </c>
      <c r="J107" s="81">
        <v>0.15</v>
      </c>
      <c r="K107" s="72">
        <v>46178</v>
      </c>
      <c r="L107" s="72">
        <f t="shared" si="170"/>
        <v>46178</v>
      </c>
      <c r="M107" s="72">
        <v>46150</v>
      </c>
      <c r="N107" s="72">
        <f t="shared" si="171"/>
        <v>46220</v>
      </c>
      <c r="O107" s="72">
        <f t="shared" si="172"/>
        <v>46220</v>
      </c>
      <c r="P107" s="74">
        <v>46227</v>
      </c>
      <c r="Q107" s="72">
        <f t="shared" si="173"/>
        <v>46262</v>
      </c>
      <c r="R107" s="72">
        <f t="shared" si="174"/>
        <v>46262</v>
      </c>
      <c r="S107" s="74"/>
      <c r="T107" s="72">
        <f t="shared" si="175"/>
        <v>46276</v>
      </c>
      <c r="U107" s="72">
        <f t="shared" si="176"/>
        <v>46276</v>
      </c>
      <c r="V107" s="72"/>
      <c r="X107" s="185" t="str">
        <f t="shared" ca="1" si="163"/>
        <v>Completed</v>
      </c>
      <c r="Y107" s="185" t="str">
        <f t="shared" ca="1" si="164"/>
        <v>Completed</v>
      </c>
      <c r="Z107" s="185" t="str">
        <f t="shared" ca="1" si="165"/>
        <v/>
      </c>
      <c r="AA107" s="186" t="str">
        <f t="shared" ca="1" si="166"/>
        <v/>
      </c>
    </row>
    <row r="108" spans="1:27" s="64" customFormat="1" ht="11.5" x14ac:dyDescent="0.25">
      <c r="A108" s="70" t="s">
        <v>61</v>
      </c>
      <c r="B108" s="70" t="s">
        <v>62</v>
      </c>
      <c r="C108" s="70" t="s">
        <v>94</v>
      </c>
      <c r="D108" s="75" t="s">
        <v>310</v>
      </c>
      <c r="E108" s="75" t="s">
        <v>131</v>
      </c>
      <c r="F108" s="116">
        <f t="shared" si="188"/>
        <v>0.7</v>
      </c>
      <c r="G108" s="116">
        <f t="shared" si="168"/>
        <v>0.7</v>
      </c>
      <c r="H108" s="116">
        <f t="shared" si="168"/>
        <v>0.7</v>
      </c>
      <c r="I108" s="116">
        <f t="shared" si="169"/>
        <v>0</v>
      </c>
      <c r="J108" s="81">
        <v>0.15</v>
      </c>
      <c r="K108" s="72">
        <v>46178</v>
      </c>
      <c r="L108" s="72">
        <f t="shared" si="170"/>
        <v>46178</v>
      </c>
      <c r="M108" s="72">
        <v>46150</v>
      </c>
      <c r="N108" s="72">
        <f t="shared" si="171"/>
        <v>46220</v>
      </c>
      <c r="O108" s="72">
        <f t="shared" si="172"/>
        <v>46220</v>
      </c>
      <c r="P108" s="74">
        <v>46227</v>
      </c>
      <c r="Q108" s="72">
        <f t="shared" si="173"/>
        <v>46262</v>
      </c>
      <c r="R108" s="72">
        <f t="shared" si="174"/>
        <v>46262</v>
      </c>
      <c r="S108" s="72"/>
      <c r="T108" s="72">
        <f t="shared" si="175"/>
        <v>46276</v>
      </c>
      <c r="U108" s="72">
        <f t="shared" si="176"/>
        <v>46276</v>
      </c>
      <c r="V108" s="72"/>
      <c r="X108" s="185" t="str">
        <f t="shared" ca="1" si="163"/>
        <v>Completed</v>
      </c>
      <c r="Y108" s="185" t="str">
        <f t="shared" ca="1" si="164"/>
        <v>Completed</v>
      </c>
      <c r="Z108" s="185" t="str">
        <f t="shared" ca="1" si="165"/>
        <v/>
      </c>
      <c r="AA108" s="186" t="str">
        <f t="shared" ca="1" si="166"/>
        <v/>
      </c>
    </row>
    <row r="109" spans="1:27" s="64" customFormat="1" ht="11.5" x14ac:dyDescent="0.25">
      <c r="A109" s="70" t="s">
        <v>61</v>
      </c>
      <c r="B109" s="70" t="s">
        <v>62</v>
      </c>
      <c r="C109" s="70" t="s">
        <v>94</v>
      </c>
      <c r="D109" s="75" t="s">
        <v>311</v>
      </c>
      <c r="E109" s="75" t="s">
        <v>132</v>
      </c>
      <c r="F109" s="116">
        <f t="shared" si="188"/>
        <v>0.7</v>
      </c>
      <c r="G109" s="116">
        <f t="shared" si="188"/>
        <v>0.7</v>
      </c>
      <c r="H109" s="116">
        <f t="shared" si="188"/>
        <v>0.7</v>
      </c>
      <c r="I109" s="116">
        <f t="shared" si="169"/>
        <v>0</v>
      </c>
      <c r="J109" s="81">
        <v>0.15</v>
      </c>
      <c r="K109" s="72">
        <v>46178</v>
      </c>
      <c r="L109" s="72">
        <f t="shared" si="170"/>
        <v>46178</v>
      </c>
      <c r="M109" s="72">
        <v>46150</v>
      </c>
      <c r="N109" s="72">
        <f t="shared" si="171"/>
        <v>46220</v>
      </c>
      <c r="O109" s="72">
        <f t="shared" si="172"/>
        <v>46220</v>
      </c>
      <c r="P109" s="74">
        <v>46227</v>
      </c>
      <c r="Q109" s="72">
        <f t="shared" si="173"/>
        <v>46262</v>
      </c>
      <c r="R109" s="72">
        <f t="shared" si="174"/>
        <v>46262</v>
      </c>
      <c r="S109" s="72"/>
      <c r="T109" s="72">
        <f t="shared" si="175"/>
        <v>46276</v>
      </c>
      <c r="U109" s="72">
        <f t="shared" si="176"/>
        <v>46276</v>
      </c>
      <c r="V109" s="72"/>
      <c r="X109" s="185" t="str">
        <f t="shared" ca="1" si="163"/>
        <v>Completed</v>
      </c>
      <c r="Y109" s="185" t="str">
        <f t="shared" ca="1" si="164"/>
        <v>Completed</v>
      </c>
      <c r="Z109" s="185" t="str">
        <f t="shared" ca="1" si="165"/>
        <v/>
      </c>
      <c r="AA109" s="186" t="str">
        <f t="shared" ca="1" si="166"/>
        <v/>
      </c>
    </row>
    <row r="110" spans="1:27" s="64" customFormat="1" ht="11.5" x14ac:dyDescent="0.25">
      <c r="A110" s="70" t="s">
        <v>61</v>
      </c>
      <c r="B110" s="70" t="s">
        <v>62</v>
      </c>
      <c r="C110" s="70" t="s">
        <v>94</v>
      </c>
      <c r="D110" s="75" t="s">
        <v>312</v>
      </c>
      <c r="E110" s="75" t="s">
        <v>133</v>
      </c>
      <c r="F110" s="116">
        <f t="shared" ref="F110" si="189">(COUNTIFS(K110,"&lt;="&amp;$D$1)*50%)+(COUNTIFS(N110,"&lt;="&amp;$D$1)*20%)+(COUNTIFS(Q110,"&lt;="&amp;$D$1)*10%)+(COUNTIFS(T110,"&lt;="&amp;$D$1)*20%)</f>
        <v>0.7</v>
      </c>
      <c r="G110" s="116">
        <f t="shared" ref="G110" si="190">(COUNTIFS(L110,"&lt;="&amp;$D$1)*50%)+(COUNTIFS(O110,"&lt;="&amp;$D$1)*20%)+(COUNTIFS(R110,"&lt;="&amp;$D$1)*10%)+(COUNTIFS(U110,"&lt;="&amp;$D$1)*20%)</f>
        <v>0.7</v>
      </c>
      <c r="H110" s="116">
        <f t="shared" ref="H110" si="191">(COUNTIFS(M110,"&lt;="&amp;$D$1)*50%)+(COUNTIFS(P110,"&lt;="&amp;$D$1)*20%)+(COUNTIFS(S110,"&lt;="&amp;$D$1)*10%)+(COUNTIFS(V110,"&lt;="&amp;$D$1)*20%)</f>
        <v>0.7</v>
      </c>
      <c r="I110" s="116">
        <f t="shared" ref="I110" si="192">H110-F110</f>
        <v>0</v>
      </c>
      <c r="J110" s="81">
        <v>0.15</v>
      </c>
      <c r="K110" s="72">
        <v>46178</v>
      </c>
      <c r="L110" s="72">
        <f t="shared" si="170"/>
        <v>46178</v>
      </c>
      <c r="M110" s="72">
        <v>46150</v>
      </c>
      <c r="N110" s="72">
        <f t="shared" si="171"/>
        <v>46220</v>
      </c>
      <c r="O110" s="72">
        <f t="shared" si="172"/>
        <v>46220</v>
      </c>
      <c r="P110" s="74">
        <v>46227</v>
      </c>
      <c r="Q110" s="72">
        <f t="shared" si="173"/>
        <v>46262</v>
      </c>
      <c r="R110" s="72">
        <f t="shared" si="174"/>
        <v>46262</v>
      </c>
      <c r="S110" s="72"/>
      <c r="T110" s="72">
        <f t="shared" si="175"/>
        <v>46276</v>
      </c>
      <c r="U110" s="72">
        <f t="shared" si="176"/>
        <v>46276</v>
      </c>
      <c r="V110" s="72"/>
      <c r="X110" s="185" t="str">
        <f t="shared" ca="1" si="163"/>
        <v>Completed</v>
      </c>
      <c r="Y110" s="185" t="str">
        <f t="shared" ca="1" si="164"/>
        <v>Completed</v>
      </c>
      <c r="Z110" s="185" t="str">
        <f t="shared" ca="1" si="165"/>
        <v/>
      </c>
      <c r="AA110" s="186" t="str">
        <f t="shared" ca="1" si="166"/>
        <v/>
      </c>
    </row>
    <row r="111" spans="1:27" s="64" customFormat="1" ht="11.5" x14ac:dyDescent="0.25">
      <c r="A111" s="70" t="s">
        <v>61</v>
      </c>
      <c r="B111" s="70" t="s">
        <v>62</v>
      </c>
      <c r="C111" s="70" t="s">
        <v>94</v>
      </c>
      <c r="D111" s="75" t="s">
        <v>313</v>
      </c>
      <c r="E111" s="75" t="s">
        <v>134</v>
      </c>
      <c r="F111" s="116">
        <f t="shared" si="188"/>
        <v>0.7</v>
      </c>
      <c r="G111" s="116">
        <f t="shared" si="188"/>
        <v>0.7</v>
      </c>
      <c r="H111" s="116">
        <f t="shared" si="188"/>
        <v>0.7</v>
      </c>
      <c r="I111" s="116">
        <f t="shared" si="169"/>
        <v>0</v>
      </c>
      <c r="J111" s="81">
        <v>0.15</v>
      </c>
      <c r="K111" s="72">
        <v>46178</v>
      </c>
      <c r="L111" s="72">
        <f t="shared" si="170"/>
        <v>46178</v>
      </c>
      <c r="M111" s="72">
        <v>46150</v>
      </c>
      <c r="N111" s="72">
        <f t="shared" si="171"/>
        <v>46220</v>
      </c>
      <c r="O111" s="72">
        <f t="shared" si="172"/>
        <v>46220</v>
      </c>
      <c r="P111" s="74">
        <v>46227</v>
      </c>
      <c r="Q111" s="72">
        <f t="shared" si="173"/>
        <v>46262</v>
      </c>
      <c r="R111" s="72">
        <f t="shared" si="174"/>
        <v>46262</v>
      </c>
      <c r="S111" s="72"/>
      <c r="T111" s="72">
        <f t="shared" si="175"/>
        <v>46276</v>
      </c>
      <c r="U111" s="72">
        <f t="shared" si="176"/>
        <v>46276</v>
      </c>
      <c r="V111" s="72"/>
      <c r="X111" s="185" t="str">
        <f t="shared" ca="1" si="163"/>
        <v>Completed</v>
      </c>
      <c r="Y111" s="185" t="str">
        <f t="shared" ca="1" si="164"/>
        <v>Completed</v>
      </c>
      <c r="Z111" s="185" t="str">
        <f t="shared" ca="1" si="165"/>
        <v/>
      </c>
      <c r="AA111" s="186" t="str">
        <f t="shared" ca="1" si="166"/>
        <v/>
      </c>
    </row>
    <row r="112" spans="1:27" s="64" customFormat="1" ht="11.5" x14ac:dyDescent="0.25">
      <c r="A112" s="70" t="s">
        <v>61</v>
      </c>
      <c r="B112" s="70" t="s">
        <v>62</v>
      </c>
      <c r="C112" s="70" t="s">
        <v>94</v>
      </c>
      <c r="D112" s="75" t="s">
        <v>314</v>
      </c>
      <c r="E112" s="75" t="s">
        <v>135</v>
      </c>
      <c r="F112" s="116">
        <f t="shared" si="188"/>
        <v>0.7</v>
      </c>
      <c r="G112" s="116">
        <f t="shared" si="188"/>
        <v>0.7</v>
      </c>
      <c r="H112" s="116">
        <f t="shared" si="188"/>
        <v>0.7</v>
      </c>
      <c r="I112" s="116">
        <f t="shared" si="169"/>
        <v>0</v>
      </c>
      <c r="J112" s="81">
        <v>0.15</v>
      </c>
      <c r="K112" s="72">
        <v>46178</v>
      </c>
      <c r="L112" s="72">
        <f t="shared" si="170"/>
        <v>46178</v>
      </c>
      <c r="M112" s="72">
        <v>46150</v>
      </c>
      <c r="N112" s="72">
        <f t="shared" si="171"/>
        <v>46220</v>
      </c>
      <c r="O112" s="72">
        <f t="shared" si="172"/>
        <v>46220</v>
      </c>
      <c r="P112" s="74">
        <v>46227</v>
      </c>
      <c r="Q112" s="72">
        <f t="shared" si="173"/>
        <v>46262</v>
      </c>
      <c r="R112" s="72">
        <f t="shared" si="174"/>
        <v>46262</v>
      </c>
      <c r="S112" s="72"/>
      <c r="T112" s="72">
        <f t="shared" si="175"/>
        <v>46276</v>
      </c>
      <c r="U112" s="72">
        <f t="shared" si="176"/>
        <v>46276</v>
      </c>
      <c r="V112" s="72"/>
      <c r="X112" s="185" t="str">
        <f t="shared" ca="1" si="163"/>
        <v>Completed</v>
      </c>
      <c r="Y112" s="185" t="str">
        <f t="shared" ca="1" si="164"/>
        <v>Completed</v>
      </c>
      <c r="Z112" s="185" t="str">
        <f t="shared" ca="1" si="165"/>
        <v/>
      </c>
      <c r="AA112" s="186" t="str">
        <f t="shared" ca="1" si="166"/>
        <v/>
      </c>
    </row>
    <row r="113" spans="1:27" s="64" customFormat="1" ht="11.5" x14ac:dyDescent="0.25">
      <c r="A113" s="70" t="s">
        <v>61</v>
      </c>
      <c r="B113" s="70" t="s">
        <v>62</v>
      </c>
      <c r="C113" s="70" t="s">
        <v>94</v>
      </c>
      <c r="D113" s="75" t="s">
        <v>315</v>
      </c>
      <c r="E113" s="75" t="s">
        <v>136</v>
      </c>
      <c r="F113" s="116">
        <f t="shared" si="188"/>
        <v>0.7</v>
      </c>
      <c r="G113" s="116">
        <f t="shared" si="188"/>
        <v>0.7</v>
      </c>
      <c r="H113" s="116">
        <f t="shared" si="188"/>
        <v>0.7</v>
      </c>
      <c r="I113" s="116">
        <f t="shared" si="169"/>
        <v>0</v>
      </c>
      <c r="J113" s="81">
        <v>0.15</v>
      </c>
      <c r="K113" s="72">
        <v>46178</v>
      </c>
      <c r="L113" s="72">
        <f t="shared" si="170"/>
        <v>46178</v>
      </c>
      <c r="M113" s="72">
        <v>46150</v>
      </c>
      <c r="N113" s="72">
        <f t="shared" si="171"/>
        <v>46220</v>
      </c>
      <c r="O113" s="72">
        <f t="shared" si="172"/>
        <v>46220</v>
      </c>
      <c r="P113" s="74">
        <v>46227</v>
      </c>
      <c r="Q113" s="72">
        <f t="shared" si="173"/>
        <v>46262</v>
      </c>
      <c r="R113" s="72">
        <f t="shared" si="174"/>
        <v>46262</v>
      </c>
      <c r="S113" s="72"/>
      <c r="T113" s="72">
        <f t="shared" si="175"/>
        <v>46276</v>
      </c>
      <c r="U113" s="72">
        <f t="shared" si="176"/>
        <v>46276</v>
      </c>
      <c r="V113" s="72"/>
      <c r="X113" s="185" t="str">
        <f t="shared" ca="1" si="163"/>
        <v>Completed</v>
      </c>
      <c r="Y113" s="185" t="str">
        <f t="shared" ca="1" si="164"/>
        <v>Completed</v>
      </c>
      <c r="Z113" s="185" t="str">
        <f t="shared" ca="1" si="165"/>
        <v/>
      </c>
      <c r="AA113" s="186" t="str">
        <f t="shared" ca="1" si="166"/>
        <v/>
      </c>
    </row>
    <row r="114" spans="1:27" s="64" customFormat="1" ht="11.5" x14ac:dyDescent="0.25">
      <c r="A114" s="70" t="s">
        <v>61</v>
      </c>
      <c r="B114" s="70" t="s">
        <v>62</v>
      </c>
      <c r="C114" s="70" t="s">
        <v>94</v>
      </c>
      <c r="D114" s="75" t="s">
        <v>316</v>
      </c>
      <c r="E114" s="75" t="s">
        <v>137</v>
      </c>
      <c r="F114" s="116">
        <f t="shared" si="188"/>
        <v>0.7</v>
      </c>
      <c r="G114" s="116">
        <f t="shared" si="188"/>
        <v>0.7</v>
      </c>
      <c r="H114" s="116">
        <f t="shared" si="188"/>
        <v>0.7</v>
      </c>
      <c r="I114" s="116">
        <f t="shared" si="169"/>
        <v>0</v>
      </c>
      <c r="J114" s="81">
        <v>0.15</v>
      </c>
      <c r="K114" s="72">
        <v>46178</v>
      </c>
      <c r="L114" s="72">
        <f t="shared" si="170"/>
        <v>46178</v>
      </c>
      <c r="M114" s="72">
        <v>46150</v>
      </c>
      <c r="N114" s="72">
        <f t="shared" si="171"/>
        <v>46220</v>
      </c>
      <c r="O114" s="72">
        <f t="shared" si="172"/>
        <v>46220</v>
      </c>
      <c r="P114" s="74">
        <v>46227</v>
      </c>
      <c r="Q114" s="72">
        <f t="shared" si="173"/>
        <v>46262</v>
      </c>
      <c r="R114" s="72">
        <f t="shared" si="174"/>
        <v>46262</v>
      </c>
      <c r="S114" s="72"/>
      <c r="T114" s="72">
        <f t="shared" si="175"/>
        <v>46276</v>
      </c>
      <c r="U114" s="72">
        <f t="shared" si="176"/>
        <v>46276</v>
      </c>
      <c r="V114" s="72"/>
      <c r="X114" s="185" t="str">
        <f t="shared" ca="1" si="163"/>
        <v>Completed</v>
      </c>
      <c r="Y114" s="185" t="str">
        <f t="shared" ca="1" si="164"/>
        <v>Completed</v>
      </c>
      <c r="Z114" s="185" t="str">
        <f t="shared" ca="1" si="165"/>
        <v/>
      </c>
      <c r="AA114" s="186" t="str">
        <f t="shared" ca="1" si="166"/>
        <v/>
      </c>
    </row>
    <row r="115" spans="1:27" s="64" customFormat="1" ht="11.5" x14ac:dyDescent="0.25">
      <c r="A115" s="70" t="s">
        <v>61</v>
      </c>
      <c r="B115" s="70" t="s">
        <v>62</v>
      </c>
      <c r="C115" s="70" t="s">
        <v>94</v>
      </c>
      <c r="D115" s="75" t="s">
        <v>317</v>
      </c>
      <c r="E115" s="75" t="s">
        <v>138</v>
      </c>
      <c r="F115" s="116">
        <f t="shared" si="188"/>
        <v>0.7</v>
      </c>
      <c r="G115" s="116">
        <f t="shared" si="188"/>
        <v>0.7</v>
      </c>
      <c r="H115" s="116">
        <f t="shared" si="188"/>
        <v>0.7</v>
      </c>
      <c r="I115" s="116">
        <f t="shared" si="169"/>
        <v>0</v>
      </c>
      <c r="J115" s="81">
        <v>0.15</v>
      </c>
      <c r="K115" s="72">
        <v>46178</v>
      </c>
      <c r="L115" s="72">
        <f t="shared" si="170"/>
        <v>46178</v>
      </c>
      <c r="M115" s="72">
        <v>46150</v>
      </c>
      <c r="N115" s="72">
        <f t="shared" si="171"/>
        <v>46220</v>
      </c>
      <c r="O115" s="72">
        <f t="shared" si="172"/>
        <v>46220</v>
      </c>
      <c r="P115" s="74">
        <v>46227</v>
      </c>
      <c r="Q115" s="72">
        <f t="shared" si="173"/>
        <v>46262</v>
      </c>
      <c r="R115" s="72">
        <f t="shared" si="174"/>
        <v>46262</v>
      </c>
      <c r="S115" s="72"/>
      <c r="T115" s="72">
        <f t="shared" si="175"/>
        <v>46276</v>
      </c>
      <c r="U115" s="72">
        <f t="shared" si="176"/>
        <v>46276</v>
      </c>
      <c r="V115" s="72"/>
      <c r="X115" s="185" t="str">
        <f t="shared" ca="1" si="163"/>
        <v>Completed</v>
      </c>
      <c r="Y115" s="185" t="str">
        <f t="shared" ca="1" si="164"/>
        <v>Completed</v>
      </c>
      <c r="Z115" s="185" t="str">
        <f t="shared" ca="1" si="165"/>
        <v/>
      </c>
      <c r="AA115" s="186" t="str">
        <f t="shared" ca="1" si="166"/>
        <v/>
      </c>
    </row>
    <row r="116" spans="1:27" s="64" customFormat="1" ht="11.5" x14ac:dyDescent="0.25">
      <c r="A116" s="70" t="s">
        <v>61</v>
      </c>
      <c r="B116" s="70" t="s">
        <v>62</v>
      </c>
      <c r="C116" s="70" t="s">
        <v>94</v>
      </c>
      <c r="D116" s="75" t="s">
        <v>318</v>
      </c>
      <c r="E116" s="75" t="s">
        <v>139</v>
      </c>
      <c r="F116" s="116">
        <f t="shared" si="188"/>
        <v>0.7</v>
      </c>
      <c r="G116" s="116">
        <f t="shared" si="188"/>
        <v>0.7</v>
      </c>
      <c r="H116" s="116">
        <f t="shared" si="188"/>
        <v>0.7</v>
      </c>
      <c r="I116" s="116">
        <f t="shared" si="169"/>
        <v>0</v>
      </c>
      <c r="J116" s="81">
        <v>0.15</v>
      </c>
      <c r="K116" s="72">
        <v>46178</v>
      </c>
      <c r="L116" s="72">
        <f t="shared" si="170"/>
        <v>46178</v>
      </c>
      <c r="M116" s="72">
        <v>46150</v>
      </c>
      <c r="N116" s="72">
        <f t="shared" si="171"/>
        <v>46220</v>
      </c>
      <c r="O116" s="72">
        <f t="shared" si="172"/>
        <v>46220</v>
      </c>
      <c r="P116" s="74">
        <v>46227</v>
      </c>
      <c r="Q116" s="72">
        <f t="shared" si="173"/>
        <v>46262</v>
      </c>
      <c r="R116" s="72">
        <f t="shared" si="174"/>
        <v>46262</v>
      </c>
      <c r="S116" s="72"/>
      <c r="T116" s="72">
        <f t="shared" si="175"/>
        <v>46276</v>
      </c>
      <c r="U116" s="72">
        <f t="shared" si="176"/>
        <v>46276</v>
      </c>
      <c r="V116" s="72"/>
      <c r="X116" s="185" t="str">
        <f t="shared" ca="1" si="163"/>
        <v>Completed</v>
      </c>
      <c r="Y116" s="185" t="str">
        <f t="shared" ca="1" si="164"/>
        <v>Completed</v>
      </c>
      <c r="Z116" s="185" t="str">
        <f t="shared" ca="1" si="165"/>
        <v/>
      </c>
      <c r="AA116" s="186" t="str">
        <f t="shared" ca="1" si="166"/>
        <v/>
      </c>
    </row>
    <row r="117" spans="1:27" s="64" customFormat="1" ht="11.5" x14ac:dyDescent="0.25">
      <c r="A117" s="70" t="s">
        <v>61</v>
      </c>
      <c r="B117" s="70" t="s">
        <v>62</v>
      </c>
      <c r="C117" s="70" t="s">
        <v>94</v>
      </c>
      <c r="D117" s="75" t="s">
        <v>319</v>
      </c>
      <c r="E117" s="75" t="s">
        <v>140</v>
      </c>
      <c r="F117" s="116">
        <f t="shared" si="188"/>
        <v>0.7</v>
      </c>
      <c r="G117" s="116">
        <f t="shared" si="188"/>
        <v>0.7</v>
      </c>
      <c r="H117" s="116">
        <f t="shared" si="188"/>
        <v>0.7</v>
      </c>
      <c r="I117" s="116">
        <f t="shared" si="169"/>
        <v>0</v>
      </c>
      <c r="J117" s="81">
        <v>0.15</v>
      </c>
      <c r="K117" s="72">
        <v>46178</v>
      </c>
      <c r="L117" s="72">
        <f t="shared" si="170"/>
        <v>46178</v>
      </c>
      <c r="M117" s="72">
        <v>46150</v>
      </c>
      <c r="N117" s="72">
        <f t="shared" si="171"/>
        <v>46220</v>
      </c>
      <c r="O117" s="72">
        <f t="shared" si="172"/>
        <v>46220</v>
      </c>
      <c r="P117" s="74">
        <v>46227</v>
      </c>
      <c r="Q117" s="72">
        <f t="shared" si="173"/>
        <v>46262</v>
      </c>
      <c r="R117" s="72">
        <f t="shared" si="174"/>
        <v>46262</v>
      </c>
      <c r="S117" s="72"/>
      <c r="T117" s="72">
        <f t="shared" si="175"/>
        <v>46276</v>
      </c>
      <c r="U117" s="72">
        <f t="shared" si="176"/>
        <v>46276</v>
      </c>
      <c r="V117" s="72"/>
      <c r="X117" s="185" t="str">
        <f t="shared" ca="1" si="163"/>
        <v>Completed</v>
      </c>
      <c r="Y117" s="185" t="str">
        <f t="shared" ca="1" si="164"/>
        <v>Completed</v>
      </c>
      <c r="Z117" s="185" t="str">
        <f t="shared" ca="1" si="165"/>
        <v/>
      </c>
      <c r="AA117" s="186" t="str">
        <f t="shared" ca="1" si="166"/>
        <v/>
      </c>
    </row>
    <row r="118" spans="1:27" s="64" customFormat="1" ht="11.5" x14ac:dyDescent="0.25">
      <c r="A118" s="70" t="s">
        <v>61</v>
      </c>
      <c r="B118" s="70" t="s">
        <v>62</v>
      </c>
      <c r="C118" s="70" t="s">
        <v>94</v>
      </c>
      <c r="D118" s="75" t="s">
        <v>320</v>
      </c>
      <c r="E118" s="75" t="s">
        <v>141</v>
      </c>
      <c r="F118" s="116">
        <f t="shared" si="188"/>
        <v>0.7</v>
      </c>
      <c r="G118" s="116">
        <f t="shared" si="188"/>
        <v>0.7</v>
      </c>
      <c r="H118" s="116">
        <f t="shared" si="188"/>
        <v>0.7</v>
      </c>
      <c r="I118" s="116">
        <f t="shared" si="169"/>
        <v>0</v>
      </c>
      <c r="J118" s="81">
        <v>0.15</v>
      </c>
      <c r="K118" s="72">
        <v>46178</v>
      </c>
      <c r="L118" s="72">
        <f t="shared" si="170"/>
        <v>46178</v>
      </c>
      <c r="M118" s="72">
        <v>46150</v>
      </c>
      <c r="N118" s="72">
        <f t="shared" si="171"/>
        <v>46220</v>
      </c>
      <c r="O118" s="72">
        <f t="shared" si="172"/>
        <v>46220</v>
      </c>
      <c r="P118" s="74">
        <v>46227</v>
      </c>
      <c r="Q118" s="72">
        <f t="shared" si="173"/>
        <v>46262</v>
      </c>
      <c r="R118" s="72">
        <f t="shared" si="174"/>
        <v>46262</v>
      </c>
      <c r="S118" s="72"/>
      <c r="T118" s="72">
        <f t="shared" si="175"/>
        <v>46276</v>
      </c>
      <c r="U118" s="72">
        <f t="shared" si="176"/>
        <v>46276</v>
      </c>
      <c r="V118" s="72"/>
      <c r="X118" s="185" t="str">
        <f t="shared" ca="1" si="163"/>
        <v>Completed</v>
      </c>
      <c r="Y118" s="185" t="str">
        <f t="shared" ca="1" si="164"/>
        <v>Completed</v>
      </c>
      <c r="Z118" s="185" t="str">
        <f t="shared" ca="1" si="165"/>
        <v/>
      </c>
      <c r="AA118" s="186" t="str">
        <f t="shared" ca="1" si="166"/>
        <v/>
      </c>
    </row>
    <row r="119" spans="1:27" s="64" customFormat="1" ht="11.5" x14ac:dyDescent="0.25">
      <c r="A119" s="70" t="s">
        <v>61</v>
      </c>
      <c r="B119" s="70" t="s">
        <v>62</v>
      </c>
      <c r="C119" s="70" t="s">
        <v>94</v>
      </c>
      <c r="D119" s="75" t="s">
        <v>321</v>
      </c>
      <c r="E119" s="75" t="s">
        <v>142</v>
      </c>
      <c r="F119" s="116">
        <f t="shared" si="188"/>
        <v>0.7</v>
      </c>
      <c r="G119" s="116">
        <f t="shared" si="188"/>
        <v>0.7</v>
      </c>
      <c r="H119" s="116">
        <f t="shared" si="188"/>
        <v>0.7</v>
      </c>
      <c r="I119" s="116">
        <f t="shared" si="169"/>
        <v>0</v>
      </c>
      <c r="J119" s="81">
        <v>0.15</v>
      </c>
      <c r="K119" s="72">
        <v>46178</v>
      </c>
      <c r="L119" s="72">
        <f t="shared" si="170"/>
        <v>46178</v>
      </c>
      <c r="M119" s="72">
        <v>46150</v>
      </c>
      <c r="N119" s="72">
        <f t="shared" si="171"/>
        <v>46220</v>
      </c>
      <c r="O119" s="72">
        <f t="shared" si="172"/>
        <v>46220</v>
      </c>
      <c r="P119" s="74">
        <v>46227</v>
      </c>
      <c r="Q119" s="72">
        <f t="shared" si="173"/>
        <v>46262</v>
      </c>
      <c r="R119" s="72">
        <f t="shared" si="174"/>
        <v>46262</v>
      </c>
      <c r="S119" s="72"/>
      <c r="T119" s="72">
        <f t="shared" si="175"/>
        <v>46276</v>
      </c>
      <c r="U119" s="72">
        <f t="shared" si="176"/>
        <v>46276</v>
      </c>
      <c r="V119" s="72"/>
      <c r="X119" s="185" t="str">
        <f t="shared" ca="1" si="163"/>
        <v>Completed</v>
      </c>
      <c r="Y119" s="185" t="str">
        <f t="shared" ca="1" si="164"/>
        <v>Completed</v>
      </c>
      <c r="Z119" s="185" t="str">
        <f t="shared" ca="1" si="165"/>
        <v/>
      </c>
      <c r="AA119" s="186" t="str">
        <f t="shared" ca="1" si="166"/>
        <v/>
      </c>
    </row>
    <row r="120" spans="1:27" s="64" customFormat="1" ht="11.5" x14ac:dyDescent="0.25">
      <c r="A120" s="70" t="s">
        <v>61</v>
      </c>
      <c r="B120" s="70" t="s">
        <v>62</v>
      </c>
      <c r="C120" s="70" t="s">
        <v>94</v>
      </c>
      <c r="D120" s="75" t="s">
        <v>322</v>
      </c>
      <c r="E120" s="75" t="s">
        <v>143</v>
      </c>
      <c r="F120" s="116">
        <f t="shared" si="188"/>
        <v>0.7</v>
      </c>
      <c r="G120" s="116">
        <f t="shared" si="188"/>
        <v>0.7</v>
      </c>
      <c r="H120" s="116">
        <f t="shared" si="188"/>
        <v>0.7</v>
      </c>
      <c r="I120" s="116">
        <f t="shared" si="169"/>
        <v>0</v>
      </c>
      <c r="J120" s="81">
        <v>0.15</v>
      </c>
      <c r="K120" s="72">
        <v>46178</v>
      </c>
      <c r="L120" s="72">
        <f t="shared" si="170"/>
        <v>46178</v>
      </c>
      <c r="M120" s="72">
        <v>46150</v>
      </c>
      <c r="N120" s="72">
        <f t="shared" si="171"/>
        <v>46220</v>
      </c>
      <c r="O120" s="72">
        <f t="shared" si="172"/>
        <v>46220</v>
      </c>
      <c r="P120" s="74">
        <v>46227</v>
      </c>
      <c r="Q120" s="72">
        <f t="shared" si="173"/>
        <v>46262</v>
      </c>
      <c r="R120" s="72">
        <f t="shared" si="174"/>
        <v>46262</v>
      </c>
      <c r="S120" s="72"/>
      <c r="T120" s="72">
        <f t="shared" si="175"/>
        <v>46276</v>
      </c>
      <c r="U120" s="72">
        <f t="shared" si="176"/>
        <v>46276</v>
      </c>
      <c r="V120" s="72"/>
      <c r="X120" s="185" t="str">
        <f t="shared" ca="1" si="163"/>
        <v>Completed</v>
      </c>
      <c r="Y120" s="185" t="str">
        <f t="shared" ca="1" si="164"/>
        <v>Completed</v>
      </c>
      <c r="Z120" s="185" t="str">
        <f t="shared" ca="1" si="165"/>
        <v/>
      </c>
      <c r="AA120" s="186" t="str">
        <f t="shared" ca="1" si="166"/>
        <v/>
      </c>
    </row>
    <row r="121" spans="1:27" s="64" customFormat="1" ht="11.5" x14ac:dyDescent="0.25">
      <c r="A121" s="70" t="s">
        <v>61</v>
      </c>
      <c r="B121" s="70" t="s">
        <v>62</v>
      </c>
      <c r="C121" s="70" t="s">
        <v>94</v>
      </c>
      <c r="D121" s="75" t="s">
        <v>323</v>
      </c>
      <c r="E121" s="75" t="s">
        <v>144</v>
      </c>
      <c r="F121" s="116">
        <f t="shared" si="188"/>
        <v>0.7</v>
      </c>
      <c r="G121" s="116">
        <f t="shared" si="188"/>
        <v>0.7</v>
      </c>
      <c r="H121" s="116">
        <f t="shared" si="188"/>
        <v>0.7</v>
      </c>
      <c r="I121" s="116">
        <f t="shared" si="169"/>
        <v>0</v>
      </c>
      <c r="J121" s="81">
        <v>0.15</v>
      </c>
      <c r="K121" s="72">
        <v>46178</v>
      </c>
      <c r="L121" s="72">
        <f t="shared" si="170"/>
        <v>46178</v>
      </c>
      <c r="M121" s="72">
        <v>46150</v>
      </c>
      <c r="N121" s="72">
        <f t="shared" si="171"/>
        <v>46220</v>
      </c>
      <c r="O121" s="72">
        <f t="shared" si="172"/>
        <v>46220</v>
      </c>
      <c r="P121" s="74">
        <v>46227</v>
      </c>
      <c r="Q121" s="72">
        <f t="shared" si="173"/>
        <v>46262</v>
      </c>
      <c r="R121" s="72">
        <f t="shared" si="174"/>
        <v>46262</v>
      </c>
      <c r="S121" s="72"/>
      <c r="T121" s="72">
        <f t="shared" si="175"/>
        <v>46276</v>
      </c>
      <c r="U121" s="72">
        <f t="shared" si="176"/>
        <v>46276</v>
      </c>
      <c r="V121" s="72"/>
      <c r="X121" s="185" t="str">
        <f t="shared" ca="1" si="163"/>
        <v>Completed</v>
      </c>
      <c r="Y121" s="185" t="str">
        <f t="shared" ca="1" si="164"/>
        <v>Completed</v>
      </c>
      <c r="Z121" s="185" t="str">
        <f t="shared" ca="1" si="165"/>
        <v/>
      </c>
      <c r="AA121" s="186" t="str">
        <f t="shared" ca="1" si="166"/>
        <v/>
      </c>
    </row>
    <row r="122" spans="1:27" s="64" customFormat="1" ht="11.5" x14ac:dyDescent="0.25">
      <c r="A122" s="70" t="s">
        <v>61</v>
      </c>
      <c r="B122" s="70" t="s">
        <v>62</v>
      </c>
      <c r="C122" s="70" t="s">
        <v>94</v>
      </c>
      <c r="D122" s="75" t="s">
        <v>324</v>
      </c>
      <c r="E122" s="75" t="s">
        <v>145</v>
      </c>
      <c r="F122" s="116">
        <f t="shared" si="188"/>
        <v>0.7</v>
      </c>
      <c r="G122" s="116">
        <f t="shared" si="188"/>
        <v>0.7</v>
      </c>
      <c r="H122" s="116">
        <f t="shared" si="188"/>
        <v>0.7</v>
      </c>
      <c r="I122" s="116">
        <f t="shared" si="169"/>
        <v>0</v>
      </c>
      <c r="J122" s="81">
        <v>0.15</v>
      </c>
      <c r="K122" s="72">
        <v>46178</v>
      </c>
      <c r="L122" s="72">
        <f t="shared" si="170"/>
        <v>46178</v>
      </c>
      <c r="M122" s="72">
        <v>46150</v>
      </c>
      <c r="N122" s="72">
        <f t="shared" si="171"/>
        <v>46220</v>
      </c>
      <c r="O122" s="72">
        <f t="shared" si="172"/>
        <v>46220</v>
      </c>
      <c r="P122" s="74">
        <v>46227</v>
      </c>
      <c r="Q122" s="72">
        <f t="shared" si="173"/>
        <v>46262</v>
      </c>
      <c r="R122" s="72">
        <f t="shared" si="174"/>
        <v>46262</v>
      </c>
      <c r="S122" s="72"/>
      <c r="T122" s="72">
        <f t="shared" si="175"/>
        <v>46276</v>
      </c>
      <c r="U122" s="72">
        <f t="shared" si="176"/>
        <v>46276</v>
      </c>
      <c r="V122" s="72"/>
      <c r="X122" s="185" t="str">
        <f t="shared" ca="1" si="163"/>
        <v>Completed</v>
      </c>
      <c r="Y122" s="185" t="str">
        <f t="shared" ca="1" si="164"/>
        <v>Completed</v>
      </c>
      <c r="Z122" s="185" t="str">
        <f t="shared" ca="1" si="165"/>
        <v/>
      </c>
      <c r="AA122" s="186" t="str">
        <f t="shared" ca="1" si="166"/>
        <v/>
      </c>
    </row>
    <row r="123" spans="1:27" s="64" customFormat="1" ht="11.5" x14ac:dyDescent="0.25">
      <c r="A123" s="70" t="s">
        <v>61</v>
      </c>
      <c r="B123" s="70" t="s">
        <v>62</v>
      </c>
      <c r="C123" s="70" t="s">
        <v>94</v>
      </c>
      <c r="D123" s="75" t="s">
        <v>409</v>
      </c>
      <c r="E123" s="75" t="s">
        <v>410</v>
      </c>
      <c r="F123" s="116">
        <f t="shared" ref="F123" si="193">(COUNTIFS(K123,"&lt;="&amp;$D$1)*50%)+(COUNTIFS(N123,"&lt;="&amp;$D$1)*20%)+(COUNTIFS(Q123,"&lt;="&amp;$D$1)*10%)+(COUNTIFS(T123,"&lt;="&amp;$D$1)*20%)</f>
        <v>0.7</v>
      </c>
      <c r="G123" s="116">
        <f t="shared" ref="G123" si="194">(COUNTIFS(L123,"&lt;="&amp;$D$1)*50%)+(COUNTIFS(O123,"&lt;="&amp;$D$1)*20%)+(COUNTIFS(R123,"&lt;="&amp;$D$1)*10%)+(COUNTIFS(U123,"&lt;="&amp;$D$1)*20%)</f>
        <v>0.7</v>
      </c>
      <c r="H123" s="116">
        <f t="shared" ref="H123" si="195">(COUNTIFS(M123,"&lt;="&amp;$D$1)*50%)+(COUNTIFS(P123,"&lt;="&amp;$D$1)*20%)+(COUNTIFS(S123,"&lt;="&amp;$D$1)*10%)+(COUNTIFS(V123,"&lt;="&amp;$D$1)*20%)</f>
        <v>0.7</v>
      </c>
      <c r="I123" s="116">
        <f t="shared" ref="I123" si="196">H123-F123</f>
        <v>0</v>
      </c>
      <c r="J123" s="81">
        <v>0.15</v>
      </c>
      <c r="K123" s="72">
        <v>46178</v>
      </c>
      <c r="L123" s="72">
        <f t="shared" ref="L123" si="197">K123</f>
        <v>46178</v>
      </c>
      <c r="M123" s="72">
        <v>46150</v>
      </c>
      <c r="N123" s="72">
        <f t="shared" ref="N123" si="198">K123+42</f>
        <v>46220</v>
      </c>
      <c r="O123" s="72">
        <f t="shared" ref="O123" si="199">N123</f>
        <v>46220</v>
      </c>
      <c r="P123" s="74">
        <v>46227</v>
      </c>
      <c r="Q123" s="72">
        <f t="shared" ref="Q123" si="200">N123+42</f>
        <v>46262</v>
      </c>
      <c r="R123" s="72">
        <f t="shared" ref="R123" si="201">Q123</f>
        <v>46262</v>
      </c>
      <c r="S123" s="72"/>
      <c r="T123" s="72">
        <f t="shared" ref="T123" si="202">Q123+14</f>
        <v>46276</v>
      </c>
      <c r="U123" s="72">
        <f t="shared" ref="U123" si="203">T123</f>
        <v>46276</v>
      </c>
      <c r="V123" s="72"/>
      <c r="X123" s="185" t="str">
        <f t="shared" ca="1" si="163"/>
        <v>Completed</v>
      </c>
      <c r="Y123" s="185" t="str">
        <f t="shared" ca="1" si="164"/>
        <v>Completed</v>
      </c>
      <c r="Z123" s="185" t="str">
        <f t="shared" ca="1" si="165"/>
        <v/>
      </c>
      <c r="AA123" s="186" t="str">
        <f t="shared" ca="1" si="166"/>
        <v/>
      </c>
    </row>
    <row r="124" spans="1:27" s="64" customFormat="1" ht="11.5" x14ac:dyDescent="0.25">
      <c r="A124" s="70" t="s">
        <v>61</v>
      </c>
      <c r="B124" s="70" t="s">
        <v>62</v>
      </c>
      <c r="C124" s="70" t="s">
        <v>94</v>
      </c>
      <c r="D124" s="75" t="s">
        <v>325</v>
      </c>
      <c r="E124" s="75" t="s">
        <v>146</v>
      </c>
      <c r="F124" s="116">
        <f t="shared" si="188"/>
        <v>0.7</v>
      </c>
      <c r="G124" s="116">
        <f t="shared" si="188"/>
        <v>0.7</v>
      </c>
      <c r="H124" s="116">
        <f t="shared" si="188"/>
        <v>0.5</v>
      </c>
      <c r="I124" s="116">
        <f t="shared" si="169"/>
        <v>-0.19999999999999996</v>
      </c>
      <c r="J124" s="81">
        <v>0.15</v>
      </c>
      <c r="K124" s="72">
        <v>46185</v>
      </c>
      <c r="L124" s="72">
        <f t="shared" si="170"/>
        <v>46185</v>
      </c>
      <c r="M124" s="72">
        <v>46171</v>
      </c>
      <c r="N124" s="72">
        <f t="shared" si="171"/>
        <v>46227</v>
      </c>
      <c r="O124" s="72">
        <f t="shared" si="172"/>
        <v>46227</v>
      </c>
      <c r="P124" s="72"/>
      <c r="Q124" s="72">
        <f t="shared" si="173"/>
        <v>46269</v>
      </c>
      <c r="R124" s="72">
        <f t="shared" si="174"/>
        <v>46269</v>
      </c>
      <c r="S124" s="72"/>
      <c r="T124" s="72">
        <f t="shared" si="175"/>
        <v>46283</v>
      </c>
      <c r="U124" s="72">
        <f t="shared" si="176"/>
        <v>46283</v>
      </c>
      <c r="V124" s="72"/>
      <c r="X124" s="185" t="str">
        <f t="shared" ca="1" si="163"/>
        <v>Completed</v>
      </c>
      <c r="Y124" s="185" t="str">
        <f t="shared" ca="1" si="164"/>
        <v>Overdue</v>
      </c>
      <c r="Z124" s="185" t="str">
        <f t="shared" ca="1" si="165"/>
        <v/>
      </c>
      <c r="AA124" s="186" t="str">
        <f t="shared" ca="1" si="166"/>
        <v/>
      </c>
    </row>
    <row r="125" spans="1:27" s="64" customFormat="1" ht="11.5" x14ac:dyDescent="0.25">
      <c r="A125" s="70" t="s">
        <v>61</v>
      </c>
      <c r="B125" s="70" t="s">
        <v>62</v>
      </c>
      <c r="C125" s="70" t="s">
        <v>94</v>
      </c>
      <c r="D125" s="75" t="s">
        <v>326</v>
      </c>
      <c r="E125" s="75" t="s">
        <v>147</v>
      </c>
      <c r="F125" s="116">
        <f t="shared" si="188"/>
        <v>0.7</v>
      </c>
      <c r="G125" s="116">
        <f t="shared" si="188"/>
        <v>0.7</v>
      </c>
      <c r="H125" s="116">
        <f t="shared" si="188"/>
        <v>0.5</v>
      </c>
      <c r="I125" s="116">
        <f t="shared" si="169"/>
        <v>-0.19999999999999996</v>
      </c>
      <c r="J125" s="81">
        <v>0.15</v>
      </c>
      <c r="K125" s="72">
        <v>46185</v>
      </c>
      <c r="L125" s="72">
        <f t="shared" si="170"/>
        <v>46185</v>
      </c>
      <c r="M125" s="72">
        <v>46171</v>
      </c>
      <c r="N125" s="72">
        <f t="shared" si="171"/>
        <v>46227</v>
      </c>
      <c r="O125" s="72">
        <f t="shared" si="172"/>
        <v>46227</v>
      </c>
      <c r="P125" s="72"/>
      <c r="Q125" s="72">
        <f t="shared" si="173"/>
        <v>46269</v>
      </c>
      <c r="R125" s="72">
        <f t="shared" si="174"/>
        <v>46269</v>
      </c>
      <c r="S125" s="72"/>
      <c r="T125" s="72">
        <f t="shared" si="175"/>
        <v>46283</v>
      </c>
      <c r="U125" s="72">
        <f t="shared" si="176"/>
        <v>46283</v>
      </c>
      <c r="V125" s="72"/>
      <c r="X125" s="185" t="str">
        <f t="shared" ca="1" si="163"/>
        <v>Completed</v>
      </c>
      <c r="Y125" s="185" t="str">
        <f t="shared" ca="1" si="164"/>
        <v>Overdue</v>
      </c>
      <c r="Z125" s="185" t="str">
        <f t="shared" ca="1" si="165"/>
        <v/>
      </c>
      <c r="AA125" s="186" t="str">
        <f t="shared" ca="1" si="166"/>
        <v/>
      </c>
    </row>
    <row r="126" spans="1:27" s="64" customFormat="1" ht="11.5" x14ac:dyDescent="0.25">
      <c r="A126" s="70" t="s">
        <v>61</v>
      </c>
      <c r="B126" s="70" t="s">
        <v>62</v>
      </c>
      <c r="C126" s="70" t="s">
        <v>94</v>
      </c>
      <c r="D126" s="75" t="s">
        <v>327</v>
      </c>
      <c r="E126" s="75" t="s">
        <v>148</v>
      </c>
      <c r="F126" s="116">
        <f t="shared" si="188"/>
        <v>0.7</v>
      </c>
      <c r="G126" s="116">
        <f t="shared" si="188"/>
        <v>0.7</v>
      </c>
      <c r="H126" s="116">
        <f t="shared" si="188"/>
        <v>0.7</v>
      </c>
      <c r="I126" s="116">
        <f t="shared" si="169"/>
        <v>0</v>
      </c>
      <c r="J126" s="81">
        <v>0.15</v>
      </c>
      <c r="K126" s="72">
        <v>46185</v>
      </c>
      <c r="L126" s="72">
        <f t="shared" si="170"/>
        <v>46185</v>
      </c>
      <c r="M126" s="72">
        <v>46161</v>
      </c>
      <c r="N126" s="72">
        <f t="shared" si="171"/>
        <v>46227</v>
      </c>
      <c r="O126" s="72">
        <f t="shared" si="172"/>
        <v>46227</v>
      </c>
      <c r="P126" s="72">
        <v>46234</v>
      </c>
      <c r="Q126" s="72">
        <f t="shared" si="173"/>
        <v>46269</v>
      </c>
      <c r="R126" s="72">
        <f t="shared" si="174"/>
        <v>46269</v>
      </c>
      <c r="S126" s="72"/>
      <c r="T126" s="72">
        <f t="shared" si="175"/>
        <v>46283</v>
      </c>
      <c r="U126" s="72">
        <f t="shared" si="176"/>
        <v>46283</v>
      </c>
      <c r="V126" s="72"/>
      <c r="X126" s="185" t="str">
        <f t="shared" ca="1" si="163"/>
        <v>Completed</v>
      </c>
      <c r="Y126" s="185" t="str">
        <f t="shared" ca="1" si="164"/>
        <v>Completed</v>
      </c>
      <c r="Z126" s="185" t="str">
        <f t="shared" ca="1" si="165"/>
        <v/>
      </c>
      <c r="AA126" s="186" t="str">
        <f t="shared" ca="1" si="166"/>
        <v/>
      </c>
    </row>
    <row r="127" spans="1:27" s="64" customFormat="1" ht="11.5" x14ac:dyDescent="0.25">
      <c r="A127" s="70" t="s">
        <v>61</v>
      </c>
      <c r="B127" s="70" t="s">
        <v>62</v>
      </c>
      <c r="C127" s="70" t="s">
        <v>94</v>
      </c>
      <c r="D127" s="75" t="s">
        <v>328</v>
      </c>
      <c r="E127" s="75" t="s">
        <v>149</v>
      </c>
      <c r="F127" s="116">
        <f t="shared" si="188"/>
        <v>0.7</v>
      </c>
      <c r="G127" s="116">
        <f t="shared" si="188"/>
        <v>0.7</v>
      </c>
      <c r="H127" s="116">
        <f t="shared" si="188"/>
        <v>0.7</v>
      </c>
      <c r="I127" s="116">
        <f t="shared" si="169"/>
        <v>0</v>
      </c>
      <c r="J127" s="81">
        <v>0.15</v>
      </c>
      <c r="K127" s="72">
        <v>46185</v>
      </c>
      <c r="L127" s="72">
        <f t="shared" si="170"/>
        <v>46185</v>
      </c>
      <c r="M127" s="72">
        <v>46161</v>
      </c>
      <c r="N127" s="72">
        <f t="shared" si="171"/>
        <v>46227</v>
      </c>
      <c r="O127" s="72">
        <f t="shared" si="172"/>
        <v>46227</v>
      </c>
      <c r="P127" s="72">
        <v>46234</v>
      </c>
      <c r="Q127" s="72">
        <f t="shared" si="173"/>
        <v>46269</v>
      </c>
      <c r="R127" s="72">
        <f t="shared" si="174"/>
        <v>46269</v>
      </c>
      <c r="S127" s="72"/>
      <c r="T127" s="72">
        <f t="shared" si="175"/>
        <v>46283</v>
      </c>
      <c r="U127" s="72">
        <f t="shared" si="176"/>
        <v>46283</v>
      </c>
      <c r="V127" s="72"/>
      <c r="X127" s="185" t="str">
        <f t="shared" ca="1" si="163"/>
        <v>Completed</v>
      </c>
      <c r="Y127" s="185" t="str">
        <f t="shared" ca="1" si="164"/>
        <v>Completed</v>
      </c>
      <c r="Z127" s="185" t="str">
        <f t="shared" ca="1" si="165"/>
        <v/>
      </c>
      <c r="AA127" s="186" t="str">
        <f t="shared" ca="1" si="166"/>
        <v/>
      </c>
    </row>
    <row r="128" spans="1:27" s="64" customFormat="1" ht="11.5" x14ac:dyDescent="0.25">
      <c r="A128" s="70" t="s">
        <v>61</v>
      </c>
      <c r="B128" s="70" t="s">
        <v>62</v>
      </c>
      <c r="C128" s="70" t="s">
        <v>94</v>
      </c>
      <c r="D128" s="75" t="s">
        <v>329</v>
      </c>
      <c r="E128" s="75" t="s">
        <v>150</v>
      </c>
      <c r="F128" s="116">
        <f t="shared" si="188"/>
        <v>0.7</v>
      </c>
      <c r="G128" s="116">
        <f t="shared" si="188"/>
        <v>0.7</v>
      </c>
      <c r="H128" s="116">
        <f t="shared" si="188"/>
        <v>0.7</v>
      </c>
      <c r="I128" s="116">
        <f t="shared" si="169"/>
        <v>0</v>
      </c>
      <c r="J128" s="81">
        <v>0.15</v>
      </c>
      <c r="K128" s="72">
        <v>46185</v>
      </c>
      <c r="L128" s="72">
        <f t="shared" si="170"/>
        <v>46185</v>
      </c>
      <c r="M128" s="72">
        <v>46161</v>
      </c>
      <c r="N128" s="72">
        <f t="shared" si="171"/>
        <v>46227</v>
      </c>
      <c r="O128" s="72">
        <f t="shared" si="172"/>
        <v>46227</v>
      </c>
      <c r="P128" s="72">
        <v>46234</v>
      </c>
      <c r="Q128" s="72">
        <f t="shared" si="173"/>
        <v>46269</v>
      </c>
      <c r="R128" s="72">
        <f t="shared" si="174"/>
        <v>46269</v>
      </c>
      <c r="S128" s="72"/>
      <c r="T128" s="72">
        <f t="shared" si="175"/>
        <v>46283</v>
      </c>
      <c r="U128" s="72">
        <f t="shared" si="176"/>
        <v>46283</v>
      </c>
      <c r="V128" s="72"/>
      <c r="X128" s="185" t="str">
        <f t="shared" ca="1" si="163"/>
        <v>Completed</v>
      </c>
      <c r="Y128" s="185" t="str">
        <f t="shared" ca="1" si="164"/>
        <v>Completed</v>
      </c>
      <c r="Z128" s="185" t="str">
        <f t="shared" ca="1" si="165"/>
        <v/>
      </c>
      <c r="AA128" s="186" t="str">
        <f t="shared" ca="1" si="166"/>
        <v/>
      </c>
    </row>
    <row r="129" spans="1:27" s="64" customFormat="1" ht="11.5" x14ac:dyDescent="0.25">
      <c r="A129" s="70" t="s">
        <v>61</v>
      </c>
      <c r="B129" s="70" t="s">
        <v>62</v>
      </c>
      <c r="C129" s="70" t="s">
        <v>94</v>
      </c>
      <c r="D129" s="75" t="s">
        <v>330</v>
      </c>
      <c r="E129" s="75" t="s">
        <v>151</v>
      </c>
      <c r="F129" s="116">
        <f t="shared" si="188"/>
        <v>0.7</v>
      </c>
      <c r="G129" s="116">
        <f t="shared" si="188"/>
        <v>0.7</v>
      </c>
      <c r="H129" s="116">
        <f t="shared" si="188"/>
        <v>0.7</v>
      </c>
      <c r="I129" s="116">
        <f t="shared" si="169"/>
        <v>0</v>
      </c>
      <c r="J129" s="81">
        <v>0.15</v>
      </c>
      <c r="K129" s="72">
        <v>46185</v>
      </c>
      <c r="L129" s="72">
        <f t="shared" si="170"/>
        <v>46185</v>
      </c>
      <c r="M129" s="72">
        <v>46161</v>
      </c>
      <c r="N129" s="72">
        <f t="shared" si="171"/>
        <v>46227</v>
      </c>
      <c r="O129" s="72">
        <f t="shared" si="172"/>
        <v>46227</v>
      </c>
      <c r="P129" s="72">
        <v>46234</v>
      </c>
      <c r="Q129" s="72">
        <f t="shared" si="173"/>
        <v>46269</v>
      </c>
      <c r="R129" s="72">
        <f t="shared" si="174"/>
        <v>46269</v>
      </c>
      <c r="S129" s="72"/>
      <c r="T129" s="72">
        <f t="shared" si="175"/>
        <v>46283</v>
      </c>
      <c r="U129" s="72">
        <f t="shared" si="176"/>
        <v>46283</v>
      </c>
      <c r="V129" s="72"/>
      <c r="X129" s="185" t="str">
        <f t="shared" ca="1" si="163"/>
        <v>Completed</v>
      </c>
      <c r="Y129" s="185" t="str">
        <f t="shared" ca="1" si="164"/>
        <v>Completed</v>
      </c>
      <c r="Z129" s="185" t="str">
        <f t="shared" ca="1" si="165"/>
        <v/>
      </c>
      <c r="AA129" s="186" t="str">
        <f t="shared" ca="1" si="166"/>
        <v/>
      </c>
    </row>
    <row r="130" spans="1:27" s="64" customFormat="1" ht="11.5" x14ac:dyDescent="0.25">
      <c r="A130" s="70" t="s">
        <v>61</v>
      </c>
      <c r="B130" s="70" t="s">
        <v>62</v>
      </c>
      <c r="C130" s="70" t="s">
        <v>94</v>
      </c>
      <c r="D130" s="75" t="s">
        <v>331</v>
      </c>
      <c r="E130" s="75" t="s">
        <v>152</v>
      </c>
      <c r="F130" s="116">
        <f t="shared" si="188"/>
        <v>0.7</v>
      </c>
      <c r="G130" s="116">
        <f t="shared" si="188"/>
        <v>0.7</v>
      </c>
      <c r="H130" s="116">
        <f t="shared" si="188"/>
        <v>0.7</v>
      </c>
      <c r="I130" s="116">
        <f t="shared" si="169"/>
        <v>0</v>
      </c>
      <c r="J130" s="81">
        <v>0.15</v>
      </c>
      <c r="K130" s="72">
        <v>46185</v>
      </c>
      <c r="L130" s="72">
        <f t="shared" si="170"/>
        <v>46185</v>
      </c>
      <c r="M130" s="72">
        <v>46161</v>
      </c>
      <c r="N130" s="72">
        <f t="shared" si="171"/>
        <v>46227</v>
      </c>
      <c r="O130" s="72">
        <f t="shared" si="172"/>
        <v>46227</v>
      </c>
      <c r="P130" s="72">
        <v>46234</v>
      </c>
      <c r="Q130" s="72">
        <f t="shared" si="173"/>
        <v>46269</v>
      </c>
      <c r="R130" s="72">
        <f t="shared" si="174"/>
        <v>46269</v>
      </c>
      <c r="S130" s="72"/>
      <c r="T130" s="72">
        <f t="shared" si="175"/>
        <v>46283</v>
      </c>
      <c r="U130" s="72">
        <f t="shared" si="176"/>
        <v>46283</v>
      </c>
      <c r="V130" s="72"/>
      <c r="X130" s="185" t="str">
        <f t="shared" ca="1" si="163"/>
        <v>Completed</v>
      </c>
      <c r="Y130" s="185" t="str">
        <f t="shared" ca="1" si="164"/>
        <v>Completed</v>
      </c>
      <c r="Z130" s="185" t="str">
        <f t="shared" ca="1" si="165"/>
        <v/>
      </c>
      <c r="AA130" s="186" t="str">
        <f t="shared" ca="1" si="166"/>
        <v/>
      </c>
    </row>
    <row r="131" spans="1:27" s="64" customFormat="1" ht="11.5" x14ac:dyDescent="0.25">
      <c r="A131" s="70" t="s">
        <v>61</v>
      </c>
      <c r="B131" s="70" t="s">
        <v>62</v>
      </c>
      <c r="C131" s="70" t="s">
        <v>94</v>
      </c>
      <c r="D131" s="75" t="s">
        <v>332</v>
      </c>
      <c r="E131" s="75" t="s">
        <v>153</v>
      </c>
      <c r="F131" s="116">
        <f t="shared" si="188"/>
        <v>0.7</v>
      </c>
      <c r="G131" s="116">
        <f t="shared" si="188"/>
        <v>0.7</v>
      </c>
      <c r="H131" s="116">
        <f t="shared" si="188"/>
        <v>0.7</v>
      </c>
      <c r="I131" s="116">
        <f t="shared" si="169"/>
        <v>0</v>
      </c>
      <c r="J131" s="81">
        <v>0.15</v>
      </c>
      <c r="K131" s="72">
        <v>46185</v>
      </c>
      <c r="L131" s="72">
        <f t="shared" si="170"/>
        <v>46185</v>
      </c>
      <c r="M131" s="72">
        <v>46161</v>
      </c>
      <c r="N131" s="72">
        <f t="shared" si="171"/>
        <v>46227</v>
      </c>
      <c r="O131" s="72">
        <f t="shared" si="172"/>
        <v>46227</v>
      </c>
      <c r="P131" s="72">
        <v>46234</v>
      </c>
      <c r="Q131" s="72">
        <f t="shared" si="173"/>
        <v>46269</v>
      </c>
      <c r="R131" s="72">
        <f t="shared" si="174"/>
        <v>46269</v>
      </c>
      <c r="S131" s="72"/>
      <c r="T131" s="72">
        <f t="shared" si="175"/>
        <v>46283</v>
      </c>
      <c r="U131" s="72">
        <f t="shared" si="176"/>
        <v>46283</v>
      </c>
      <c r="V131" s="72"/>
      <c r="X131" s="185" t="str">
        <f t="shared" ca="1" si="163"/>
        <v>Completed</v>
      </c>
      <c r="Y131" s="185" t="str">
        <f t="shared" ca="1" si="164"/>
        <v>Completed</v>
      </c>
      <c r="Z131" s="185" t="str">
        <f t="shared" ca="1" si="165"/>
        <v/>
      </c>
      <c r="AA131" s="186" t="str">
        <f t="shared" ca="1" si="166"/>
        <v/>
      </c>
    </row>
    <row r="132" spans="1:27" s="64" customFormat="1" ht="11.5" x14ac:dyDescent="0.25">
      <c r="A132" s="70" t="s">
        <v>61</v>
      </c>
      <c r="B132" s="70" t="s">
        <v>62</v>
      </c>
      <c r="C132" s="70" t="s">
        <v>94</v>
      </c>
      <c r="D132" s="75" t="s">
        <v>333</v>
      </c>
      <c r="E132" s="75" t="s">
        <v>154</v>
      </c>
      <c r="F132" s="116">
        <f t="shared" si="188"/>
        <v>0.7</v>
      </c>
      <c r="G132" s="116">
        <f t="shared" si="188"/>
        <v>0.7</v>
      </c>
      <c r="H132" s="116">
        <f t="shared" si="188"/>
        <v>0.7</v>
      </c>
      <c r="I132" s="116">
        <f t="shared" si="169"/>
        <v>0</v>
      </c>
      <c r="J132" s="81">
        <v>0.15</v>
      </c>
      <c r="K132" s="72">
        <v>46185</v>
      </c>
      <c r="L132" s="72">
        <f t="shared" si="170"/>
        <v>46185</v>
      </c>
      <c r="M132" s="72">
        <v>46161</v>
      </c>
      <c r="N132" s="72">
        <f t="shared" si="171"/>
        <v>46227</v>
      </c>
      <c r="O132" s="72">
        <f t="shared" si="172"/>
        <v>46227</v>
      </c>
      <c r="P132" s="72">
        <v>46234</v>
      </c>
      <c r="Q132" s="72">
        <f t="shared" si="173"/>
        <v>46269</v>
      </c>
      <c r="R132" s="72">
        <f t="shared" si="174"/>
        <v>46269</v>
      </c>
      <c r="S132" s="72"/>
      <c r="T132" s="72">
        <f t="shared" si="175"/>
        <v>46283</v>
      </c>
      <c r="U132" s="72">
        <f t="shared" si="176"/>
        <v>46283</v>
      </c>
      <c r="V132" s="72"/>
      <c r="X132" s="185" t="str">
        <f t="shared" ca="1" si="163"/>
        <v>Completed</v>
      </c>
      <c r="Y132" s="185" t="str">
        <f t="shared" ca="1" si="164"/>
        <v>Completed</v>
      </c>
      <c r="Z132" s="185" t="str">
        <f t="shared" ca="1" si="165"/>
        <v/>
      </c>
      <c r="AA132" s="186" t="str">
        <f t="shared" ca="1" si="166"/>
        <v/>
      </c>
    </row>
    <row r="133" spans="1:27" s="64" customFormat="1" ht="11.5" x14ac:dyDescent="0.25">
      <c r="A133" s="70" t="s">
        <v>61</v>
      </c>
      <c r="B133" s="70" t="s">
        <v>62</v>
      </c>
      <c r="C133" s="70" t="s">
        <v>94</v>
      </c>
      <c r="D133" s="75" t="s">
        <v>334</v>
      </c>
      <c r="E133" s="75" t="s">
        <v>155</v>
      </c>
      <c r="F133" s="116">
        <f t="shared" si="188"/>
        <v>0.7</v>
      </c>
      <c r="G133" s="116">
        <f t="shared" si="188"/>
        <v>0.7</v>
      </c>
      <c r="H133" s="116">
        <f t="shared" si="188"/>
        <v>0.7</v>
      </c>
      <c r="I133" s="116">
        <f t="shared" si="169"/>
        <v>0</v>
      </c>
      <c r="J133" s="81">
        <v>0.15</v>
      </c>
      <c r="K133" s="72">
        <v>46185</v>
      </c>
      <c r="L133" s="72">
        <f t="shared" si="170"/>
        <v>46185</v>
      </c>
      <c r="M133" s="72">
        <v>46161</v>
      </c>
      <c r="N133" s="72">
        <f t="shared" si="171"/>
        <v>46227</v>
      </c>
      <c r="O133" s="72">
        <f t="shared" si="172"/>
        <v>46227</v>
      </c>
      <c r="P133" s="72">
        <v>46234</v>
      </c>
      <c r="Q133" s="72">
        <f t="shared" si="173"/>
        <v>46269</v>
      </c>
      <c r="R133" s="72">
        <f t="shared" si="174"/>
        <v>46269</v>
      </c>
      <c r="S133" s="72"/>
      <c r="T133" s="72">
        <f t="shared" si="175"/>
        <v>46283</v>
      </c>
      <c r="U133" s="72">
        <f t="shared" si="176"/>
        <v>46283</v>
      </c>
      <c r="V133" s="72"/>
      <c r="X133" s="185" t="str">
        <f t="shared" ca="1" si="163"/>
        <v>Completed</v>
      </c>
      <c r="Y133" s="185" t="str">
        <f t="shared" ca="1" si="164"/>
        <v>Completed</v>
      </c>
      <c r="Z133" s="185" t="str">
        <f t="shared" ca="1" si="165"/>
        <v/>
      </c>
      <c r="AA133" s="186" t="str">
        <f t="shared" ca="1" si="166"/>
        <v/>
      </c>
    </row>
    <row r="134" spans="1:27" s="64" customFormat="1" ht="11.5" x14ac:dyDescent="0.25">
      <c r="A134" s="70" t="s">
        <v>61</v>
      </c>
      <c r="B134" s="70" t="s">
        <v>62</v>
      </c>
      <c r="C134" s="70" t="s">
        <v>94</v>
      </c>
      <c r="D134" s="75" t="s">
        <v>335</v>
      </c>
      <c r="E134" s="75" t="s">
        <v>156</v>
      </c>
      <c r="F134" s="116">
        <f t="shared" si="188"/>
        <v>0.7</v>
      </c>
      <c r="G134" s="116">
        <f t="shared" si="188"/>
        <v>0.7</v>
      </c>
      <c r="H134" s="116">
        <f t="shared" si="188"/>
        <v>0.7</v>
      </c>
      <c r="I134" s="116">
        <f t="shared" si="169"/>
        <v>0</v>
      </c>
      <c r="J134" s="81">
        <v>0.15</v>
      </c>
      <c r="K134" s="72">
        <v>46185</v>
      </c>
      <c r="L134" s="72">
        <f t="shared" si="170"/>
        <v>46185</v>
      </c>
      <c r="M134" s="72">
        <v>46161</v>
      </c>
      <c r="N134" s="72">
        <f t="shared" si="171"/>
        <v>46227</v>
      </c>
      <c r="O134" s="72">
        <f t="shared" si="172"/>
        <v>46227</v>
      </c>
      <c r="P134" s="72">
        <v>46234</v>
      </c>
      <c r="Q134" s="72">
        <f t="shared" si="173"/>
        <v>46269</v>
      </c>
      <c r="R134" s="72">
        <f t="shared" si="174"/>
        <v>46269</v>
      </c>
      <c r="S134" s="72"/>
      <c r="T134" s="72">
        <f t="shared" si="175"/>
        <v>46283</v>
      </c>
      <c r="U134" s="72">
        <f t="shared" si="176"/>
        <v>46283</v>
      </c>
      <c r="V134" s="72"/>
      <c r="X134" s="185" t="str">
        <f t="shared" ca="1" si="163"/>
        <v>Completed</v>
      </c>
      <c r="Y134" s="185" t="str">
        <f t="shared" ca="1" si="164"/>
        <v>Completed</v>
      </c>
      <c r="Z134" s="185" t="str">
        <f t="shared" ca="1" si="165"/>
        <v/>
      </c>
      <c r="AA134" s="186" t="str">
        <f t="shared" ca="1" si="166"/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94</v>
      </c>
      <c r="D135" s="75" t="s">
        <v>336</v>
      </c>
      <c r="E135" s="75" t="s">
        <v>157</v>
      </c>
      <c r="F135" s="116">
        <f t="shared" si="188"/>
        <v>0.7</v>
      </c>
      <c r="G135" s="116">
        <f t="shared" si="188"/>
        <v>0.7</v>
      </c>
      <c r="H135" s="116">
        <f t="shared" si="188"/>
        <v>0.7</v>
      </c>
      <c r="I135" s="116">
        <f t="shared" si="169"/>
        <v>0</v>
      </c>
      <c r="J135" s="81">
        <v>0.15</v>
      </c>
      <c r="K135" s="72">
        <v>46185</v>
      </c>
      <c r="L135" s="72">
        <f t="shared" si="170"/>
        <v>46185</v>
      </c>
      <c r="M135" s="72">
        <v>46161</v>
      </c>
      <c r="N135" s="72">
        <f t="shared" si="171"/>
        <v>46227</v>
      </c>
      <c r="O135" s="72">
        <f t="shared" si="172"/>
        <v>46227</v>
      </c>
      <c r="P135" s="72">
        <v>46234</v>
      </c>
      <c r="Q135" s="72">
        <f t="shared" si="173"/>
        <v>46269</v>
      </c>
      <c r="R135" s="72">
        <f t="shared" si="174"/>
        <v>46269</v>
      </c>
      <c r="S135" s="72"/>
      <c r="T135" s="72">
        <f t="shared" si="175"/>
        <v>46283</v>
      </c>
      <c r="U135" s="72">
        <f t="shared" si="176"/>
        <v>46283</v>
      </c>
      <c r="V135" s="72"/>
      <c r="X135" s="185" t="str">
        <f t="shared" ca="1" si="163"/>
        <v>Completed</v>
      </c>
      <c r="Y135" s="185" t="str">
        <f t="shared" ca="1" si="164"/>
        <v>Completed</v>
      </c>
      <c r="Z135" s="185" t="str">
        <f t="shared" ca="1" si="165"/>
        <v/>
      </c>
      <c r="AA135" s="186" t="str">
        <f t="shared" ca="1" si="166"/>
        <v/>
      </c>
    </row>
    <row r="136" spans="1:27" s="64" customFormat="1" ht="11.5" x14ac:dyDescent="0.25">
      <c r="A136" s="70" t="s">
        <v>61</v>
      </c>
      <c r="B136" s="70" t="s">
        <v>62</v>
      </c>
      <c r="C136" s="70" t="s">
        <v>94</v>
      </c>
      <c r="D136" s="75" t="s">
        <v>337</v>
      </c>
      <c r="E136" s="75" t="s">
        <v>158</v>
      </c>
      <c r="F136" s="116">
        <f t="shared" si="188"/>
        <v>0.7</v>
      </c>
      <c r="G136" s="116">
        <f t="shared" si="188"/>
        <v>0.7</v>
      </c>
      <c r="H136" s="116">
        <f t="shared" si="188"/>
        <v>0.7</v>
      </c>
      <c r="I136" s="116">
        <f t="shared" si="169"/>
        <v>0</v>
      </c>
      <c r="J136" s="81">
        <v>0.15</v>
      </c>
      <c r="K136" s="72">
        <v>46185</v>
      </c>
      <c r="L136" s="72">
        <f t="shared" si="170"/>
        <v>46185</v>
      </c>
      <c r="M136" s="72">
        <v>46161</v>
      </c>
      <c r="N136" s="72">
        <f t="shared" si="171"/>
        <v>46227</v>
      </c>
      <c r="O136" s="72">
        <f t="shared" si="172"/>
        <v>46227</v>
      </c>
      <c r="P136" s="72">
        <v>46234</v>
      </c>
      <c r="Q136" s="72">
        <f t="shared" si="173"/>
        <v>46269</v>
      </c>
      <c r="R136" s="72">
        <f t="shared" si="174"/>
        <v>46269</v>
      </c>
      <c r="S136" s="72"/>
      <c r="T136" s="72">
        <f t="shared" si="175"/>
        <v>46283</v>
      </c>
      <c r="U136" s="72">
        <f t="shared" si="176"/>
        <v>46283</v>
      </c>
      <c r="V136" s="72"/>
      <c r="X136" s="185" t="str">
        <f t="shared" ca="1" si="163"/>
        <v>Completed</v>
      </c>
      <c r="Y136" s="185" t="str">
        <f t="shared" ca="1" si="164"/>
        <v>Completed</v>
      </c>
      <c r="Z136" s="185" t="str">
        <f t="shared" ca="1" si="165"/>
        <v/>
      </c>
      <c r="AA136" s="186" t="str">
        <f t="shared" ca="1" si="166"/>
        <v/>
      </c>
    </row>
    <row r="137" spans="1:27" s="64" customFormat="1" ht="11.5" x14ac:dyDescent="0.25">
      <c r="A137" s="70" t="s">
        <v>61</v>
      </c>
      <c r="B137" s="70" t="s">
        <v>62</v>
      </c>
      <c r="C137" s="70" t="s">
        <v>94</v>
      </c>
      <c r="D137" s="75" t="s">
        <v>338</v>
      </c>
      <c r="E137" s="75" t="s">
        <v>159</v>
      </c>
      <c r="F137" s="116">
        <f t="shared" si="188"/>
        <v>0.7</v>
      </c>
      <c r="G137" s="116">
        <f t="shared" si="188"/>
        <v>0.7</v>
      </c>
      <c r="H137" s="116">
        <f t="shared" si="188"/>
        <v>0.7</v>
      </c>
      <c r="I137" s="116">
        <f t="shared" si="169"/>
        <v>0</v>
      </c>
      <c r="J137" s="81">
        <v>0.15</v>
      </c>
      <c r="K137" s="72">
        <v>46185</v>
      </c>
      <c r="L137" s="72">
        <f t="shared" si="170"/>
        <v>46185</v>
      </c>
      <c r="M137" s="72">
        <v>46161</v>
      </c>
      <c r="N137" s="72">
        <f t="shared" si="171"/>
        <v>46227</v>
      </c>
      <c r="O137" s="72">
        <f t="shared" si="172"/>
        <v>46227</v>
      </c>
      <c r="P137" s="72">
        <v>46234</v>
      </c>
      <c r="Q137" s="72">
        <f t="shared" si="173"/>
        <v>46269</v>
      </c>
      <c r="R137" s="72">
        <f t="shared" si="174"/>
        <v>46269</v>
      </c>
      <c r="S137" s="72"/>
      <c r="T137" s="72">
        <f t="shared" si="175"/>
        <v>46283</v>
      </c>
      <c r="U137" s="72">
        <f t="shared" si="176"/>
        <v>46283</v>
      </c>
      <c r="V137" s="72"/>
      <c r="X137" s="185" t="str">
        <f t="shared" ca="1" si="163"/>
        <v>Completed</v>
      </c>
      <c r="Y137" s="185" t="str">
        <f t="shared" ca="1" si="164"/>
        <v>Completed</v>
      </c>
      <c r="Z137" s="185" t="str">
        <f t="shared" ca="1" si="165"/>
        <v/>
      </c>
      <c r="AA137" s="186" t="str">
        <f t="shared" ca="1" si="166"/>
        <v/>
      </c>
    </row>
    <row r="138" spans="1:27" s="64" customFormat="1" ht="11.5" x14ac:dyDescent="0.25">
      <c r="A138" s="70" t="s">
        <v>61</v>
      </c>
      <c r="B138" s="70" t="s">
        <v>62</v>
      </c>
      <c r="C138" s="70" t="s">
        <v>94</v>
      </c>
      <c r="D138" s="75" t="s">
        <v>339</v>
      </c>
      <c r="E138" s="75" t="s">
        <v>160</v>
      </c>
      <c r="F138" s="116">
        <f t="shared" si="188"/>
        <v>0.7</v>
      </c>
      <c r="G138" s="116">
        <f t="shared" si="188"/>
        <v>0.7</v>
      </c>
      <c r="H138" s="116">
        <f>(COUNTIFS(M138,"&lt;="&amp;$D$1)*50%)+(COUNTIFS(P138,"&lt;="&amp;$D$1)*20%)+(COUNTIFS(S138,"&lt;="&amp;$D$1)*10%)+(COUNTIFS(V138,"&lt;="&amp;$D$1)*20%)</f>
        <v>0.5</v>
      </c>
      <c r="I138" s="116">
        <f t="shared" si="169"/>
        <v>-0.19999999999999996</v>
      </c>
      <c r="J138" s="81">
        <v>0.15</v>
      </c>
      <c r="K138" s="72">
        <v>46185</v>
      </c>
      <c r="L138" s="72">
        <f t="shared" si="170"/>
        <v>46185</v>
      </c>
      <c r="M138" s="72">
        <v>46199</v>
      </c>
      <c r="N138" s="72">
        <f t="shared" si="171"/>
        <v>46227</v>
      </c>
      <c r="O138" s="72">
        <f t="shared" si="172"/>
        <v>46227</v>
      </c>
      <c r="P138" s="72"/>
      <c r="Q138" s="72">
        <f t="shared" si="173"/>
        <v>46269</v>
      </c>
      <c r="R138" s="72">
        <f t="shared" si="174"/>
        <v>46269</v>
      </c>
      <c r="S138" s="72"/>
      <c r="T138" s="72">
        <f t="shared" si="175"/>
        <v>46283</v>
      </c>
      <c r="U138" s="72">
        <f t="shared" si="176"/>
        <v>46283</v>
      </c>
      <c r="V138" s="72"/>
      <c r="X138" s="185" t="str">
        <f t="shared" ref="X138:X201" ca="1" si="204">IF(OR(M138&lt;&gt;""),"Completed",
IF(L138="","",IF(L138&lt;TODAY(),"Overdue",
IF(AND(L138&gt;=TODAY()-WEEKDAY(TODAY(),2)+1,L138&lt;=TODAY()-WEEKDAY(TODAY(),2)+7),"Follow-This Week",
IF(AND(L138&gt;=TODAY()-WEEKDAY(TODAY(),2)+8,L138&lt;=TODAY()-WEEKDAY(TODAY(),2)+14),"Follow-Next Week","")))))</f>
        <v>Completed</v>
      </c>
      <c r="Y138" s="185" t="str">
        <f t="shared" ref="Y138:Y201" ca="1" si="205">IF(OR(P138&lt;&gt;""),"Completed",IF(O138="","",
IF(O138&lt;TODAY(),"Overdue",
IF(AND(O138&gt;=TODAY()-WEEKDAY(TODAY(),2)+1,O138&lt;=TODAY()-WEEKDAY(TODAY(),2)+7),"Follow-This Week",
IF(AND(O138&gt;=TODAY()-WEEKDAY(TODAY(),2)+8,O138&lt;=TODAY()-WEEKDAY(TODAY(),2)+14),"Follow-Next Week","")))))</f>
        <v>Overdue</v>
      </c>
      <c r="Z138" s="185" t="str">
        <f t="shared" ref="Z138:Z201" ca="1" si="206">IF(OR(S138&lt;&gt;""),"Completed",IF(R138="","",
IF(R138&lt;TODAY(),"Overdue",
IF(AND(R138&gt;=TODAY()-WEEKDAY(TODAY(),2)+1,R138&lt;=TODAY()-WEEKDAY(TODAY(),2)+7),"Follow-This Week",
IF(AND(R138&gt;=TODAY()-WEEKDAY(TODAY(),2)+8,R138&lt;=TODAY()-WEEKDAY(TODAY(),2)+14),"Follow-Next Week","")))))</f>
        <v/>
      </c>
      <c r="AA138" s="186" t="str">
        <f t="shared" ref="AA138:AA201" ca="1" si="207">IF(OR(V138&lt;&gt;""),"Completed",IF(U138="","",
IF(U138&lt;TODAY(),"Overdue",
IF(AND(U138&gt;=TODAY()-WEEKDAY(TODAY(),2)+1,U138&lt;=TODAY()-WEEKDAY(TODAY(),2)+7),"Follow-This Week",
IF(AND(U138&gt;=TODAY()-WEEKDAY(TODAY(),2)+8,U138&lt;=TODAY()-WEEKDAY(TODAY(),2)+14),"Follow-Next Week","")))))</f>
        <v/>
      </c>
    </row>
    <row r="139" spans="1:27" s="64" customFormat="1" ht="11.5" x14ac:dyDescent="0.25">
      <c r="A139" s="70" t="s">
        <v>61</v>
      </c>
      <c r="B139" s="70" t="s">
        <v>62</v>
      </c>
      <c r="C139" s="70" t="s">
        <v>94</v>
      </c>
      <c r="D139" s="75" t="s">
        <v>340</v>
      </c>
      <c r="E139" s="75" t="s">
        <v>414</v>
      </c>
      <c r="F139" s="116">
        <f t="shared" si="188"/>
        <v>0.7</v>
      </c>
      <c r="G139" s="116">
        <f t="shared" si="188"/>
        <v>0.7</v>
      </c>
      <c r="H139" s="116">
        <f>(COUNTIFS(M139,"&lt;="&amp;$D$1)*50%)+(COUNTIFS(P139,"&lt;="&amp;$D$1)*20%)+(COUNTIFS(S139,"&lt;="&amp;$D$1)*10%)+(COUNTIFS(V139,"&lt;="&amp;$D$1)*20%)</f>
        <v>0.5</v>
      </c>
      <c r="I139" s="116">
        <f t="shared" si="169"/>
        <v>-0.19999999999999996</v>
      </c>
      <c r="J139" s="81">
        <v>0.15</v>
      </c>
      <c r="K139" s="72">
        <v>46185</v>
      </c>
      <c r="L139" s="72">
        <f t="shared" si="170"/>
        <v>46185</v>
      </c>
      <c r="M139" s="72">
        <v>46199</v>
      </c>
      <c r="N139" s="72">
        <f t="shared" si="171"/>
        <v>46227</v>
      </c>
      <c r="O139" s="72">
        <f t="shared" si="172"/>
        <v>46227</v>
      </c>
      <c r="P139" s="72"/>
      <c r="Q139" s="72">
        <f t="shared" si="173"/>
        <v>46269</v>
      </c>
      <c r="R139" s="72">
        <f t="shared" si="174"/>
        <v>46269</v>
      </c>
      <c r="S139" s="72"/>
      <c r="T139" s="72">
        <f t="shared" si="175"/>
        <v>46283</v>
      </c>
      <c r="U139" s="72">
        <f t="shared" si="176"/>
        <v>46283</v>
      </c>
      <c r="V139" s="72"/>
      <c r="X139" s="185" t="str">
        <f t="shared" ca="1" si="204"/>
        <v>Completed</v>
      </c>
      <c r="Y139" s="185" t="str">
        <f t="shared" ca="1" si="205"/>
        <v>Overdue</v>
      </c>
      <c r="Z139" s="185" t="str">
        <f t="shared" ca="1" si="206"/>
        <v/>
      </c>
      <c r="AA139" s="186" t="str">
        <f t="shared" ca="1" si="207"/>
        <v/>
      </c>
    </row>
    <row r="140" spans="1:27" s="64" customFormat="1" ht="11.5" x14ac:dyDescent="0.25">
      <c r="A140" s="70" t="s">
        <v>61</v>
      </c>
      <c r="B140" s="70" t="s">
        <v>62</v>
      </c>
      <c r="C140" s="70" t="s">
        <v>94</v>
      </c>
      <c r="D140" s="75" t="s">
        <v>413</v>
      </c>
      <c r="E140" s="75" t="s">
        <v>415</v>
      </c>
      <c r="F140" s="116">
        <f t="shared" ref="F140" si="208">(COUNTIFS(K140,"&lt;="&amp;$D$1)*50%)+(COUNTIFS(N140,"&lt;="&amp;$D$1)*20%)+(COUNTIFS(Q140,"&lt;="&amp;$D$1)*10%)+(COUNTIFS(T140,"&lt;="&amp;$D$1)*20%)</f>
        <v>0.7</v>
      </c>
      <c r="G140" s="116">
        <f t="shared" ref="G140" si="209">(COUNTIFS(L140,"&lt;="&amp;$D$1)*50%)+(COUNTIFS(O140,"&lt;="&amp;$D$1)*20%)+(COUNTIFS(R140,"&lt;="&amp;$D$1)*10%)+(COUNTIFS(U140,"&lt;="&amp;$D$1)*20%)</f>
        <v>0.7</v>
      </c>
      <c r="H140" s="116">
        <f t="shared" ref="H140" si="210">(COUNTIFS(M140,"&lt;="&amp;$D$1)*50%)+(COUNTIFS(P140,"&lt;="&amp;$D$1)*20%)+(COUNTIFS(S140,"&lt;="&amp;$D$1)*10%)+(COUNTIFS(V140,"&lt;="&amp;$D$1)*20%)</f>
        <v>0</v>
      </c>
      <c r="I140" s="116">
        <f t="shared" ref="I140" si="211">H140-F140</f>
        <v>-0.7</v>
      </c>
      <c r="J140" s="81">
        <v>0.15</v>
      </c>
      <c r="K140" s="72">
        <v>46185</v>
      </c>
      <c r="L140" s="72">
        <f t="shared" ref="L140" si="212">K140</f>
        <v>46185</v>
      </c>
      <c r="M140" s="72"/>
      <c r="N140" s="72">
        <f t="shared" ref="N140" si="213">K140+42</f>
        <v>46227</v>
      </c>
      <c r="O140" s="72">
        <f t="shared" ref="O140" si="214">N140</f>
        <v>46227</v>
      </c>
      <c r="P140" s="72"/>
      <c r="Q140" s="72">
        <f t="shared" ref="Q140" si="215">N140+42</f>
        <v>46269</v>
      </c>
      <c r="R140" s="72">
        <f t="shared" ref="R140" si="216">Q140</f>
        <v>46269</v>
      </c>
      <c r="S140" s="72"/>
      <c r="T140" s="72">
        <f t="shared" ref="T140" si="217">Q140+14</f>
        <v>46283</v>
      </c>
      <c r="U140" s="72">
        <f t="shared" ref="U140" si="218">T140</f>
        <v>46283</v>
      </c>
      <c r="V140" s="72"/>
      <c r="X140" s="185" t="str">
        <f t="shared" ca="1" si="204"/>
        <v>Overdue</v>
      </c>
      <c r="Y140" s="185" t="str">
        <f t="shared" ca="1" si="205"/>
        <v>Overdue</v>
      </c>
      <c r="Z140" s="185" t="str">
        <f t="shared" ca="1" si="206"/>
        <v/>
      </c>
      <c r="AA140" s="186" t="str">
        <f t="shared" ca="1" si="207"/>
        <v/>
      </c>
    </row>
    <row r="141" spans="1:27" s="64" customFormat="1" ht="11.5" x14ac:dyDescent="0.25">
      <c r="A141" s="70" t="s">
        <v>61</v>
      </c>
      <c r="B141" s="70" t="s">
        <v>62</v>
      </c>
      <c r="C141" s="70" t="s">
        <v>94</v>
      </c>
      <c r="D141" s="75" t="s">
        <v>341</v>
      </c>
      <c r="E141" s="75" t="s">
        <v>161</v>
      </c>
      <c r="F141" s="116">
        <f t="shared" si="188"/>
        <v>0.7</v>
      </c>
      <c r="G141" s="116">
        <f t="shared" si="188"/>
        <v>0.7</v>
      </c>
      <c r="H141" s="116">
        <f t="shared" si="188"/>
        <v>0.5</v>
      </c>
      <c r="I141" s="116">
        <f t="shared" si="169"/>
        <v>-0.19999999999999996</v>
      </c>
      <c r="J141" s="81">
        <v>0.15</v>
      </c>
      <c r="K141" s="72">
        <v>46199</v>
      </c>
      <c r="L141" s="72">
        <f t="shared" si="170"/>
        <v>46199</v>
      </c>
      <c r="M141" s="72">
        <v>46171</v>
      </c>
      <c r="N141" s="72">
        <f t="shared" si="171"/>
        <v>46241</v>
      </c>
      <c r="O141" s="72">
        <f t="shared" si="172"/>
        <v>46241</v>
      </c>
      <c r="P141" s="72"/>
      <c r="Q141" s="72">
        <f t="shared" si="173"/>
        <v>46283</v>
      </c>
      <c r="R141" s="72">
        <f t="shared" si="174"/>
        <v>46283</v>
      </c>
      <c r="S141" s="72"/>
      <c r="T141" s="72">
        <f t="shared" si="175"/>
        <v>46297</v>
      </c>
      <c r="U141" s="72">
        <f t="shared" si="176"/>
        <v>46297</v>
      </c>
      <c r="V141" s="72"/>
      <c r="X141" s="185" t="str">
        <f t="shared" ca="1" si="204"/>
        <v>Completed</v>
      </c>
      <c r="Y141" s="185" t="str">
        <f t="shared" ca="1" si="205"/>
        <v>Overdue</v>
      </c>
      <c r="Z141" s="185" t="str">
        <f t="shared" ca="1" si="206"/>
        <v/>
      </c>
      <c r="AA141" s="186" t="str">
        <f t="shared" ca="1" si="207"/>
        <v/>
      </c>
    </row>
    <row r="142" spans="1:27" s="64" customFormat="1" ht="11.5" x14ac:dyDescent="0.25">
      <c r="A142" s="70" t="s">
        <v>61</v>
      </c>
      <c r="B142" s="70" t="s">
        <v>62</v>
      </c>
      <c r="C142" s="70" t="s">
        <v>94</v>
      </c>
      <c r="D142" s="75" t="s">
        <v>342</v>
      </c>
      <c r="E142" s="75" t="s">
        <v>162</v>
      </c>
      <c r="F142" s="116">
        <f t="shared" si="188"/>
        <v>0.7</v>
      </c>
      <c r="G142" s="116">
        <f t="shared" si="188"/>
        <v>0.7</v>
      </c>
      <c r="H142" s="116">
        <f t="shared" si="188"/>
        <v>0.5</v>
      </c>
      <c r="I142" s="116">
        <f t="shared" si="169"/>
        <v>-0.19999999999999996</v>
      </c>
      <c r="J142" s="81">
        <v>0.15</v>
      </c>
      <c r="K142" s="72">
        <v>46199</v>
      </c>
      <c r="L142" s="72">
        <f t="shared" si="170"/>
        <v>46199</v>
      </c>
      <c r="M142" s="72">
        <v>46171</v>
      </c>
      <c r="N142" s="72">
        <f t="shared" si="171"/>
        <v>46241</v>
      </c>
      <c r="O142" s="72">
        <f t="shared" si="172"/>
        <v>46241</v>
      </c>
      <c r="P142" s="72"/>
      <c r="Q142" s="72">
        <f t="shared" si="173"/>
        <v>46283</v>
      </c>
      <c r="R142" s="72">
        <f t="shared" si="174"/>
        <v>46283</v>
      </c>
      <c r="S142" s="72"/>
      <c r="T142" s="72">
        <f t="shared" si="175"/>
        <v>46297</v>
      </c>
      <c r="U142" s="72">
        <f t="shared" si="176"/>
        <v>46297</v>
      </c>
      <c r="V142" s="72"/>
      <c r="X142" s="185" t="str">
        <f t="shared" ca="1" si="204"/>
        <v>Completed</v>
      </c>
      <c r="Y142" s="185" t="str">
        <f t="shared" ca="1" si="205"/>
        <v>Overdue</v>
      </c>
      <c r="Z142" s="185" t="str">
        <f t="shared" ca="1" si="206"/>
        <v/>
      </c>
      <c r="AA142" s="186" t="str">
        <f t="shared" ca="1" si="207"/>
        <v/>
      </c>
    </row>
    <row r="143" spans="1:27" s="94" customFormat="1" ht="11.5" x14ac:dyDescent="0.25">
      <c r="A143" s="70" t="s">
        <v>61</v>
      </c>
      <c r="B143" s="70" t="s">
        <v>62</v>
      </c>
      <c r="C143" s="70" t="s">
        <v>94</v>
      </c>
      <c r="D143" s="124" t="s">
        <v>343</v>
      </c>
      <c r="E143" s="124" t="s">
        <v>163</v>
      </c>
      <c r="F143" s="125">
        <f t="shared" ref="F143" si="219">(COUNTIFS(K143,"&lt;="&amp;$D$1)*50%)+(COUNTIFS(N143,"&lt;="&amp;$D$1)*20%)+(COUNTIFS(Q143,"&lt;="&amp;$D$1)*10%)+(COUNTIFS(T143,"&lt;="&amp;$D$1)*20%)</f>
        <v>0.7</v>
      </c>
      <c r="G143" s="125">
        <f t="shared" ref="G143" si="220">(COUNTIFS(L143,"&lt;="&amp;$D$1)*50%)+(COUNTIFS(O143,"&lt;="&amp;$D$1)*20%)+(COUNTIFS(R143,"&lt;="&amp;$D$1)*10%)+(COUNTIFS(U143,"&lt;="&amp;$D$1)*20%)</f>
        <v>0.7</v>
      </c>
      <c r="H143" s="125">
        <f t="shared" ref="H143" si="221">(COUNTIFS(M143,"&lt;="&amp;$D$1)*50%)+(COUNTIFS(P143,"&lt;="&amp;$D$1)*20%)+(COUNTIFS(S143,"&lt;="&amp;$D$1)*10%)+(COUNTIFS(V143,"&lt;="&amp;$D$1)*20%)</f>
        <v>0.5</v>
      </c>
      <c r="I143" s="125">
        <f t="shared" ref="I143" si="222">H143-F143</f>
        <v>-0.19999999999999996</v>
      </c>
      <c r="J143" s="81">
        <v>0.15</v>
      </c>
      <c r="K143" s="72">
        <v>46199</v>
      </c>
      <c r="L143" s="74">
        <f t="shared" si="170"/>
        <v>46199</v>
      </c>
      <c r="M143" s="72">
        <v>46171</v>
      </c>
      <c r="N143" s="74">
        <f t="shared" si="171"/>
        <v>46241</v>
      </c>
      <c r="O143" s="74">
        <f t="shared" si="172"/>
        <v>46241</v>
      </c>
      <c r="P143" s="72"/>
      <c r="Q143" s="74">
        <f t="shared" si="173"/>
        <v>46283</v>
      </c>
      <c r="R143" s="74">
        <f t="shared" si="174"/>
        <v>46283</v>
      </c>
      <c r="S143" s="74"/>
      <c r="T143" s="74">
        <f t="shared" si="175"/>
        <v>46297</v>
      </c>
      <c r="U143" s="74">
        <f t="shared" si="176"/>
        <v>46297</v>
      </c>
      <c r="V143" s="72"/>
      <c r="X143" s="185" t="str">
        <f t="shared" ca="1" si="204"/>
        <v>Completed</v>
      </c>
      <c r="Y143" s="185" t="str">
        <f t="shared" ca="1" si="205"/>
        <v>Overdue</v>
      </c>
      <c r="Z143" s="185" t="str">
        <f t="shared" ca="1" si="206"/>
        <v/>
      </c>
      <c r="AA143" s="186" t="str">
        <f t="shared" ca="1" si="207"/>
        <v/>
      </c>
    </row>
    <row r="144" spans="1:27" s="64" customFormat="1" ht="11.5" x14ac:dyDescent="0.25">
      <c r="A144" s="70" t="s">
        <v>61</v>
      </c>
      <c r="B144" s="70" t="s">
        <v>62</v>
      </c>
      <c r="C144" s="70" t="s">
        <v>94</v>
      </c>
      <c r="D144" s="75" t="s">
        <v>344</v>
      </c>
      <c r="E144" s="75" t="s">
        <v>164</v>
      </c>
      <c r="F144" s="116">
        <f t="shared" si="188"/>
        <v>0.7</v>
      </c>
      <c r="G144" s="116">
        <f t="shared" si="188"/>
        <v>0.7</v>
      </c>
      <c r="H144" s="116">
        <f t="shared" si="188"/>
        <v>0.5</v>
      </c>
      <c r="I144" s="116">
        <f t="shared" si="169"/>
        <v>-0.19999999999999996</v>
      </c>
      <c r="J144" s="81">
        <v>0.15</v>
      </c>
      <c r="K144" s="72">
        <v>46199</v>
      </c>
      <c r="L144" s="72">
        <f t="shared" si="170"/>
        <v>46199</v>
      </c>
      <c r="M144" s="72">
        <v>46171</v>
      </c>
      <c r="N144" s="72">
        <f t="shared" si="171"/>
        <v>46241</v>
      </c>
      <c r="O144" s="72">
        <f t="shared" si="172"/>
        <v>46241</v>
      </c>
      <c r="P144" s="72"/>
      <c r="Q144" s="72">
        <f t="shared" si="173"/>
        <v>46283</v>
      </c>
      <c r="R144" s="72">
        <f t="shared" si="174"/>
        <v>46283</v>
      </c>
      <c r="S144" s="72"/>
      <c r="T144" s="72">
        <f t="shared" si="175"/>
        <v>46297</v>
      </c>
      <c r="U144" s="72">
        <f t="shared" si="176"/>
        <v>46297</v>
      </c>
      <c r="V144" s="72"/>
      <c r="X144" s="185" t="str">
        <f t="shared" ca="1" si="204"/>
        <v>Completed</v>
      </c>
      <c r="Y144" s="185" t="str">
        <f t="shared" ca="1" si="205"/>
        <v>Overdue</v>
      </c>
      <c r="Z144" s="185" t="str">
        <f t="shared" ca="1" si="206"/>
        <v/>
      </c>
      <c r="AA144" s="186" t="str">
        <f t="shared" ca="1" si="207"/>
        <v/>
      </c>
    </row>
    <row r="145" spans="1:27" s="64" customFormat="1" ht="11.5" x14ac:dyDescent="0.25">
      <c r="A145" s="70" t="s">
        <v>61</v>
      </c>
      <c r="B145" s="70" t="s">
        <v>62</v>
      </c>
      <c r="C145" s="70" t="s">
        <v>94</v>
      </c>
      <c r="D145" s="75" t="s">
        <v>345</v>
      </c>
      <c r="E145" s="75" t="s">
        <v>165</v>
      </c>
      <c r="F145" s="116">
        <f t="shared" si="188"/>
        <v>0.7</v>
      </c>
      <c r="G145" s="116">
        <f t="shared" si="188"/>
        <v>0.7</v>
      </c>
      <c r="H145" s="116">
        <f t="shared" si="188"/>
        <v>0.5</v>
      </c>
      <c r="I145" s="116">
        <f t="shared" si="169"/>
        <v>-0.19999999999999996</v>
      </c>
      <c r="J145" s="81">
        <v>0.15</v>
      </c>
      <c r="K145" s="72">
        <v>46199</v>
      </c>
      <c r="L145" s="72">
        <f t="shared" si="170"/>
        <v>46199</v>
      </c>
      <c r="M145" s="72">
        <v>46171</v>
      </c>
      <c r="N145" s="72">
        <f t="shared" si="171"/>
        <v>46241</v>
      </c>
      <c r="O145" s="72">
        <f t="shared" si="172"/>
        <v>46241</v>
      </c>
      <c r="P145" s="72"/>
      <c r="Q145" s="72">
        <f t="shared" si="173"/>
        <v>46283</v>
      </c>
      <c r="R145" s="72">
        <f t="shared" si="174"/>
        <v>46283</v>
      </c>
      <c r="S145" s="72"/>
      <c r="T145" s="72">
        <f t="shared" si="175"/>
        <v>46297</v>
      </c>
      <c r="U145" s="72">
        <f t="shared" si="176"/>
        <v>46297</v>
      </c>
      <c r="V145" s="72"/>
      <c r="X145" s="185" t="str">
        <f t="shared" ca="1" si="204"/>
        <v>Completed</v>
      </c>
      <c r="Y145" s="185" t="str">
        <f t="shared" ca="1" si="205"/>
        <v>Overdue</v>
      </c>
      <c r="Z145" s="185" t="str">
        <f t="shared" ca="1" si="206"/>
        <v/>
      </c>
      <c r="AA145" s="186" t="str">
        <f t="shared" ca="1" si="207"/>
        <v/>
      </c>
    </row>
    <row r="146" spans="1:27" s="64" customFormat="1" ht="11.5" x14ac:dyDescent="0.25">
      <c r="A146" s="70" t="s">
        <v>61</v>
      </c>
      <c r="B146" s="70" t="s">
        <v>62</v>
      </c>
      <c r="C146" s="70" t="s">
        <v>94</v>
      </c>
      <c r="D146" s="75" t="s">
        <v>416</v>
      </c>
      <c r="E146" s="75" t="s">
        <v>417</v>
      </c>
      <c r="F146" s="116">
        <f t="shared" ref="F146:F147" si="223">(COUNTIFS(K146,"&lt;="&amp;$D$1)*50%)+(COUNTIFS(N146,"&lt;="&amp;$D$1)*20%)+(COUNTIFS(Q146,"&lt;="&amp;$D$1)*10%)+(COUNTIFS(T146,"&lt;="&amp;$D$1)*20%)</f>
        <v>0.7</v>
      </c>
      <c r="G146" s="116">
        <f t="shared" ref="G146:G147" si="224">(COUNTIFS(L146,"&lt;="&amp;$D$1)*50%)+(COUNTIFS(O146,"&lt;="&amp;$D$1)*20%)+(COUNTIFS(R146,"&lt;="&amp;$D$1)*10%)+(COUNTIFS(U146,"&lt;="&amp;$D$1)*20%)</f>
        <v>0.7</v>
      </c>
      <c r="H146" s="116">
        <f t="shared" ref="H146:H147" si="225">(COUNTIFS(M146,"&lt;="&amp;$D$1)*50%)+(COUNTIFS(P146,"&lt;="&amp;$D$1)*20%)+(COUNTIFS(S146,"&lt;="&amp;$D$1)*10%)+(COUNTIFS(V146,"&lt;="&amp;$D$1)*20%)</f>
        <v>0.5</v>
      </c>
      <c r="I146" s="116">
        <f t="shared" ref="I146:I147" si="226">H146-F146</f>
        <v>-0.19999999999999996</v>
      </c>
      <c r="J146" s="81">
        <v>0.15</v>
      </c>
      <c r="K146" s="72">
        <v>46199</v>
      </c>
      <c r="L146" s="72">
        <f t="shared" ref="L146:L147" si="227">K146</f>
        <v>46199</v>
      </c>
      <c r="M146" s="72">
        <v>46178</v>
      </c>
      <c r="N146" s="72">
        <f t="shared" ref="N146:N147" si="228">K146+42</f>
        <v>46241</v>
      </c>
      <c r="O146" s="72">
        <f t="shared" ref="O146:O147" si="229">N146</f>
        <v>46241</v>
      </c>
      <c r="P146" s="72"/>
      <c r="Q146" s="72">
        <f t="shared" ref="Q146:Q147" si="230">N146+42</f>
        <v>46283</v>
      </c>
      <c r="R146" s="72">
        <f t="shared" ref="R146:R147" si="231">Q146</f>
        <v>46283</v>
      </c>
      <c r="S146" s="72"/>
      <c r="T146" s="72">
        <f t="shared" ref="T146:T147" si="232">Q146+14</f>
        <v>46297</v>
      </c>
      <c r="U146" s="72">
        <f t="shared" ref="U146:U147" si="233">T146</f>
        <v>46297</v>
      </c>
      <c r="V146" s="72"/>
      <c r="X146" s="185" t="str">
        <f t="shared" ca="1" si="204"/>
        <v>Completed</v>
      </c>
      <c r="Y146" s="185" t="str">
        <f t="shared" ca="1" si="205"/>
        <v>Overdue</v>
      </c>
      <c r="Z146" s="185" t="str">
        <f t="shared" ca="1" si="206"/>
        <v/>
      </c>
      <c r="AA146" s="186" t="str">
        <f t="shared" ca="1" si="207"/>
        <v/>
      </c>
    </row>
    <row r="147" spans="1:27" s="64" customFormat="1" ht="11.5" x14ac:dyDescent="0.25">
      <c r="A147" s="70" t="s">
        <v>61</v>
      </c>
      <c r="B147" s="70" t="s">
        <v>62</v>
      </c>
      <c r="C147" s="70" t="s">
        <v>94</v>
      </c>
      <c r="D147" s="75" t="s">
        <v>418</v>
      </c>
      <c r="E147" s="75" t="s">
        <v>419</v>
      </c>
      <c r="F147" s="116">
        <f t="shared" si="223"/>
        <v>0.7</v>
      </c>
      <c r="G147" s="116">
        <f t="shared" si="224"/>
        <v>0.7</v>
      </c>
      <c r="H147" s="116">
        <f t="shared" si="225"/>
        <v>0.5</v>
      </c>
      <c r="I147" s="116">
        <f t="shared" si="226"/>
        <v>-0.19999999999999996</v>
      </c>
      <c r="J147" s="81">
        <v>0.1</v>
      </c>
      <c r="K147" s="72">
        <v>46199</v>
      </c>
      <c r="L147" s="72">
        <f t="shared" si="227"/>
        <v>46199</v>
      </c>
      <c r="M147" s="72">
        <v>46178</v>
      </c>
      <c r="N147" s="72">
        <f t="shared" si="228"/>
        <v>46241</v>
      </c>
      <c r="O147" s="72">
        <f t="shared" si="229"/>
        <v>46241</v>
      </c>
      <c r="P147" s="72"/>
      <c r="Q147" s="72">
        <f t="shared" si="230"/>
        <v>46283</v>
      </c>
      <c r="R147" s="72">
        <f t="shared" si="231"/>
        <v>46283</v>
      </c>
      <c r="S147" s="72"/>
      <c r="T147" s="72">
        <f t="shared" si="232"/>
        <v>46297</v>
      </c>
      <c r="U147" s="72">
        <f t="shared" si="233"/>
        <v>46297</v>
      </c>
      <c r="V147" s="72"/>
      <c r="X147" s="185" t="str">
        <f t="shared" ca="1" si="204"/>
        <v>Completed</v>
      </c>
      <c r="Y147" s="185" t="str">
        <f t="shared" ca="1" si="205"/>
        <v>Overdue</v>
      </c>
      <c r="Z147" s="185" t="str">
        <f t="shared" ca="1" si="206"/>
        <v/>
      </c>
      <c r="AA147" s="186" t="str">
        <f t="shared" ca="1" si="207"/>
        <v/>
      </c>
    </row>
    <row r="148" spans="1:27" s="145" customFormat="1" ht="11.5" x14ac:dyDescent="0.25">
      <c r="A148" s="140" t="s">
        <v>61</v>
      </c>
      <c r="B148" s="140" t="s">
        <v>62</v>
      </c>
      <c r="C148" s="140" t="s">
        <v>94</v>
      </c>
      <c r="D148" s="141" t="s">
        <v>420</v>
      </c>
      <c r="E148" s="141" t="s">
        <v>517</v>
      </c>
      <c r="F148" s="142"/>
      <c r="G148" s="142"/>
      <c r="H148" s="142"/>
      <c r="I148" s="142"/>
      <c r="J148" s="143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X148" s="185"/>
      <c r="Y148" s="185"/>
      <c r="Z148" s="185" t="str">
        <f t="shared" ca="1" si="206"/>
        <v/>
      </c>
      <c r="AA148" s="186" t="str">
        <f t="shared" ca="1" si="207"/>
        <v/>
      </c>
    </row>
    <row r="149" spans="1:27" s="64" customFormat="1" ht="11.5" x14ac:dyDescent="0.25">
      <c r="A149" s="70" t="s">
        <v>61</v>
      </c>
      <c r="B149" s="70" t="s">
        <v>62</v>
      </c>
      <c r="C149" s="70" t="s">
        <v>94</v>
      </c>
      <c r="D149" s="75" t="s">
        <v>346</v>
      </c>
      <c r="E149" s="75" t="s">
        <v>166</v>
      </c>
      <c r="F149" s="116">
        <f t="shared" si="188"/>
        <v>0.7</v>
      </c>
      <c r="G149" s="116">
        <f t="shared" si="188"/>
        <v>0.7</v>
      </c>
      <c r="H149" s="116">
        <f t="shared" si="188"/>
        <v>0.5</v>
      </c>
      <c r="I149" s="116">
        <f t="shared" ref="I149:I235" si="234">H149-F149</f>
        <v>-0.19999999999999996</v>
      </c>
      <c r="J149" s="81">
        <v>0.15</v>
      </c>
      <c r="K149" s="72">
        <v>46199</v>
      </c>
      <c r="L149" s="72">
        <f t="shared" si="170"/>
        <v>46199</v>
      </c>
      <c r="M149" s="72">
        <v>46199</v>
      </c>
      <c r="N149" s="72">
        <f t="shared" si="171"/>
        <v>46241</v>
      </c>
      <c r="O149" s="72">
        <f t="shared" si="172"/>
        <v>46241</v>
      </c>
      <c r="P149" s="72"/>
      <c r="Q149" s="72">
        <f t="shared" si="173"/>
        <v>46283</v>
      </c>
      <c r="R149" s="72">
        <f t="shared" si="174"/>
        <v>46283</v>
      </c>
      <c r="S149" s="72"/>
      <c r="T149" s="72">
        <f t="shared" si="175"/>
        <v>46297</v>
      </c>
      <c r="U149" s="72">
        <f t="shared" si="176"/>
        <v>46297</v>
      </c>
      <c r="V149" s="72"/>
      <c r="X149" s="185" t="str">
        <f t="shared" ca="1" si="204"/>
        <v>Completed</v>
      </c>
      <c r="Y149" s="185" t="str">
        <f t="shared" ca="1" si="205"/>
        <v>Overdue</v>
      </c>
      <c r="Z149" s="185" t="str">
        <f t="shared" ca="1" si="206"/>
        <v/>
      </c>
      <c r="AA149" s="186" t="str">
        <f t="shared" ca="1" si="207"/>
        <v/>
      </c>
    </row>
    <row r="150" spans="1:27" s="64" customFormat="1" ht="11.5" x14ac:dyDescent="0.25">
      <c r="A150" s="70" t="s">
        <v>61</v>
      </c>
      <c r="B150" s="70" t="s">
        <v>62</v>
      </c>
      <c r="C150" s="70" t="s">
        <v>94</v>
      </c>
      <c r="D150" s="75" t="s">
        <v>347</v>
      </c>
      <c r="E150" s="75" t="s">
        <v>167</v>
      </c>
      <c r="F150" s="116">
        <f t="shared" si="188"/>
        <v>0.7</v>
      </c>
      <c r="G150" s="116">
        <f t="shared" si="188"/>
        <v>0.7</v>
      </c>
      <c r="H150" s="116">
        <f t="shared" si="188"/>
        <v>0.5</v>
      </c>
      <c r="I150" s="116">
        <f t="shared" si="234"/>
        <v>-0.19999999999999996</v>
      </c>
      <c r="J150" s="81">
        <v>0.15</v>
      </c>
      <c r="K150" s="72">
        <v>46199</v>
      </c>
      <c r="L150" s="72">
        <f t="shared" si="170"/>
        <v>46199</v>
      </c>
      <c r="M150" s="72">
        <v>46199</v>
      </c>
      <c r="N150" s="72">
        <f t="shared" si="171"/>
        <v>46241</v>
      </c>
      <c r="O150" s="72">
        <f t="shared" si="172"/>
        <v>46241</v>
      </c>
      <c r="P150" s="72"/>
      <c r="Q150" s="72">
        <f t="shared" si="173"/>
        <v>46283</v>
      </c>
      <c r="R150" s="72">
        <f t="shared" si="174"/>
        <v>46283</v>
      </c>
      <c r="S150" s="72"/>
      <c r="T150" s="72">
        <f t="shared" si="175"/>
        <v>46297</v>
      </c>
      <c r="U150" s="72">
        <f t="shared" si="176"/>
        <v>46297</v>
      </c>
      <c r="V150" s="72"/>
      <c r="X150" s="185" t="str">
        <f t="shared" ca="1" si="204"/>
        <v>Completed</v>
      </c>
      <c r="Y150" s="185" t="str">
        <f t="shared" ca="1" si="205"/>
        <v>Overdue</v>
      </c>
      <c r="Z150" s="185" t="str">
        <f t="shared" ca="1" si="206"/>
        <v/>
      </c>
      <c r="AA150" s="186" t="str">
        <f t="shared" ca="1" si="207"/>
        <v/>
      </c>
    </row>
    <row r="151" spans="1:27" s="64" customFormat="1" ht="11.5" x14ac:dyDescent="0.25">
      <c r="A151" s="70" t="s">
        <v>61</v>
      </c>
      <c r="B151" s="70" t="s">
        <v>62</v>
      </c>
      <c r="C151" s="70" t="s">
        <v>94</v>
      </c>
      <c r="D151" s="75" t="s">
        <v>348</v>
      </c>
      <c r="E151" s="75" t="s">
        <v>168</v>
      </c>
      <c r="F151" s="116">
        <f t="shared" si="188"/>
        <v>0.7</v>
      </c>
      <c r="G151" s="116">
        <f t="shared" si="188"/>
        <v>0.7</v>
      </c>
      <c r="H151" s="116">
        <f t="shared" si="188"/>
        <v>0.5</v>
      </c>
      <c r="I151" s="116">
        <f t="shared" si="234"/>
        <v>-0.19999999999999996</v>
      </c>
      <c r="J151" s="81">
        <v>0.15</v>
      </c>
      <c r="K151" s="72">
        <v>46199</v>
      </c>
      <c r="L151" s="72">
        <f t="shared" si="170"/>
        <v>46199</v>
      </c>
      <c r="M151" s="72">
        <v>46199</v>
      </c>
      <c r="N151" s="72">
        <f t="shared" si="171"/>
        <v>46241</v>
      </c>
      <c r="O151" s="72">
        <f t="shared" si="172"/>
        <v>46241</v>
      </c>
      <c r="P151" s="72"/>
      <c r="Q151" s="72">
        <f t="shared" si="173"/>
        <v>46283</v>
      </c>
      <c r="R151" s="72">
        <f t="shared" si="174"/>
        <v>46283</v>
      </c>
      <c r="S151" s="72"/>
      <c r="T151" s="72">
        <f t="shared" si="175"/>
        <v>46297</v>
      </c>
      <c r="U151" s="72">
        <f t="shared" si="176"/>
        <v>46297</v>
      </c>
      <c r="V151" s="72"/>
      <c r="X151" s="185" t="str">
        <f t="shared" ca="1" si="204"/>
        <v>Completed</v>
      </c>
      <c r="Y151" s="185" t="str">
        <f t="shared" ca="1" si="205"/>
        <v>Overdue</v>
      </c>
      <c r="Z151" s="185" t="str">
        <f t="shared" ca="1" si="206"/>
        <v/>
      </c>
      <c r="AA151" s="186" t="str">
        <f t="shared" ca="1" si="207"/>
        <v/>
      </c>
    </row>
    <row r="152" spans="1:27" s="64" customFormat="1" ht="11.5" x14ac:dyDescent="0.25">
      <c r="A152" s="70" t="s">
        <v>61</v>
      </c>
      <c r="B152" s="70" t="s">
        <v>62</v>
      </c>
      <c r="C152" s="70" t="s">
        <v>94</v>
      </c>
      <c r="D152" s="75" t="s">
        <v>349</v>
      </c>
      <c r="E152" s="75" t="s">
        <v>169</v>
      </c>
      <c r="F152" s="116">
        <f t="shared" si="188"/>
        <v>0.7</v>
      </c>
      <c r="G152" s="116">
        <f t="shared" si="188"/>
        <v>0.7</v>
      </c>
      <c r="H152" s="116">
        <f t="shared" si="188"/>
        <v>0.5</v>
      </c>
      <c r="I152" s="116">
        <f t="shared" si="234"/>
        <v>-0.19999999999999996</v>
      </c>
      <c r="J152" s="81">
        <v>0.15</v>
      </c>
      <c r="K152" s="72">
        <v>46199</v>
      </c>
      <c r="L152" s="72">
        <f t="shared" si="170"/>
        <v>46199</v>
      </c>
      <c r="M152" s="72">
        <v>46199</v>
      </c>
      <c r="N152" s="72">
        <f t="shared" si="171"/>
        <v>46241</v>
      </c>
      <c r="O152" s="72">
        <f t="shared" si="172"/>
        <v>46241</v>
      </c>
      <c r="P152" s="72"/>
      <c r="Q152" s="72">
        <f t="shared" si="173"/>
        <v>46283</v>
      </c>
      <c r="R152" s="72">
        <f t="shared" si="174"/>
        <v>46283</v>
      </c>
      <c r="S152" s="72"/>
      <c r="T152" s="72">
        <f t="shared" si="175"/>
        <v>46297</v>
      </c>
      <c r="U152" s="72">
        <f t="shared" si="176"/>
        <v>46297</v>
      </c>
      <c r="V152" s="72"/>
      <c r="X152" s="185" t="str">
        <f t="shared" ca="1" si="204"/>
        <v>Completed</v>
      </c>
      <c r="Y152" s="185" t="str">
        <f t="shared" ca="1" si="205"/>
        <v>Overdue</v>
      </c>
      <c r="Z152" s="185" t="str">
        <f t="shared" ca="1" si="206"/>
        <v/>
      </c>
      <c r="AA152" s="186" t="str">
        <f t="shared" ca="1" si="207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94</v>
      </c>
      <c r="D153" s="75" t="s">
        <v>350</v>
      </c>
      <c r="E153" s="75" t="s">
        <v>421</v>
      </c>
      <c r="F153" s="116">
        <f t="shared" si="188"/>
        <v>0.7</v>
      </c>
      <c r="G153" s="116">
        <f t="shared" si="188"/>
        <v>0.7</v>
      </c>
      <c r="H153" s="116">
        <f t="shared" si="188"/>
        <v>0.5</v>
      </c>
      <c r="I153" s="116">
        <f t="shared" si="234"/>
        <v>-0.19999999999999996</v>
      </c>
      <c r="J153" s="81">
        <v>0.1</v>
      </c>
      <c r="K153" s="72">
        <v>46199</v>
      </c>
      <c r="L153" s="72">
        <f t="shared" si="170"/>
        <v>46199</v>
      </c>
      <c r="M153" s="72">
        <v>46171</v>
      </c>
      <c r="N153" s="72">
        <f t="shared" si="171"/>
        <v>46241</v>
      </c>
      <c r="O153" s="72">
        <f t="shared" si="172"/>
        <v>46241</v>
      </c>
      <c r="P153" s="72"/>
      <c r="Q153" s="72">
        <f t="shared" si="173"/>
        <v>46283</v>
      </c>
      <c r="R153" s="72">
        <f t="shared" si="174"/>
        <v>46283</v>
      </c>
      <c r="S153" s="72"/>
      <c r="T153" s="72">
        <f t="shared" si="175"/>
        <v>46297</v>
      </c>
      <c r="U153" s="72">
        <f t="shared" si="176"/>
        <v>46297</v>
      </c>
      <c r="V153" s="72"/>
      <c r="X153" s="185" t="str">
        <f t="shared" ca="1" si="204"/>
        <v>Completed</v>
      </c>
      <c r="Y153" s="185" t="str">
        <f t="shared" ca="1" si="205"/>
        <v>Overdue</v>
      </c>
      <c r="Z153" s="185" t="str">
        <f t="shared" ca="1" si="206"/>
        <v/>
      </c>
      <c r="AA153" s="186" t="str">
        <f t="shared" ca="1" si="207"/>
        <v/>
      </c>
    </row>
    <row r="154" spans="1:27" s="145" customFormat="1" ht="11.5" x14ac:dyDescent="0.25">
      <c r="A154" s="140" t="s">
        <v>61</v>
      </c>
      <c r="B154" s="140" t="s">
        <v>62</v>
      </c>
      <c r="C154" s="140" t="s">
        <v>94</v>
      </c>
      <c r="D154" s="141" t="s">
        <v>422</v>
      </c>
      <c r="E154" s="141" t="s">
        <v>518</v>
      </c>
      <c r="F154" s="142"/>
      <c r="G154" s="142"/>
      <c r="H154" s="142"/>
      <c r="I154" s="142"/>
      <c r="J154" s="143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X154" s="185"/>
      <c r="Y154" s="185"/>
      <c r="Z154" s="185"/>
      <c r="AA154" s="186" t="str">
        <f t="shared" ca="1" si="207"/>
        <v/>
      </c>
    </row>
    <row r="155" spans="1:27" s="145" customFormat="1" ht="11.5" x14ac:dyDescent="0.25">
      <c r="A155" s="140" t="s">
        <v>61</v>
      </c>
      <c r="B155" s="140" t="s">
        <v>62</v>
      </c>
      <c r="C155" s="140" t="s">
        <v>94</v>
      </c>
      <c r="D155" s="141" t="s">
        <v>423</v>
      </c>
      <c r="E155" s="141" t="s">
        <v>519</v>
      </c>
      <c r="F155" s="142"/>
      <c r="G155" s="142"/>
      <c r="H155" s="142"/>
      <c r="I155" s="142"/>
      <c r="J155" s="143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X155" s="185"/>
      <c r="Y155" s="185"/>
      <c r="Z155" s="185"/>
      <c r="AA155" s="186" t="str">
        <f t="shared" ca="1" si="207"/>
        <v/>
      </c>
    </row>
    <row r="156" spans="1:27" s="64" customFormat="1" ht="11.5" x14ac:dyDescent="0.25">
      <c r="A156" s="70" t="s">
        <v>61</v>
      </c>
      <c r="B156" s="70" t="s">
        <v>62</v>
      </c>
      <c r="C156" s="70" t="s">
        <v>94</v>
      </c>
      <c r="D156" s="75" t="s">
        <v>351</v>
      </c>
      <c r="E156" s="75" t="s">
        <v>170</v>
      </c>
      <c r="F156" s="116">
        <f t="shared" si="188"/>
        <v>0.5</v>
      </c>
      <c r="G156" s="116">
        <f t="shared" si="188"/>
        <v>0.5</v>
      </c>
      <c r="H156" s="116">
        <f t="shared" si="188"/>
        <v>0.7</v>
      </c>
      <c r="I156" s="116">
        <f t="shared" si="234"/>
        <v>0.19999999999999996</v>
      </c>
      <c r="J156" s="81">
        <v>0.1</v>
      </c>
      <c r="K156" s="72">
        <v>46213</v>
      </c>
      <c r="L156" s="72">
        <f t="shared" si="170"/>
        <v>46213</v>
      </c>
      <c r="M156" s="72">
        <v>46171</v>
      </c>
      <c r="N156" s="72">
        <f t="shared" si="171"/>
        <v>46255</v>
      </c>
      <c r="O156" s="72">
        <f t="shared" si="172"/>
        <v>46255</v>
      </c>
      <c r="P156" s="150">
        <v>46241</v>
      </c>
      <c r="Q156" s="72">
        <f t="shared" si="173"/>
        <v>46297</v>
      </c>
      <c r="R156" s="72">
        <f t="shared" si="174"/>
        <v>46297</v>
      </c>
      <c r="S156" s="72"/>
      <c r="T156" s="72">
        <f t="shared" si="175"/>
        <v>46311</v>
      </c>
      <c r="U156" s="72">
        <f t="shared" si="176"/>
        <v>46311</v>
      </c>
      <c r="V156" s="72"/>
      <c r="X156" s="185" t="str">
        <f t="shared" ca="1" si="204"/>
        <v>Completed</v>
      </c>
      <c r="Y156" s="185" t="str">
        <f t="shared" ca="1" si="205"/>
        <v>Completed</v>
      </c>
      <c r="Z156" s="185" t="str">
        <f t="shared" ca="1" si="206"/>
        <v/>
      </c>
      <c r="AA156" s="186" t="str">
        <f t="shared" ca="1" si="207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94</v>
      </c>
      <c r="D157" s="75" t="s">
        <v>352</v>
      </c>
      <c r="E157" s="75" t="s">
        <v>171</v>
      </c>
      <c r="F157" s="116">
        <f t="shared" si="188"/>
        <v>0.5</v>
      </c>
      <c r="G157" s="116">
        <f t="shared" si="188"/>
        <v>0.5</v>
      </c>
      <c r="H157" s="116">
        <f t="shared" si="188"/>
        <v>0.7</v>
      </c>
      <c r="I157" s="116">
        <f t="shared" si="234"/>
        <v>0.19999999999999996</v>
      </c>
      <c r="J157" s="81">
        <v>0.1</v>
      </c>
      <c r="K157" s="72">
        <v>46213</v>
      </c>
      <c r="L157" s="72">
        <f t="shared" si="170"/>
        <v>46213</v>
      </c>
      <c r="M157" s="72">
        <v>46171</v>
      </c>
      <c r="N157" s="72">
        <f t="shared" si="171"/>
        <v>46255</v>
      </c>
      <c r="O157" s="72">
        <f t="shared" si="172"/>
        <v>46255</v>
      </c>
      <c r="P157" s="150">
        <v>46241</v>
      </c>
      <c r="Q157" s="72">
        <f t="shared" si="173"/>
        <v>46297</v>
      </c>
      <c r="R157" s="72">
        <f t="shared" si="174"/>
        <v>46297</v>
      </c>
      <c r="S157" s="72"/>
      <c r="T157" s="72">
        <f t="shared" si="175"/>
        <v>46311</v>
      </c>
      <c r="U157" s="72">
        <f t="shared" si="176"/>
        <v>46311</v>
      </c>
      <c r="V157" s="72"/>
      <c r="X157" s="185" t="str">
        <f t="shared" ca="1" si="204"/>
        <v>Completed</v>
      </c>
      <c r="Y157" s="185" t="str">
        <f t="shared" ca="1" si="205"/>
        <v>Completed</v>
      </c>
      <c r="Z157" s="185" t="str">
        <f t="shared" ca="1" si="206"/>
        <v/>
      </c>
      <c r="AA157" s="186" t="str">
        <f t="shared" ca="1" si="207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94</v>
      </c>
      <c r="D158" s="75" t="s">
        <v>353</v>
      </c>
      <c r="E158" s="75" t="s">
        <v>172</v>
      </c>
      <c r="F158" s="116">
        <f t="shared" si="188"/>
        <v>0.5</v>
      </c>
      <c r="G158" s="116">
        <f t="shared" si="188"/>
        <v>0.5</v>
      </c>
      <c r="H158" s="116">
        <f t="shared" si="188"/>
        <v>0.7</v>
      </c>
      <c r="I158" s="116">
        <f t="shared" si="234"/>
        <v>0.19999999999999996</v>
      </c>
      <c r="J158" s="81">
        <v>0.1</v>
      </c>
      <c r="K158" s="72">
        <v>46213</v>
      </c>
      <c r="L158" s="72">
        <f t="shared" si="170"/>
        <v>46213</v>
      </c>
      <c r="M158" s="72">
        <v>46171</v>
      </c>
      <c r="N158" s="72">
        <f t="shared" si="171"/>
        <v>46255</v>
      </c>
      <c r="O158" s="72">
        <f t="shared" si="172"/>
        <v>46255</v>
      </c>
      <c r="P158" s="150">
        <v>46241</v>
      </c>
      <c r="Q158" s="72">
        <f t="shared" si="173"/>
        <v>46297</v>
      </c>
      <c r="R158" s="72">
        <f t="shared" si="174"/>
        <v>46297</v>
      </c>
      <c r="S158" s="72"/>
      <c r="T158" s="72">
        <f t="shared" si="175"/>
        <v>46311</v>
      </c>
      <c r="U158" s="72">
        <f t="shared" si="176"/>
        <v>46311</v>
      </c>
      <c r="V158" s="72"/>
      <c r="X158" s="185" t="str">
        <f t="shared" ca="1" si="204"/>
        <v>Completed</v>
      </c>
      <c r="Y158" s="185" t="str">
        <f t="shared" ca="1" si="205"/>
        <v>Completed</v>
      </c>
      <c r="Z158" s="185" t="str">
        <f t="shared" ca="1" si="206"/>
        <v/>
      </c>
      <c r="AA158" s="186" t="str">
        <f t="shared" ca="1" si="207"/>
        <v/>
      </c>
    </row>
    <row r="159" spans="1:27" s="64" customFormat="1" ht="11.5" x14ac:dyDescent="0.25">
      <c r="A159" s="70" t="s">
        <v>61</v>
      </c>
      <c r="B159" s="70" t="s">
        <v>62</v>
      </c>
      <c r="C159" s="70" t="s">
        <v>94</v>
      </c>
      <c r="D159" s="75" t="s">
        <v>354</v>
      </c>
      <c r="E159" s="75" t="s">
        <v>173</v>
      </c>
      <c r="F159" s="116">
        <f t="shared" si="188"/>
        <v>0.5</v>
      </c>
      <c r="G159" s="116">
        <f t="shared" si="188"/>
        <v>0.5</v>
      </c>
      <c r="H159" s="116">
        <f t="shared" si="188"/>
        <v>0.79999999999999993</v>
      </c>
      <c r="I159" s="116">
        <f t="shared" si="234"/>
        <v>0.29999999999999993</v>
      </c>
      <c r="J159" s="81">
        <v>0.1</v>
      </c>
      <c r="K159" s="72">
        <v>46213</v>
      </c>
      <c r="L159" s="72">
        <f t="shared" ref="L159:L236" si="235">K159</f>
        <v>46213</v>
      </c>
      <c r="M159" s="72">
        <v>46171</v>
      </c>
      <c r="N159" s="72">
        <f t="shared" ref="N159:N236" si="236">K159+42</f>
        <v>46255</v>
      </c>
      <c r="O159" s="72">
        <f t="shared" ref="O159:O236" si="237">N159</f>
        <v>46255</v>
      </c>
      <c r="P159" s="72">
        <v>46191</v>
      </c>
      <c r="Q159" s="72">
        <f t="shared" ref="Q159:Q236" si="238">N159+42</f>
        <v>46297</v>
      </c>
      <c r="R159" s="72">
        <f t="shared" ref="R159:R236" si="239">Q159</f>
        <v>46297</v>
      </c>
      <c r="S159" s="150">
        <v>46241</v>
      </c>
      <c r="T159" s="72">
        <f t="shared" ref="T159:T236" si="240">Q159+14</f>
        <v>46311</v>
      </c>
      <c r="U159" s="72">
        <f t="shared" ref="U159:U236" si="241">T159</f>
        <v>46311</v>
      </c>
      <c r="V159" s="72"/>
      <c r="X159" s="185" t="str">
        <f t="shared" ca="1" si="204"/>
        <v>Completed</v>
      </c>
      <c r="Y159" s="185" t="str">
        <f t="shared" ca="1" si="205"/>
        <v>Completed</v>
      </c>
      <c r="Z159" s="185" t="str">
        <f t="shared" ca="1" si="206"/>
        <v>Completed</v>
      </c>
      <c r="AA159" s="186" t="str">
        <f t="shared" ca="1" si="207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94</v>
      </c>
      <c r="D160" s="75" t="s">
        <v>355</v>
      </c>
      <c r="E160" s="75" t="s">
        <v>174</v>
      </c>
      <c r="F160" s="116">
        <f t="shared" si="188"/>
        <v>0.5</v>
      </c>
      <c r="G160" s="116">
        <f t="shared" si="188"/>
        <v>0.5</v>
      </c>
      <c r="H160" s="116">
        <f t="shared" si="188"/>
        <v>0.7</v>
      </c>
      <c r="I160" s="116">
        <f t="shared" si="234"/>
        <v>0.19999999999999996</v>
      </c>
      <c r="J160" s="81">
        <v>0.1</v>
      </c>
      <c r="K160" s="72">
        <v>46213</v>
      </c>
      <c r="L160" s="72">
        <f t="shared" si="235"/>
        <v>46213</v>
      </c>
      <c r="M160" s="72">
        <v>46171</v>
      </c>
      <c r="N160" s="72">
        <f t="shared" si="236"/>
        <v>46255</v>
      </c>
      <c r="O160" s="72">
        <f t="shared" si="237"/>
        <v>46255</v>
      </c>
      <c r="P160" s="150">
        <v>46241</v>
      </c>
      <c r="Q160" s="72">
        <f t="shared" si="238"/>
        <v>46297</v>
      </c>
      <c r="R160" s="72">
        <f t="shared" si="239"/>
        <v>46297</v>
      </c>
      <c r="S160" s="72"/>
      <c r="T160" s="72">
        <f t="shared" si="240"/>
        <v>46311</v>
      </c>
      <c r="U160" s="72">
        <f t="shared" si="241"/>
        <v>46311</v>
      </c>
      <c r="V160" s="72"/>
      <c r="X160" s="185" t="str">
        <f t="shared" ca="1" si="204"/>
        <v>Completed</v>
      </c>
      <c r="Y160" s="185" t="str">
        <f t="shared" ca="1" si="205"/>
        <v>Completed</v>
      </c>
      <c r="Z160" s="185" t="str">
        <f t="shared" ca="1" si="206"/>
        <v/>
      </c>
      <c r="AA160" s="186" t="str">
        <f t="shared" ca="1" si="207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94</v>
      </c>
      <c r="D161" s="75" t="s">
        <v>356</v>
      </c>
      <c r="E161" s="75" t="s">
        <v>175</v>
      </c>
      <c r="F161" s="116">
        <f t="shared" si="188"/>
        <v>0.5</v>
      </c>
      <c r="G161" s="116">
        <f t="shared" si="188"/>
        <v>0.5</v>
      </c>
      <c r="H161" s="116">
        <f t="shared" si="188"/>
        <v>0.79999999999999993</v>
      </c>
      <c r="I161" s="116">
        <f t="shared" si="234"/>
        <v>0.29999999999999993</v>
      </c>
      <c r="J161" s="81">
        <v>0.1</v>
      </c>
      <c r="K161" s="72">
        <v>46213</v>
      </c>
      <c r="L161" s="72">
        <f t="shared" si="235"/>
        <v>46213</v>
      </c>
      <c r="M161" s="72">
        <v>46171</v>
      </c>
      <c r="N161" s="72">
        <f t="shared" si="236"/>
        <v>46255</v>
      </c>
      <c r="O161" s="72">
        <f t="shared" si="237"/>
        <v>46255</v>
      </c>
      <c r="P161" s="72">
        <v>46191</v>
      </c>
      <c r="Q161" s="72">
        <f t="shared" si="238"/>
        <v>46297</v>
      </c>
      <c r="R161" s="72">
        <f t="shared" si="239"/>
        <v>46297</v>
      </c>
      <c r="S161" s="150">
        <v>46241</v>
      </c>
      <c r="T161" s="72">
        <f t="shared" si="240"/>
        <v>46311</v>
      </c>
      <c r="U161" s="72">
        <f t="shared" si="241"/>
        <v>46311</v>
      </c>
      <c r="V161" s="72"/>
      <c r="X161" s="185" t="str">
        <f t="shared" ca="1" si="204"/>
        <v>Completed</v>
      </c>
      <c r="Y161" s="185" t="str">
        <f t="shared" ca="1" si="205"/>
        <v>Completed</v>
      </c>
      <c r="Z161" s="185" t="str">
        <f t="shared" ca="1" si="206"/>
        <v>Completed</v>
      </c>
      <c r="AA161" s="186" t="str">
        <f t="shared" ca="1" si="207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94</v>
      </c>
      <c r="D162" s="75" t="s">
        <v>357</v>
      </c>
      <c r="E162" s="75" t="s">
        <v>176</v>
      </c>
      <c r="F162" s="116">
        <f t="shared" si="188"/>
        <v>0.5</v>
      </c>
      <c r="G162" s="116">
        <f t="shared" si="188"/>
        <v>0.5</v>
      </c>
      <c r="H162" s="116">
        <f t="shared" si="188"/>
        <v>0.7</v>
      </c>
      <c r="I162" s="116">
        <f t="shared" si="234"/>
        <v>0.19999999999999996</v>
      </c>
      <c r="J162" s="81">
        <v>0.1</v>
      </c>
      <c r="K162" s="72">
        <v>46213</v>
      </c>
      <c r="L162" s="72">
        <f t="shared" si="235"/>
        <v>46213</v>
      </c>
      <c r="M162" s="72">
        <v>46171</v>
      </c>
      <c r="N162" s="72">
        <f t="shared" si="236"/>
        <v>46255</v>
      </c>
      <c r="O162" s="72">
        <f t="shared" si="237"/>
        <v>46255</v>
      </c>
      <c r="P162" s="150">
        <v>46241</v>
      </c>
      <c r="Q162" s="72">
        <f t="shared" si="238"/>
        <v>46297</v>
      </c>
      <c r="R162" s="72">
        <f t="shared" si="239"/>
        <v>46297</v>
      </c>
      <c r="S162" s="72"/>
      <c r="T162" s="72">
        <f t="shared" si="240"/>
        <v>46311</v>
      </c>
      <c r="U162" s="72">
        <f t="shared" si="241"/>
        <v>46311</v>
      </c>
      <c r="V162" s="72"/>
      <c r="X162" s="185" t="str">
        <f t="shared" ca="1" si="204"/>
        <v>Completed</v>
      </c>
      <c r="Y162" s="185" t="str">
        <f t="shared" ca="1" si="205"/>
        <v>Completed</v>
      </c>
      <c r="Z162" s="185" t="str">
        <f t="shared" ca="1" si="206"/>
        <v/>
      </c>
      <c r="AA162" s="186" t="str">
        <f t="shared" ca="1" si="207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94</v>
      </c>
      <c r="D163" s="75" t="s">
        <v>358</v>
      </c>
      <c r="E163" s="75" t="s">
        <v>177</v>
      </c>
      <c r="F163" s="116">
        <f t="shared" si="188"/>
        <v>0.5</v>
      </c>
      <c r="G163" s="116">
        <f t="shared" si="188"/>
        <v>0.5</v>
      </c>
      <c r="H163" s="116">
        <f t="shared" si="188"/>
        <v>0.7</v>
      </c>
      <c r="I163" s="116">
        <f t="shared" si="234"/>
        <v>0.19999999999999996</v>
      </c>
      <c r="J163" s="81">
        <v>0.1</v>
      </c>
      <c r="K163" s="72">
        <v>46213</v>
      </c>
      <c r="L163" s="72">
        <f t="shared" si="235"/>
        <v>46213</v>
      </c>
      <c r="M163" s="72">
        <v>46171</v>
      </c>
      <c r="N163" s="72">
        <f t="shared" si="236"/>
        <v>46255</v>
      </c>
      <c r="O163" s="72">
        <f t="shared" si="237"/>
        <v>46255</v>
      </c>
      <c r="P163" s="150">
        <v>46241</v>
      </c>
      <c r="Q163" s="72">
        <f t="shared" si="238"/>
        <v>46297</v>
      </c>
      <c r="R163" s="72">
        <f t="shared" si="239"/>
        <v>46297</v>
      </c>
      <c r="S163" s="72"/>
      <c r="T163" s="72">
        <f t="shared" si="240"/>
        <v>46311</v>
      </c>
      <c r="U163" s="72">
        <f t="shared" si="241"/>
        <v>46311</v>
      </c>
      <c r="V163" s="72"/>
      <c r="X163" s="185" t="str">
        <f t="shared" ca="1" si="204"/>
        <v>Completed</v>
      </c>
      <c r="Y163" s="185" t="str">
        <f t="shared" ca="1" si="205"/>
        <v>Completed</v>
      </c>
      <c r="Z163" s="185" t="str">
        <f t="shared" ca="1" si="206"/>
        <v/>
      </c>
      <c r="AA163" s="186" t="str">
        <f t="shared" ca="1" si="207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94</v>
      </c>
      <c r="D164" s="75" t="s">
        <v>469</v>
      </c>
      <c r="E164" s="75" t="s">
        <v>470</v>
      </c>
      <c r="F164" s="116">
        <f t="shared" ref="F164" si="242">(COUNTIFS(K164,"&lt;="&amp;$D$1)*50%)+(COUNTIFS(N164,"&lt;="&amp;$D$1)*20%)+(COUNTIFS(Q164,"&lt;="&amp;$D$1)*10%)+(COUNTIFS(T164,"&lt;="&amp;$D$1)*20%)</f>
        <v>0.5</v>
      </c>
      <c r="G164" s="116">
        <f t="shared" ref="G164" si="243">(COUNTIFS(L164,"&lt;="&amp;$D$1)*50%)+(COUNTIFS(O164,"&lt;="&amp;$D$1)*20%)+(COUNTIFS(R164,"&lt;="&amp;$D$1)*10%)+(COUNTIFS(U164,"&lt;="&amp;$D$1)*20%)</f>
        <v>0.5</v>
      </c>
      <c r="H164" s="116">
        <f t="shared" ref="H164" si="244">(COUNTIFS(M164,"&lt;="&amp;$D$1)*50%)+(COUNTIFS(P164,"&lt;="&amp;$D$1)*20%)+(COUNTIFS(S164,"&lt;="&amp;$D$1)*10%)+(COUNTIFS(V164,"&lt;="&amp;$D$1)*20%)</f>
        <v>0.7</v>
      </c>
      <c r="I164" s="116">
        <f t="shared" ref="I164" si="245">H164-F164</f>
        <v>0.19999999999999996</v>
      </c>
      <c r="J164" s="81">
        <v>0.1</v>
      </c>
      <c r="K164" s="72">
        <v>46213</v>
      </c>
      <c r="L164" s="72">
        <f t="shared" ref="L164" si="246">K164</f>
        <v>46213</v>
      </c>
      <c r="M164" s="72">
        <v>46171</v>
      </c>
      <c r="N164" s="72">
        <f t="shared" ref="N164" si="247">K164+42</f>
        <v>46255</v>
      </c>
      <c r="O164" s="72">
        <f t="shared" ref="O164" si="248">N164</f>
        <v>46255</v>
      </c>
      <c r="P164" s="150">
        <v>46241</v>
      </c>
      <c r="Q164" s="72">
        <f t="shared" ref="Q164" si="249">N164+42</f>
        <v>46297</v>
      </c>
      <c r="R164" s="72">
        <f t="shared" ref="R164" si="250">Q164</f>
        <v>46297</v>
      </c>
      <c r="S164" s="72"/>
      <c r="T164" s="72">
        <f t="shared" ref="T164" si="251">Q164+14</f>
        <v>46311</v>
      </c>
      <c r="U164" s="72">
        <f t="shared" ref="U164" si="252">T164</f>
        <v>46311</v>
      </c>
      <c r="V164" s="72"/>
      <c r="X164" s="185" t="str">
        <f t="shared" ca="1" si="204"/>
        <v>Completed</v>
      </c>
      <c r="Y164" s="185" t="str">
        <f t="shared" ca="1" si="205"/>
        <v>Completed</v>
      </c>
      <c r="Z164" s="185" t="str">
        <f t="shared" ca="1" si="206"/>
        <v/>
      </c>
      <c r="AA164" s="186" t="str">
        <f t="shared" ca="1" si="207"/>
        <v/>
      </c>
    </row>
    <row r="165" spans="1:27" s="64" customFormat="1" ht="11.5" x14ac:dyDescent="0.25">
      <c r="A165" s="70" t="s">
        <v>61</v>
      </c>
      <c r="B165" s="70" t="s">
        <v>62</v>
      </c>
      <c r="C165" s="70" t="s">
        <v>94</v>
      </c>
      <c r="D165" s="124" t="s">
        <v>359</v>
      </c>
      <c r="E165" s="124" t="s">
        <v>424</v>
      </c>
      <c r="F165" s="125">
        <f t="shared" si="188"/>
        <v>0.5</v>
      </c>
      <c r="G165" s="125">
        <f t="shared" si="188"/>
        <v>0.5</v>
      </c>
      <c r="H165" s="125">
        <f t="shared" si="188"/>
        <v>0.7</v>
      </c>
      <c r="I165" s="125">
        <f t="shared" si="234"/>
        <v>0.19999999999999996</v>
      </c>
      <c r="J165" s="81">
        <v>0.15</v>
      </c>
      <c r="K165" s="72">
        <v>46213</v>
      </c>
      <c r="L165" s="74">
        <f t="shared" ref="L165:L166" si="253">K165</f>
        <v>46213</v>
      </c>
      <c r="M165" s="72">
        <v>46199</v>
      </c>
      <c r="N165" s="74">
        <f t="shared" ref="N165:N166" si="254">K165+42</f>
        <v>46255</v>
      </c>
      <c r="O165" s="74">
        <f t="shared" ref="O165:O166" si="255">N165</f>
        <v>46255</v>
      </c>
      <c r="P165" s="150">
        <v>46241</v>
      </c>
      <c r="Q165" s="74">
        <f t="shared" ref="Q165:Q166" si="256">N165+42</f>
        <v>46297</v>
      </c>
      <c r="R165" s="74">
        <f t="shared" ref="R165:R166" si="257">Q165</f>
        <v>46297</v>
      </c>
      <c r="S165" s="72"/>
      <c r="T165" s="74">
        <f t="shared" ref="T165:T166" si="258">Q165+14</f>
        <v>46311</v>
      </c>
      <c r="U165" s="74">
        <f t="shared" ref="U165:U166" si="259">T165</f>
        <v>46311</v>
      </c>
      <c r="V165" s="74"/>
      <c r="X165" s="185" t="str">
        <f t="shared" ca="1" si="204"/>
        <v>Completed</v>
      </c>
      <c r="Y165" s="185" t="str">
        <f t="shared" ca="1" si="205"/>
        <v>Completed</v>
      </c>
      <c r="Z165" s="185" t="str">
        <f t="shared" ca="1" si="206"/>
        <v/>
      </c>
      <c r="AA165" s="186" t="str">
        <f t="shared" ca="1" si="207"/>
        <v/>
      </c>
    </row>
    <row r="166" spans="1:27" s="64" customFormat="1" ht="11.5" x14ac:dyDescent="0.25">
      <c r="A166" s="70" t="s">
        <v>61</v>
      </c>
      <c r="B166" s="70" t="s">
        <v>62</v>
      </c>
      <c r="C166" s="70" t="s">
        <v>94</v>
      </c>
      <c r="D166" s="124" t="s">
        <v>425</v>
      </c>
      <c r="E166" s="124" t="s">
        <v>426</v>
      </c>
      <c r="F166" s="125"/>
      <c r="G166" s="116">
        <f t="shared" ref="G166:G168" si="260">(COUNTIFS(L166,"&lt;="&amp;$D$1)*50%)+(COUNTIFS(O166,"&lt;="&amp;$D$1)*20%)+(COUNTIFS(R166,"&lt;="&amp;$D$1)*10%)+(COUNTIFS(U166,"&lt;="&amp;$D$1)*20%)</f>
        <v>0.5</v>
      </c>
      <c r="H166" s="116">
        <f t="shared" ref="H166:H168" si="261">(COUNTIFS(M166,"&lt;="&amp;$D$1)*50%)+(COUNTIFS(P166,"&lt;="&amp;$D$1)*20%)+(COUNTIFS(S166,"&lt;="&amp;$D$1)*10%)+(COUNTIFS(V166,"&lt;="&amp;$D$1)*20%)</f>
        <v>0.7</v>
      </c>
      <c r="I166" s="116">
        <f t="shared" ref="I166:I168" si="262">H166-F166</f>
        <v>0.7</v>
      </c>
      <c r="J166" s="81">
        <v>0.15</v>
      </c>
      <c r="K166" s="72">
        <v>46213</v>
      </c>
      <c r="L166" s="72">
        <f t="shared" si="253"/>
        <v>46213</v>
      </c>
      <c r="M166" s="72">
        <v>46199</v>
      </c>
      <c r="N166" s="72">
        <f t="shared" si="254"/>
        <v>46255</v>
      </c>
      <c r="O166" s="72">
        <f t="shared" si="255"/>
        <v>46255</v>
      </c>
      <c r="P166" s="72">
        <v>46205</v>
      </c>
      <c r="Q166" s="72">
        <f t="shared" si="256"/>
        <v>46297</v>
      </c>
      <c r="R166" s="72">
        <f t="shared" si="257"/>
        <v>46297</v>
      </c>
      <c r="S166" s="72"/>
      <c r="T166" s="72">
        <f t="shared" si="258"/>
        <v>46311</v>
      </c>
      <c r="U166" s="72">
        <f t="shared" si="259"/>
        <v>46311</v>
      </c>
      <c r="V166" s="74"/>
      <c r="X166" s="185" t="str">
        <f t="shared" ca="1" si="204"/>
        <v>Completed</v>
      </c>
      <c r="Y166" s="185" t="str">
        <f t="shared" ca="1" si="205"/>
        <v>Completed</v>
      </c>
      <c r="Z166" s="185" t="str">
        <f t="shared" ca="1" si="206"/>
        <v/>
      </c>
      <c r="AA166" s="186" t="str">
        <f t="shared" ca="1" si="207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94</v>
      </c>
      <c r="D167" s="124" t="s">
        <v>427</v>
      </c>
      <c r="E167" s="124" t="s">
        <v>428</v>
      </c>
      <c r="F167" s="125"/>
      <c r="G167" s="125">
        <f t="shared" si="260"/>
        <v>0.5</v>
      </c>
      <c r="H167" s="125">
        <f t="shared" si="261"/>
        <v>0.7</v>
      </c>
      <c r="I167" s="125">
        <f t="shared" si="262"/>
        <v>0.7</v>
      </c>
      <c r="J167" s="81">
        <v>0.15</v>
      </c>
      <c r="K167" s="72">
        <v>46213</v>
      </c>
      <c r="L167" s="74">
        <f t="shared" ref="L167:L168" si="263">K167</f>
        <v>46213</v>
      </c>
      <c r="M167" s="72">
        <v>46199</v>
      </c>
      <c r="N167" s="74">
        <f t="shared" ref="N167:N168" si="264">K167+42</f>
        <v>46255</v>
      </c>
      <c r="O167" s="74">
        <f t="shared" ref="O167:O168" si="265">N167</f>
        <v>46255</v>
      </c>
      <c r="P167" s="150">
        <v>46241</v>
      </c>
      <c r="Q167" s="74">
        <f t="shared" ref="Q167:Q168" si="266">N167+42</f>
        <v>46297</v>
      </c>
      <c r="R167" s="74">
        <f t="shared" ref="R167:R168" si="267">Q167</f>
        <v>46297</v>
      </c>
      <c r="S167" s="72"/>
      <c r="T167" s="74">
        <f t="shared" ref="T167:T168" si="268">Q167+14</f>
        <v>46311</v>
      </c>
      <c r="U167" s="74">
        <f t="shared" ref="U167:U168" si="269">T167</f>
        <v>46311</v>
      </c>
      <c r="V167" s="74"/>
      <c r="X167" s="185" t="str">
        <f t="shared" ca="1" si="204"/>
        <v>Completed</v>
      </c>
      <c r="Y167" s="185" t="str">
        <f t="shared" ca="1" si="205"/>
        <v>Completed</v>
      </c>
      <c r="Z167" s="185" t="str">
        <f t="shared" ca="1" si="206"/>
        <v/>
      </c>
      <c r="AA167" s="186" t="str">
        <f t="shared" ca="1" si="207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94</v>
      </c>
      <c r="D168" s="124" t="s">
        <v>429</v>
      </c>
      <c r="E168" s="124" t="s">
        <v>430</v>
      </c>
      <c r="F168" s="125"/>
      <c r="G168" s="116">
        <f t="shared" si="260"/>
        <v>0.5</v>
      </c>
      <c r="H168" s="116">
        <f t="shared" si="261"/>
        <v>0.7</v>
      </c>
      <c r="I168" s="116">
        <f t="shared" si="262"/>
        <v>0.7</v>
      </c>
      <c r="J168" s="81">
        <v>0.15</v>
      </c>
      <c r="K168" s="72">
        <v>46213</v>
      </c>
      <c r="L168" s="72">
        <f t="shared" si="263"/>
        <v>46213</v>
      </c>
      <c r="M168" s="72">
        <v>46199</v>
      </c>
      <c r="N168" s="72">
        <f t="shared" si="264"/>
        <v>46255</v>
      </c>
      <c r="O168" s="72">
        <f t="shared" si="265"/>
        <v>46255</v>
      </c>
      <c r="P168" s="150">
        <v>46241</v>
      </c>
      <c r="Q168" s="72">
        <f t="shared" si="266"/>
        <v>46297</v>
      </c>
      <c r="R168" s="72">
        <f t="shared" si="267"/>
        <v>46297</v>
      </c>
      <c r="S168" s="72"/>
      <c r="T168" s="72">
        <f t="shared" si="268"/>
        <v>46311</v>
      </c>
      <c r="U168" s="72">
        <f t="shared" si="269"/>
        <v>46311</v>
      </c>
      <c r="V168" s="74"/>
      <c r="X168" s="185" t="str">
        <f t="shared" ca="1" si="204"/>
        <v>Completed</v>
      </c>
      <c r="Y168" s="185" t="str">
        <f t="shared" ca="1" si="205"/>
        <v>Completed</v>
      </c>
      <c r="Z168" s="185" t="str">
        <f t="shared" ca="1" si="206"/>
        <v/>
      </c>
      <c r="AA168" s="186" t="str">
        <f t="shared" ca="1" si="207"/>
        <v/>
      </c>
    </row>
    <row r="169" spans="1:27" s="145" customFormat="1" ht="11.5" x14ac:dyDescent="0.25">
      <c r="A169" s="140" t="s">
        <v>61</v>
      </c>
      <c r="B169" s="140" t="s">
        <v>62</v>
      </c>
      <c r="C169" s="140" t="s">
        <v>94</v>
      </c>
      <c r="D169" s="146" t="s">
        <v>431</v>
      </c>
      <c r="E169" s="197" t="s">
        <v>520</v>
      </c>
      <c r="F169" s="147"/>
      <c r="G169" s="147"/>
      <c r="H169" s="147"/>
      <c r="I169" s="147"/>
      <c r="J169" s="143"/>
      <c r="K169" s="144"/>
      <c r="L169" s="148"/>
      <c r="M169" s="148"/>
      <c r="N169" s="148"/>
      <c r="O169" s="148"/>
      <c r="P169" s="144"/>
      <c r="Q169" s="148"/>
      <c r="R169" s="148"/>
      <c r="S169" s="144"/>
      <c r="T169" s="148"/>
      <c r="U169" s="148"/>
      <c r="V169" s="148"/>
      <c r="X169" s="185"/>
      <c r="Y169" s="185" t="str">
        <f t="shared" ca="1" si="205"/>
        <v/>
      </c>
      <c r="Z169" s="185" t="str">
        <f t="shared" ca="1" si="206"/>
        <v/>
      </c>
      <c r="AA169" s="186" t="str">
        <f t="shared" ca="1" si="207"/>
        <v/>
      </c>
    </row>
    <row r="170" spans="1:27" s="145" customFormat="1" ht="11.5" x14ac:dyDescent="0.25">
      <c r="A170" s="140" t="s">
        <v>61</v>
      </c>
      <c r="B170" s="140" t="s">
        <v>62</v>
      </c>
      <c r="C170" s="140" t="s">
        <v>94</v>
      </c>
      <c r="D170" s="146" t="s">
        <v>432</v>
      </c>
      <c r="E170" s="197" t="s">
        <v>521</v>
      </c>
      <c r="F170" s="147"/>
      <c r="G170" s="147"/>
      <c r="H170" s="147"/>
      <c r="I170" s="147"/>
      <c r="J170" s="143"/>
      <c r="K170" s="144"/>
      <c r="L170" s="148"/>
      <c r="M170" s="148"/>
      <c r="N170" s="148"/>
      <c r="O170" s="148"/>
      <c r="P170" s="144"/>
      <c r="Q170" s="148"/>
      <c r="R170" s="148"/>
      <c r="S170" s="144"/>
      <c r="T170" s="148"/>
      <c r="U170" s="148"/>
      <c r="V170" s="148"/>
      <c r="X170" s="185"/>
      <c r="Y170" s="185" t="str">
        <f t="shared" ca="1" si="205"/>
        <v/>
      </c>
      <c r="Z170" s="185" t="str">
        <f t="shared" ca="1" si="206"/>
        <v/>
      </c>
      <c r="AA170" s="186" t="str">
        <f t="shared" ca="1" si="207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94</v>
      </c>
      <c r="D171" s="75" t="s">
        <v>360</v>
      </c>
      <c r="E171" s="75" t="s">
        <v>178</v>
      </c>
      <c r="F171" s="116">
        <f t="shared" si="188"/>
        <v>0.5</v>
      </c>
      <c r="G171" s="116">
        <f t="shared" si="188"/>
        <v>0.5</v>
      </c>
      <c r="H171" s="116">
        <f t="shared" si="188"/>
        <v>0.5</v>
      </c>
      <c r="I171" s="116">
        <f t="shared" si="234"/>
        <v>0</v>
      </c>
      <c r="J171" s="81">
        <v>0.1</v>
      </c>
      <c r="K171" s="72">
        <v>46213</v>
      </c>
      <c r="L171" s="72">
        <f t="shared" si="235"/>
        <v>46213</v>
      </c>
      <c r="M171" s="72">
        <v>46171</v>
      </c>
      <c r="N171" s="72">
        <f t="shared" si="236"/>
        <v>46255</v>
      </c>
      <c r="O171" s="72">
        <f t="shared" si="237"/>
        <v>46255</v>
      </c>
      <c r="P171" s="72"/>
      <c r="Q171" s="72">
        <f t="shared" si="238"/>
        <v>46297</v>
      </c>
      <c r="R171" s="72">
        <f t="shared" si="239"/>
        <v>46297</v>
      </c>
      <c r="S171" s="72"/>
      <c r="T171" s="72">
        <f t="shared" si="240"/>
        <v>46311</v>
      </c>
      <c r="U171" s="72">
        <f t="shared" si="241"/>
        <v>46311</v>
      </c>
      <c r="V171" s="72"/>
      <c r="X171" s="185" t="str">
        <f t="shared" ca="1" si="204"/>
        <v>Completed</v>
      </c>
      <c r="Y171" s="185" t="str">
        <f t="shared" ca="1" si="205"/>
        <v/>
      </c>
      <c r="Z171" s="185" t="str">
        <f t="shared" ca="1" si="206"/>
        <v/>
      </c>
      <c r="AA171" s="186" t="str">
        <f t="shared" ca="1" si="207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94</v>
      </c>
      <c r="D172" s="75" t="s">
        <v>361</v>
      </c>
      <c r="E172" s="75" t="s">
        <v>179</v>
      </c>
      <c r="F172" s="116">
        <f t="shared" si="188"/>
        <v>0.5</v>
      </c>
      <c r="G172" s="116">
        <f t="shared" si="188"/>
        <v>0.5</v>
      </c>
      <c r="H172" s="116">
        <f t="shared" si="188"/>
        <v>0.5</v>
      </c>
      <c r="I172" s="116">
        <f t="shared" si="234"/>
        <v>0</v>
      </c>
      <c r="J172" s="81">
        <v>0.1</v>
      </c>
      <c r="K172" s="72">
        <v>46213</v>
      </c>
      <c r="L172" s="72">
        <f t="shared" si="235"/>
        <v>46213</v>
      </c>
      <c r="M172" s="72">
        <v>46171</v>
      </c>
      <c r="N172" s="72">
        <f t="shared" si="236"/>
        <v>46255</v>
      </c>
      <c r="O172" s="72">
        <f t="shared" si="237"/>
        <v>46255</v>
      </c>
      <c r="P172" s="72"/>
      <c r="Q172" s="72">
        <f t="shared" si="238"/>
        <v>46297</v>
      </c>
      <c r="R172" s="72">
        <f t="shared" si="239"/>
        <v>46297</v>
      </c>
      <c r="S172" s="72"/>
      <c r="T172" s="72">
        <f t="shared" si="240"/>
        <v>46311</v>
      </c>
      <c r="U172" s="72">
        <f t="shared" si="241"/>
        <v>46311</v>
      </c>
      <c r="V172" s="72"/>
      <c r="X172" s="185" t="str">
        <f t="shared" ca="1" si="204"/>
        <v>Completed</v>
      </c>
      <c r="Y172" s="185" t="str">
        <f t="shared" ca="1" si="205"/>
        <v/>
      </c>
      <c r="Z172" s="185" t="str">
        <f t="shared" ca="1" si="206"/>
        <v/>
      </c>
      <c r="AA172" s="186" t="str">
        <f t="shared" ca="1" si="207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94</v>
      </c>
      <c r="D173" s="75" t="s">
        <v>362</v>
      </c>
      <c r="E173" s="75" t="s">
        <v>180</v>
      </c>
      <c r="F173" s="116">
        <f t="shared" si="188"/>
        <v>0.5</v>
      </c>
      <c r="G173" s="116">
        <f t="shared" si="188"/>
        <v>0.5</v>
      </c>
      <c r="H173" s="116">
        <f t="shared" si="188"/>
        <v>0.5</v>
      </c>
      <c r="I173" s="116">
        <f t="shared" si="234"/>
        <v>0</v>
      </c>
      <c r="J173" s="81">
        <v>0.1</v>
      </c>
      <c r="K173" s="72">
        <v>46213</v>
      </c>
      <c r="L173" s="72">
        <f t="shared" si="235"/>
        <v>46213</v>
      </c>
      <c r="M173" s="72">
        <v>46171</v>
      </c>
      <c r="N173" s="72">
        <f t="shared" si="236"/>
        <v>46255</v>
      </c>
      <c r="O173" s="72">
        <f t="shared" si="237"/>
        <v>46255</v>
      </c>
      <c r="P173" s="72"/>
      <c r="Q173" s="72">
        <f t="shared" si="238"/>
        <v>46297</v>
      </c>
      <c r="R173" s="72">
        <f t="shared" si="239"/>
        <v>46297</v>
      </c>
      <c r="S173" s="72"/>
      <c r="T173" s="72">
        <f t="shared" si="240"/>
        <v>46311</v>
      </c>
      <c r="U173" s="72">
        <f t="shared" si="241"/>
        <v>46311</v>
      </c>
      <c r="V173" s="72"/>
      <c r="X173" s="185" t="str">
        <f t="shared" ca="1" si="204"/>
        <v>Completed</v>
      </c>
      <c r="Y173" s="185" t="str">
        <f t="shared" ca="1" si="205"/>
        <v/>
      </c>
      <c r="Z173" s="185" t="str">
        <f t="shared" ca="1" si="206"/>
        <v/>
      </c>
      <c r="AA173" s="186" t="str">
        <f t="shared" ca="1" si="207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94</v>
      </c>
      <c r="D174" s="75" t="s">
        <v>363</v>
      </c>
      <c r="E174" s="75" t="s">
        <v>181</v>
      </c>
      <c r="F174" s="116">
        <f t="shared" si="188"/>
        <v>0.5</v>
      </c>
      <c r="G174" s="116">
        <f t="shared" si="188"/>
        <v>0.5</v>
      </c>
      <c r="H174" s="116">
        <f t="shared" si="188"/>
        <v>0.5</v>
      </c>
      <c r="I174" s="116">
        <f t="shared" si="234"/>
        <v>0</v>
      </c>
      <c r="J174" s="81">
        <v>0.1</v>
      </c>
      <c r="K174" s="72">
        <v>46213</v>
      </c>
      <c r="L174" s="72">
        <f t="shared" si="235"/>
        <v>46213</v>
      </c>
      <c r="M174" s="72">
        <v>46171</v>
      </c>
      <c r="N174" s="72">
        <f t="shared" si="236"/>
        <v>46255</v>
      </c>
      <c r="O174" s="72">
        <f t="shared" si="237"/>
        <v>46255</v>
      </c>
      <c r="P174" s="72"/>
      <c r="Q174" s="72">
        <f t="shared" si="238"/>
        <v>46297</v>
      </c>
      <c r="R174" s="72">
        <f t="shared" si="239"/>
        <v>46297</v>
      </c>
      <c r="S174" s="72"/>
      <c r="T174" s="72">
        <f t="shared" si="240"/>
        <v>46311</v>
      </c>
      <c r="U174" s="72">
        <f t="shared" si="241"/>
        <v>46311</v>
      </c>
      <c r="V174" s="72"/>
      <c r="X174" s="185" t="str">
        <f t="shared" ca="1" si="204"/>
        <v>Completed</v>
      </c>
      <c r="Y174" s="185" t="str">
        <f t="shared" ca="1" si="205"/>
        <v/>
      </c>
      <c r="Z174" s="185" t="str">
        <f t="shared" ca="1" si="206"/>
        <v/>
      </c>
      <c r="AA174" s="186" t="str">
        <f t="shared" ca="1" si="207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94</v>
      </c>
      <c r="D175" s="75" t="s">
        <v>364</v>
      </c>
      <c r="E175" s="75" t="s">
        <v>182</v>
      </c>
      <c r="F175" s="116">
        <f t="shared" si="188"/>
        <v>0.5</v>
      </c>
      <c r="G175" s="116">
        <f t="shared" si="188"/>
        <v>0.5</v>
      </c>
      <c r="H175" s="116">
        <f t="shared" si="188"/>
        <v>0.5</v>
      </c>
      <c r="I175" s="116">
        <f t="shared" si="234"/>
        <v>0</v>
      </c>
      <c r="J175" s="81">
        <v>0.1</v>
      </c>
      <c r="K175" s="72">
        <v>46213</v>
      </c>
      <c r="L175" s="72">
        <f t="shared" si="235"/>
        <v>46213</v>
      </c>
      <c r="M175" s="72">
        <v>46171</v>
      </c>
      <c r="N175" s="72">
        <f t="shared" si="236"/>
        <v>46255</v>
      </c>
      <c r="O175" s="72">
        <f t="shared" si="237"/>
        <v>46255</v>
      </c>
      <c r="P175" s="72"/>
      <c r="Q175" s="72">
        <f t="shared" si="238"/>
        <v>46297</v>
      </c>
      <c r="R175" s="72">
        <f t="shared" si="239"/>
        <v>46297</v>
      </c>
      <c r="S175" s="72"/>
      <c r="T175" s="72">
        <f t="shared" si="240"/>
        <v>46311</v>
      </c>
      <c r="U175" s="72">
        <f t="shared" si="241"/>
        <v>46311</v>
      </c>
      <c r="V175" s="72"/>
      <c r="X175" s="185" t="str">
        <f t="shared" ca="1" si="204"/>
        <v>Completed</v>
      </c>
      <c r="Y175" s="185" t="str">
        <f t="shared" ca="1" si="205"/>
        <v/>
      </c>
      <c r="Z175" s="185" t="str">
        <f t="shared" ca="1" si="206"/>
        <v/>
      </c>
      <c r="AA175" s="186" t="str">
        <f t="shared" ca="1" si="207"/>
        <v/>
      </c>
    </row>
    <row r="176" spans="1:27" s="64" customFormat="1" ht="11.5" x14ac:dyDescent="0.25">
      <c r="A176" s="70" t="s">
        <v>61</v>
      </c>
      <c r="B176" s="70" t="s">
        <v>62</v>
      </c>
      <c r="C176" s="70" t="s">
        <v>94</v>
      </c>
      <c r="D176" s="75" t="s">
        <v>365</v>
      </c>
      <c r="E176" s="75" t="s">
        <v>183</v>
      </c>
      <c r="F176" s="116">
        <f t="shared" si="188"/>
        <v>0.5</v>
      </c>
      <c r="G176" s="116">
        <f t="shared" si="188"/>
        <v>0.5</v>
      </c>
      <c r="H176" s="116">
        <f t="shared" si="188"/>
        <v>0.5</v>
      </c>
      <c r="I176" s="116">
        <f t="shared" si="234"/>
        <v>0</v>
      </c>
      <c r="J176" s="81">
        <v>0.1</v>
      </c>
      <c r="K176" s="72">
        <v>46213</v>
      </c>
      <c r="L176" s="72">
        <f t="shared" si="235"/>
        <v>46213</v>
      </c>
      <c r="M176" s="72">
        <v>46171</v>
      </c>
      <c r="N176" s="72">
        <f t="shared" si="236"/>
        <v>46255</v>
      </c>
      <c r="O176" s="72">
        <f t="shared" si="237"/>
        <v>46255</v>
      </c>
      <c r="P176" s="72"/>
      <c r="Q176" s="72">
        <f t="shared" si="238"/>
        <v>46297</v>
      </c>
      <c r="R176" s="72">
        <f t="shared" si="239"/>
        <v>46297</v>
      </c>
      <c r="S176" s="72"/>
      <c r="T176" s="72">
        <f t="shared" si="240"/>
        <v>46311</v>
      </c>
      <c r="U176" s="72">
        <f t="shared" si="241"/>
        <v>46311</v>
      </c>
      <c r="V176" s="72"/>
      <c r="X176" s="185" t="str">
        <f t="shared" ca="1" si="204"/>
        <v>Completed</v>
      </c>
      <c r="Y176" s="185" t="str">
        <f t="shared" ca="1" si="205"/>
        <v/>
      </c>
      <c r="Z176" s="185" t="str">
        <f t="shared" ca="1" si="206"/>
        <v/>
      </c>
      <c r="AA176" s="186" t="str">
        <f t="shared" ca="1" si="207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94</v>
      </c>
      <c r="D177" s="75" t="s">
        <v>366</v>
      </c>
      <c r="E177" s="75" t="s">
        <v>184</v>
      </c>
      <c r="F177" s="116">
        <f t="shared" si="188"/>
        <v>0.5</v>
      </c>
      <c r="G177" s="116">
        <f t="shared" si="188"/>
        <v>0.5</v>
      </c>
      <c r="H177" s="116">
        <f t="shared" si="188"/>
        <v>0.5</v>
      </c>
      <c r="I177" s="116">
        <f t="shared" si="234"/>
        <v>0</v>
      </c>
      <c r="J177" s="81">
        <v>0.1</v>
      </c>
      <c r="K177" s="72">
        <v>46213</v>
      </c>
      <c r="L177" s="72">
        <f t="shared" si="235"/>
        <v>46213</v>
      </c>
      <c r="M177" s="72">
        <v>46171</v>
      </c>
      <c r="N177" s="72">
        <f t="shared" si="236"/>
        <v>46255</v>
      </c>
      <c r="O177" s="72">
        <f t="shared" si="237"/>
        <v>46255</v>
      </c>
      <c r="P177" s="72"/>
      <c r="Q177" s="72">
        <f t="shared" si="238"/>
        <v>46297</v>
      </c>
      <c r="R177" s="72">
        <f t="shared" si="239"/>
        <v>46297</v>
      </c>
      <c r="S177" s="72"/>
      <c r="T177" s="72">
        <f t="shared" si="240"/>
        <v>46311</v>
      </c>
      <c r="U177" s="72">
        <f t="shared" si="241"/>
        <v>46311</v>
      </c>
      <c r="V177" s="72"/>
      <c r="X177" s="185" t="str">
        <f t="shared" ca="1" si="204"/>
        <v>Completed</v>
      </c>
      <c r="Y177" s="185" t="str">
        <f t="shared" ca="1" si="205"/>
        <v/>
      </c>
      <c r="Z177" s="185" t="str">
        <f t="shared" ca="1" si="206"/>
        <v/>
      </c>
      <c r="AA177" s="186" t="str">
        <f t="shared" ca="1" si="207"/>
        <v/>
      </c>
    </row>
    <row r="178" spans="1:27" s="64" customFormat="1" ht="11.5" x14ac:dyDescent="0.25">
      <c r="A178" s="70" t="s">
        <v>61</v>
      </c>
      <c r="B178" s="70" t="s">
        <v>62</v>
      </c>
      <c r="C178" s="70" t="s">
        <v>94</v>
      </c>
      <c r="D178" s="124" t="s">
        <v>367</v>
      </c>
      <c r="E178" s="124" t="s">
        <v>185</v>
      </c>
      <c r="F178" s="125">
        <f t="shared" ref="F178" si="270">(COUNTIFS(K178,"&lt;="&amp;$D$1)*50%)+(COUNTIFS(N178,"&lt;="&amp;$D$1)*20%)+(COUNTIFS(Q178,"&lt;="&amp;$D$1)*10%)+(COUNTIFS(T178,"&lt;="&amp;$D$1)*20%)</f>
        <v>0.5</v>
      </c>
      <c r="G178" s="125">
        <f t="shared" ref="G178" si="271">(COUNTIFS(L178,"&lt;="&amp;$D$1)*50%)+(COUNTIFS(O178,"&lt;="&amp;$D$1)*20%)+(COUNTIFS(R178,"&lt;="&amp;$D$1)*10%)+(COUNTIFS(U178,"&lt;="&amp;$D$1)*20%)</f>
        <v>0.5</v>
      </c>
      <c r="H178" s="125">
        <f t="shared" ref="H178" si="272">(COUNTIFS(M178,"&lt;="&amp;$D$1)*50%)+(COUNTIFS(P178,"&lt;="&amp;$D$1)*20%)+(COUNTIFS(S178,"&lt;="&amp;$D$1)*10%)+(COUNTIFS(V178,"&lt;="&amp;$D$1)*20%)</f>
        <v>0.5</v>
      </c>
      <c r="I178" s="125">
        <f t="shared" si="234"/>
        <v>0</v>
      </c>
      <c r="J178" s="81">
        <v>0.1</v>
      </c>
      <c r="K178" s="72">
        <v>46213</v>
      </c>
      <c r="L178" s="107">
        <f t="shared" si="235"/>
        <v>46213</v>
      </c>
      <c r="M178" s="72">
        <v>46171</v>
      </c>
      <c r="N178" s="107">
        <f t="shared" si="236"/>
        <v>46255</v>
      </c>
      <c r="O178" s="107">
        <f t="shared" si="237"/>
        <v>46255</v>
      </c>
      <c r="P178" s="107"/>
      <c r="Q178" s="107">
        <f t="shared" si="238"/>
        <v>46297</v>
      </c>
      <c r="R178" s="107">
        <f t="shared" si="239"/>
        <v>46297</v>
      </c>
      <c r="S178" s="107"/>
      <c r="T178" s="107">
        <f t="shared" si="240"/>
        <v>46311</v>
      </c>
      <c r="U178" s="107">
        <f t="shared" si="241"/>
        <v>46311</v>
      </c>
      <c r="V178" s="107"/>
      <c r="X178" s="185" t="str">
        <f t="shared" ca="1" si="204"/>
        <v>Completed</v>
      </c>
      <c r="Y178" s="185" t="str">
        <f t="shared" ca="1" si="205"/>
        <v/>
      </c>
      <c r="Z178" s="185" t="str">
        <f t="shared" ca="1" si="206"/>
        <v/>
      </c>
      <c r="AA178" s="186" t="str">
        <f t="shared" ca="1" si="207"/>
        <v/>
      </c>
    </row>
    <row r="179" spans="1:27" s="64" customFormat="1" ht="11.5" x14ac:dyDescent="0.25">
      <c r="A179" s="70" t="s">
        <v>61</v>
      </c>
      <c r="B179" s="70" t="s">
        <v>62</v>
      </c>
      <c r="C179" s="70" t="s">
        <v>94</v>
      </c>
      <c r="D179" s="75" t="s">
        <v>368</v>
      </c>
      <c r="E179" s="75" t="s">
        <v>186</v>
      </c>
      <c r="F179" s="116">
        <f t="shared" ref="F179:H235" si="273">(COUNTIFS(K179,"&lt;="&amp;$D$1)*50%)+(COUNTIFS(N179,"&lt;="&amp;$D$1)*20%)+(COUNTIFS(Q179,"&lt;="&amp;$D$1)*10%)+(COUNTIFS(T179,"&lt;="&amp;$D$1)*20%)</f>
        <v>0.5</v>
      </c>
      <c r="G179" s="116">
        <f t="shared" si="273"/>
        <v>0.5</v>
      </c>
      <c r="H179" s="116">
        <f t="shared" si="273"/>
        <v>0.5</v>
      </c>
      <c r="I179" s="116">
        <f t="shared" si="234"/>
        <v>0</v>
      </c>
      <c r="J179" s="81">
        <v>0.1</v>
      </c>
      <c r="K179" s="72">
        <v>46213</v>
      </c>
      <c r="L179" s="72">
        <f t="shared" si="235"/>
        <v>46213</v>
      </c>
      <c r="M179" s="72">
        <v>46171</v>
      </c>
      <c r="N179" s="72">
        <f t="shared" si="236"/>
        <v>46255</v>
      </c>
      <c r="O179" s="72">
        <f t="shared" si="237"/>
        <v>46255</v>
      </c>
      <c r="P179" s="72"/>
      <c r="Q179" s="72">
        <f t="shared" si="238"/>
        <v>46297</v>
      </c>
      <c r="R179" s="72">
        <f t="shared" si="239"/>
        <v>46297</v>
      </c>
      <c r="S179" s="72"/>
      <c r="T179" s="72">
        <f t="shared" si="240"/>
        <v>46311</v>
      </c>
      <c r="U179" s="72">
        <f t="shared" si="241"/>
        <v>46311</v>
      </c>
      <c r="V179" s="72"/>
      <c r="X179" s="185" t="str">
        <f t="shared" ca="1" si="204"/>
        <v>Completed</v>
      </c>
      <c r="Y179" s="185" t="str">
        <f t="shared" ca="1" si="205"/>
        <v/>
      </c>
      <c r="Z179" s="185" t="str">
        <f t="shared" ca="1" si="206"/>
        <v/>
      </c>
      <c r="AA179" s="186" t="str">
        <f t="shared" ca="1" si="207"/>
        <v/>
      </c>
    </row>
    <row r="180" spans="1:27" s="64" customFormat="1" ht="11.5" x14ac:dyDescent="0.25">
      <c r="A180" s="70" t="s">
        <v>61</v>
      </c>
      <c r="B180" s="70" t="s">
        <v>62</v>
      </c>
      <c r="C180" s="70" t="s">
        <v>94</v>
      </c>
      <c r="D180" s="75" t="s">
        <v>369</v>
      </c>
      <c r="E180" s="75" t="s">
        <v>187</v>
      </c>
      <c r="F180" s="116">
        <f t="shared" si="273"/>
        <v>0.5</v>
      </c>
      <c r="G180" s="116">
        <f t="shared" si="273"/>
        <v>0.5</v>
      </c>
      <c r="H180" s="116">
        <f t="shared" si="273"/>
        <v>0.5</v>
      </c>
      <c r="I180" s="116">
        <f t="shared" si="234"/>
        <v>0</v>
      </c>
      <c r="J180" s="81">
        <v>0.1</v>
      </c>
      <c r="K180" s="72">
        <v>46213</v>
      </c>
      <c r="L180" s="72">
        <f t="shared" si="235"/>
        <v>46213</v>
      </c>
      <c r="M180" s="72">
        <v>46171</v>
      </c>
      <c r="N180" s="72">
        <f t="shared" si="236"/>
        <v>46255</v>
      </c>
      <c r="O180" s="72">
        <f t="shared" si="237"/>
        <v>46255</v>
      </c>
      <c r="P180" s="72"/>
      <c r="Q180" s="72">
        <f t="shared" si="238"/>
        <v>46297</v>
      </c>
      <c r="R180" s="72">
        <f t="shared" si="239"/>
        <v>46297</v>
      </c>
      <c r="S180" s="72"/>
      <c r="T180" s="72">
        <f t="shared" si="240"/>
        <v>46311</v>
      </c>
      <c r="U180" s="72">
        <f t="shared" si="241"/>
        <v>46311</v>
      </c>
      <c r="V180" s="72"/>
      <c r="X180" s="185" t="str">
        <f t="shared" ca="1" si="204"/>
        <v>Completed</v>
      </c>
      <c r="Y180" s="185" t="str">
        <f t="shared" ca="1" si="205"/>
        <v/>
      </c>
      <c r="Z180" s="185" t="str">
        <f t="shared" ca="1" si="206"/>
        <v/>
      </c>
      <c r="AA180" s="186" t="str">
        <f t="shared" ca="1" si="207"/>
        <v/>
      </c>
    </row>
    <row r="181" spans="1:27" s="145" customFormat="1" ht="11.5" x14ac:dyDescent="0.25">
      <c r="A181" s="140" t="s">
        <v>61</v>
      </c>
      <c r="B181" s="140" t="s">
        <v>62</v>
      </c>
      <c r="C181" s="140" t="s">
        <v>94</v>
      </c>
      <c r="D181" s="141" t="s">
        <v>433</v>
      </c>
      <c r="E181" s="141" t="s">
        <v>522</v>
      </c>
      <c r="F181" s="142"/>
      <c r="G181" s="142"/>
      <c r="H181" s="142"/>
      <c r="I181" s="142"/>
      <c r="J181" s="143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X181" s="185"/>
      <c r="Y181" s="185"/>
      <c r="Z181" s="185"/>
      <c r="AA181" s="186"/>
    </row>
    <row r="182" spans="1:27" s="64" customFormat="1" ht="11.5" x14ac:dyDescent="0.25">
      <c r="A182" s="70" t="s">
        <v>61</v>
      </c>
      <c r="B182" s="70" t="s">
        <v>62</v>
      </c>
      <c r="C182" s="70" t="s">
        <v>94</v>
      </c>
      <c r="D182" s="75" t="s">
        <v>370</v>
      </c>
      <c r="E182" s="75" t="s">
        <v>188</v>
      </c>
      <c r="F182" s="116">
        <f t="shared" si="273"/>
        <v>0.5</v>
      </c>
      <c r="G182" s="116">
        <f t="shared" si="273"/>
        <v>0.5</v>
      </c>
      <c r="H182" s="116">
        <f t="shared" si="273"/>
        <v>0.5</v>
      </c>
      <c r="I182" s="116">
        <f t="shared" si="234"/>
        <v>0</v>
      </c>
      <c r="J182" s="81">
        <v>0.1</v>
      </c>
      <c r="K182" s="72">
        <v>46220</v>
      </c>
      <c r="L182" s="72">
        <f t="shared" si="235"/>
        <v>46220</v>
      </c>
      <c r="M182" s="72">
        <v>46178</v>
      </c>
      <c r="N182" s="72">
        <f t="shared" si="236"/>
        <v>46262</v>
      </c>
      <c r="O182" s="72">
        <f t="shared" si="237"/>
        <v>46262</v>
      </c>
      <c r="P182" s="72"/>
      <c r="Q182" s="72">
        <f t="shared" si="238"/>
        <v>46304</v>
      </c>
      <c r="R182" s="72">
        <f t="shared" si="239"/>
        <v>46304</v>
      </c>
      <c r="S182" s="72"/>
      <c r="T182" s="72">
        <f t="shared" si="240"/>
        <v>46318</v>
      </c>
      <c r="U182" s="72">
        <f t="shared" si="241"/>
        <v>46318</v>
      </c>
      <c r="V182" s="72"/>
      <c r="X182" s="185" t="str">
        <f t="shared" ca="1" si="204"/>
        <v>Completed</v>
      </c>
      <c r="Y182" s="185" t="str">
        <f t="shared" ca="1" si="205"/>
        <v/>
      </c>
      <c r="Z182" s="185" t="str">
        <f t="shared" ca="1" si="206"/>
        <v/>
      </c>
      <c r="AA182" s="186" t="str">
        <f t="shared" ca="1" si="207"/>
        <v/>
      </c>
    </row>
    <row r="183" spans="1:27" s="64" customFormat="1" ht="11.5" x14ac:dyDescent="0.25">
      <c r="A183" s="70" t="s">
        <v>61</v>
      </c>
      <c r="B183" s="70" t="s">
        <v>62</v>
      </c>
      <c r="C183" s="70" t="s">
        <v>94</v>
      </c>
      <c r="D183" s="75" t="s">
        <v>371</v>
      </c>
      <c r="E183" s="75" t="s">
        <v>189</v>
      </c>
      <c r="F183" s="116">
        <f t="shared" si="273"/>
        <v>0.5</v>
      </c>
      <c r="G183" s="116">
        <f>(COUNTIFS(L183,"&lt;="&amp;$D$1)*50%)+(COUNTIFS(O183,"&lt;="&amp;$D$1)*20%)+(COUNTIFS(R183,"&lt;="&amp;$D$1)*10%)+(COUNTIFS(U183,"&lt;="&amp;$D$1)*20%)</f>
        <v>0.5</v>
      </c>
      <c r="H183" s="116">
        <f t="shared" si="273"/>
        <v>0.5</v>
      </c>
      <c r="I183" s="116">
        <f t="shared" si="234"/>
        <v>0</v>
      </c>
      <c r="J183" s="81">
        <v>0.1</v>
      </c>
      <c r="K183" s="72">
        <v>46220</v>
      </c>
      <c r="L183" s="72">
        <f t="shared" si="235"/>
        <v>46220</v>
      </c>
      <c r="M183" s="72">
        <v>46178</v>
      </c>
      <c r="N183" s="72">
        <f t="shared" si="236"/>
        <v>46262</v>
      </c>
      <c r="O183" s="72">
        <f t="shared" si="237"/>
        <v>46262</v>
      </c>
      <c r="P183" s="72"/>
      <c r="Q183" s="72">
        <f t="shared" si="238"/>
        <v>46304</v>
      </c>
      <c r="R183" s="72">
        <f t="shared" si="239"/>
        <v>46304</v>
      </c>
      <c r="S183" s="72"/>
      <c r="T183" s="72">
        <f t="shared" si="240"/>
        <v>46318</v>
      </c>
      <c r="U183" s="72">
        <f t="shared" si="241"/>
        <v>46318</v>
      </c>
      <c r="V183" s="72"/>
      <c r="X183" s="185" t="str">
        <f t="shared" ca="1" si="204"/>
        <v>Completed</v>
      </c>
      <c r="Y183" s="185" t="str">
        <f t="shared" ca="1" si="205"/>
        <v/>
      </c>
      <c r="Z183" s="185" t="str">
        <f t="shared" ca="1" si="206"/>
        <v/>
      </c>
      <c r="AA183" s="186" t="str">
        <f t="shared" ca="1" si="207"/>
        <v/>
      </c>
    </row>
    <row r="184" spans="1:27" s="64" customFormat="1" ht="9.5" customHeight="1" x14ac:dyDescent="0.25">
      <c r="A184" s="70" t="s">
        <v>61</v>
      </c>
      <c r="B184" s="70" t="s">
        <v>62</v>
      </c>
      <c r="C184" s="70" t="s">
        <v>94</v>
      </c>
      <c r="D184" s="75" t="s">
        <v>372</v>
      </c>
      <c r="E184" s="75" t="s">
        <v>190</v>
      </c>
      <c r="F184" s="116">
        <f t="shared" si="273"/>
        <v>0.5</v>
      </c>
      <c r="G184" s="116">
        <f>(COUNTIFS(L184,"&lt;="&amp;$D$1)*50%)+(COUNTIFS(O184,"&lt;="&amp;$D$1)*20%)+(COUNTIFS(R184,"&lt;="&amp;$D$1)*10%)+(COUNTIFS(U184,"&lt;="&amp;$D$1)*20%)</f>
        <v>0.5</v>
      </c>
      <c r="H184" s="116">
        <f t="shared" si="273"/>
        <v>0.5</v>
      </c>
      <c r="I184" s="116">
        <f t="shared" si="234"/>
        <v>0</v>
      </c>
      <c r="J184" s="81">
        <v>0.1</v>
      </c>
      <c r="K184" s="72">
        <v>46220</v>
      </c>
      <c r="L184" s="72">
        <f t="shared" si="235"/>
        <v>46220</v>
      </c>
      <c r="M184" s="72">
        <v>46178</v>
      </c>
      <c r="N184" s="72">
        <f t="shared" si="236"/>
        <v>46262</v>
      </c>
      <c r="O184" s="72">
        <f t="shared" si="237"/>
        <v>46262</v>
      </c>
      <c r="P184" s="72"/>
      <c r="Q184" s="72">
        <f t="shared" si="238"/>
        <v>46304</v>
      </c>
      <c r="R184" s="72">
        <f t="shared" si="239"/>
        <v>46304</v>
      </c>
      <c r="S184" s="72"/>
      <c r="T184" s="72">
        <f t="shared" si="240"/>
        <v>46318</v>
      </c>
      <c r="U184" s="72">
        <f t="shared" si="241"/>
        <v>46318</v>
      </c>
      <c r="V184" s="72"/>
      <c r="X184" s="185" t="str">
        <f t="shared" ca="1" si="204"/>
        <v>Completed</v>
      </c>
      <c r="Y184" s="185" t="str">
        <f t="shared" ca="1" si="205"/>
        <v/>
      </c>
      <c r="Z184" s="185" t="str">
        <f t="shared" ca="1" si="206"/>
        <v/>
      </c>
      <c r="AA184" s="186" t="str">
        <f t="shared" ca="1" si="207"/>
        <v/>
      </c>
    </row>
    <row r="185" spans="1:27" s="64" customFormat="1" ht="9.5" customHeight="1" x14ac:dyDescent="0.25">
      <c r="A185" s="70" t="s">
        <v>61</v>
      </c>
      <c r="B185" s="70" t="s">
        <v>62</v>
      </c>
      <c r="C185" s="70" t="s">
        <v>94</v>
      </c>
      <c r="D185" s="75" t="s">
        <v>373</v>
      </c>
      <c r="E185" s="75" t="s">
        <v>191</v>
      </c>
      <c r="F185" s="116">
        <f t="shared" si="273"/>
        <v>0.5</v>
      </c>
      <c r="G185" s="116">
        <f>(COUNTIFS(L185,"&lt;="&amp;$D$1)*50%)+(COUNTIFS(O185,"&lt;="&amp;$D$1)*20%)+(COUNTIFS(R185,"&lt;="&amp;$D$1)*10%)+(COUNTIFS(U185,"&lt;="&amp;$D$1)*20%)</f>
        <v>0.5</v>
      </c>
      <c r="H185" s="116">
        <f t="shared" si="273"/>
        <v>0.5</v>
      </c>
      <c r="I185" s="116">
        <f t="shared" si="234"/>
        <v>0</v>
      </c>
      <c r="J185" s="81">
        <v>0.1</v>
      </c>
      <c r="K185" s="72">
        <v>46220</v>
      </c>
      <c r="L185" s="72">
        <f t="shared" si="235"/>
        <v>46220</v>
      </c>
      <c r="M185" s="72">
        <v>46178</v>
      </c>
      <c r="N185" s="72">
        <f t="shared" si="236"/>
        <v>46262</v>
      </c>
      <c r="O185" s="72">
        <f t="shared" si="237"/>
        <v>46262</v>
      </c>
      <c r="P185" s="72"/>
      <c r="Q185" s="72">
        <f t="shared" si="238"/>
        <v>46304</v>
      </c>
      <c r="R185" s="72">
        <f t="shared" si="239"/>
        <v>46304</v>
      </c>
      <c r="S185" s="72"/>
      <c r="T185" s="72">
        <f t="shared" si="240"/>
        <v>46318</v>
      </c>
      <c r="U185" s="72">
        <f t="shared" si="241"/>
        <v>46318</v>
      </c>
      <c r="V185" s="72"/>
      <c r="X185" s="185" t="str">
        <f t="shared" ca="1" si="204"/>
        <v>Completed</v>
      </c>
      <c r="Y185" s="185" t="str">
        <f t="shared" ca="1" si="205"/>
        <v/>
      </c>
      <c r="Z185" s="185" t="str">
        <f t="shared" ca="1" si="206"/>
        <v/>
      </c>
      <c r="AA185" s="186" t="str">
        <f t="shared" ca="1" si="207"/>
        <v/>
      </c>
    </row>
    <row r="186" spans="1:27" s="64" customFormat="1" ht="9.5" customHeight="1" x14ac:dyDescent="0.25">
      <c r="A186" s="70" t="s">
        <v>61</v>
      </c>
      <c r="B186" s="70" t="s">
        <v>62</v>
      </c>
      <c r="C186" s="70" t="s">
        <v>94</v>
      </c>
      <c r="D186" s="75" t="s">
        <v>374</v>
      </c>
      <c r="E186" s="75" t="s">
        <v>192</v>
      </c>
      <c r="F186" s="116">
        <f t="shared" si="273"/>
        <v>0.5</v>
      </c>
      <c r="G186" s="116">
        <f t="shared" si="273"/>
        <v>0.5</v>
      </c>
      <c r="H186" s="116">
        <f t="shared" si="273"/>
        <v>0.5</v>
      </c>
      <c r="I186" s="116">
        <f t="shared" si="234"/>
        <v>0</v>
      </c>
      <c r="J186" s="81">
        <v>0.1</v>
      </c>
      <c r="K186" s="72">
        <v>46220</v>
      </c>
      <c r="L186" s="72">
        <f t="shared" si="235"/>
        <v>46220</v>
      </c>
      <c r="M186" s="72">
        <v>46178</v>
      </c>
      <c r="N186" s="72">
        <f t="shared" si="236"/>
        <v>46262</v>
      </c>
      <c r="O186" s="72">
        <f t="shared" si="237"/>
        <v>46262</v>
      </c>
      <c r="P186" s="72"/>
      <c r="Q186" s="72">
        <f t="shared" si="238"/>
        <v>46304</v>
      </c>
      <c r="R186" s="72">
        <f t="shared" si="239"/>
        <v>46304</v>
      </c>
      <c r="S186" s="72"/>
      <c r="T186" s="72">
        <f t="shared" si="240"/>
        <v>46318</v>
      </c>
      <c r="U186" s="72">
        <f t="shared" si="241"/>
        <v>46318</v>
      </c>
      <c r="V186" s="72"/>
      <c r="X186" s="185" t="str">
        <f t="shared" ca="1" si="204"/>
        <v>Completed</v>
      </c>
      <c r="Y186" s="185" t="str">
        <f t="shared" ca="1" si="205"/>
        <v/>
      </c>
      <c r="Z186" s="185" t="str">
        <f t="shared" ca="1" si="206"/>
        <v/>
      </c>
      <c r="AA186" s="186" t="str">
        <f t="shared" ca="1" si="207"/>
        <v/>
      </c>
    </row>
    <row r="187" spans="1:27" s="64" customFormat="1" ht="9.5" customHeight="1" x14ac:dyDescent="0.25">
      <c r="A187" s="70" t="s">
        <v>61</v>
      </c>
      <c r="B187" s="70" t="s">
        <v>62</v>
      </c>
      <c r="C187" s="70" t="s">
        <v>94</v>
      </c>
      <c r="D187" s="75" t="s">
        <v>375</v>
      </c>
      <c r="E187" s="75" t="s">
        <v>193</v>
      </c>
      <c r="F187" s="116">
        <f t="shared" si="273"/>
        <v>0.5</v>
      </c>
      <c r="G187" s="116">
        <f t="shared" si="273"/>
        <v>0.5</v>
      </c>
      <c r="H187" s="116">
        <f>(COUNTIFS(M187,"&lt;="&amp;$D$1)*50%)+(COUNTIFS(P187,"&lt;="&amp;$D$1)*20%)+(COUNTIFS(S187,"&lt;="&amp;$D$1)*10%)+(COUNTIFS(V187,"&lt;="&amp;$D$1)*20%)</f>
        <v>0.5</v>
      </c>
      <c r="I187" s="116">
        <f t="shared" si="234"/>
        <v>0</v>
      </c>
      <c r="J187" s="81">
        <v>0.1</v>
      </c>
      <c r="K187" s="72">
        <v>46220</v>
      </c>
      <c r="L187" s="72">
        <f t="shared" si="235"/>
        <v>46220</v>
      </c>
      <c r="M187" s="72">
        <v>46178</v>
      </c>
      <c r="N187" s="72">
        <f t="shared" si="236"/>
        <v>46262</v>
      </c>
      <c r="O187" s="72">
        <f t="shared" si="237"/>
        <v>46262</v>
      </c>
      <c r="P187" s="72"/>
      <c r="Q187" s="72">
        <f t="shared" si="238"/>
        <v>46304</v>
      </c>
      <c r="R187" s="72">
        <f t="shared" si="239"/>
        <v>46304</v>
      </c>
      <c r="S187" s="72"/>
      <c r="T187" s="72">
        <f t="shared" si="240"/>
        <v>46318</v>
      </c>
      <c r="U187" s="72">
        <f t="shared" si="241"/>
        <v>46318</v>
      </c>
      <c r="V187" s="72"/>
      <c r="X187" s="185" t="str">
        <f t="shared" ca="1" si="204"/>
        <v>Completed</v>
      </c>
      <c r="Y187" s="185" t="str">
        <f t="shared" ca="1" si="205"/>
        <v/>
      </c>
      <c r="Z187" s="185" t="str">
        <f t="shared" ca="1" si="206"/>
        <v/>
      </c>
      <c r="AA187" s="186" t="str">
        <f t="shared" ca="1" si="207"/>
        <v/>
      </c>
    </row>
    <row r="188" spans="1:27" s="64" customFormat="1" ht="9.5" customHeight="1" x14ac:dyDescent="0.25">
      <c r="A188" s="70" t="s">
        <v>61</v>
      </c>
      <c r="B188" s="70" t="s">
        <v>62</v>
      </c>
      <c r="C188" s="70" t="s">
        <v>94</v>
      </c>
      <c r="D188" s="75" t="s">
        <v>434</v>
      </c>
      <c r="E188" s="75" t="s">
        <v>435</v>
      </c>
      <c r="F188" s="116"/>
      <c r="G188" s="116">
        <f t="shared" ref="G188" si="274">(COUNTIFS(L188,"&lt;="&amp;$D$1)*50%)+(COUNTIFS(O188,"&lt;="&amp;$D$1)*20%)+(COUNTIFS(R188,"&lt;="&amp;$D$1)*10%)+(COUNTIFS(U188,"&lt;="&amp;$D$1)*20%)</f>
        <v>0.5</v>
      </c>
      <c r="H188" s="116">
        <f>(COUNTIFS(M188,"&lt;="&amp;$D$1)*50%)+(COUNTIFS(P188,"&lt;="&amp;$D$1)*20%)+(COUNTIFS(S188,"&lt;="&amp;$D$1)*10%)+(COUNTIFS(V188,"&lt;="&amp;$D$1)*20%)</f>
        <v>0.5</v>
      </c>
      <c r="I188" s="116">
        <f t="shared" ref="I188" si="275">H188-F188</f>
        <v>0.5</v>
      </c>
      <c r="J188" s="81">
        <v>0.1</v>
      </c>
      <c r="K188" s="72">
        <v>46220</v>
      </c>
      <c r="L188" s="72">
        <f t="shared" ref="L188" si="276">K188</f>
        <v>46220</v>
      </c>
      <c r="M188" s="72">
        <v>46185</v>
      </c>
      <c r="N188" s="72">
        <f t="shared" ref="N188" si="277">K188+42</f>
        <v>46262</v>
      </c>
      <c r="O188" s="72">
        <f t="shared" ref="O188" si="278">N188</f>
        <v>46262</v>
      </c>
      <c r="P188" s="72"/>
      <c r="Q188" s="72">
        <f t="shared" ref="Q188" si="279">N188+42</f>
        <v>46304</v>
      </c>
      <c r="R188" s="72">
        <f t="shared" ref="R188" si="280">Q188</f>
        <v>46304</v>
      </c>
      <c r="S188" s="72"/>
      <c r="T188" s="72">
        <f t="shared" ref="T188" si="281">Q188+14</f>
        <v>46318</v>
      </c>
      <c r="U188" s="72">
        <f t="shared" ref="U188" si="282">T188</f>
        <v>46318</v>
      </c>
      <c r="V188" s="72"/>
      <c r="X188" s="185" t="str">
        <f t="shared" ca="1" si="204"/>
        <v>Completed</v>
      </c>
      <c r="Y188" s="185" t="str">
        <f t="shared" ca="1" si="205"/>
        <v/>
      </c>
      <c r="Z188" s="185" t="str">
        <f t="shared" ca="1" si="206"/>
        <v/>
      </c>
      <c r="AA188" s="186" t="str">
        <f t="shared" ca="1" si="207"/>
        <v/>
      </c>
    </row>
    <row r="189" spans="1:27" s="64" customFormat="1" ht="9.5" customHeight="1" x14ac:dyDescent="0.25">
      <c r="A189" s="70" t="s">
        <v>61</v>
      </c>
      <c r="B189" s="70" t="s">
        <v>62</v>
      </c>
      <c r="C189" s="70" t="s">
        <v>94</v>
      </c>
      <c r="D189" s="75" t="s">
        <v>376</v>
      </c>
      <c r="E189" s="75" t="s">
        <v>194</v>
      </c>
      <c r="F189" s="116">
        <f t="shared" si="273"/>
        <v>0.5</v>
      </c>
      <c r="G189" s="116">
        <f t="shared" si="273"/>
        <v>0.5</v>
      </c>
      <c r="H189" s="116">
        <f t="shared" si="273"/>
        <v>0.5</v>
      </c>
      <c r="I189" s="116">
        <f t="shared" si="234"/>
        <v>0</v>
      </c>
      <c r="J189" s="81">
        <v>0.1</v>
      </c>
      <c r="K189" s="72">
        <v>46220</v>
      </c>
      <c r="L189" s="72">
        <f t="shared" si="235"/>
        <v>46220</v>
      </c>
      <c r="M189" s="72">
        <v>46171</v>
      </c>
      <c r="N189" s="72">
        <f t="shared" si="236"/>
        <v>46262</v>
      </c>
      <c r="O189" s="72">
        <f t="shared" si="237"/>
        <v>46262</v>
      </c>
      <c r="P189" s="72"/>
      <c r="Q189" s="72">
        <f t="shared" si="238"/>
        <v>46304</v>
      </c>
      <c r="R189" s="72">
        <f t="shared" si="239"/>
        <v>46304</v>
      </c>
      <c r="S189" s="72"/>
      <c r="T189" s="72">
        <f t="shared" si="240"/>
        <v>46318</v>
      </c>
      <c r="U189" s="72">
        <f t="shared" si="241"/>
        <v>46318</v>
      </c>
      <c r="V189" s="72"/>
      <c r="X189" s="185" t="str">
        <f t="shared" ca="1" si="204"/>
        <v>Completed</v>
      </c>
      <c r="Y189" s="185" t="str">
        <f t="shared" ca="1" si="205"/>
        <v/>
      </c>
      <c r="Z189" s="185" t="str">
        <f t="shared" ca="1" si="206"/>
        <v/>
      </c>
      <c r="AA189" s="186" t="str">
        <f t="shared" ca="1" si="207"/>
        <v/>
      </c>
    </row>
    <row r="190" spans="1:27" s="64" customFormat="1" ht="9.5" customHeight="1" x14ac:dyDescent="0.25">
      <c r="A190" s="70" t="s">
        <v>61</v>
      </c>
      <c r="B190" s="70" t="s">
        <v>62</v>
      </c>
      <c r="C190" s="70" t="s">
        <v>94</v>
      </c>
      <c r="D190" s="75" t="s">
        <v>377</v>
      </c>
      <c r="E190" s="75" t="s">
        <v>195</v>
      </c>
      <c r="F190" s="116">
        <f t="shared" si="273"/>
        <v>0.5</v>
      </c>
      <c r="G190" s="116">
        <f t="shared" si="273"/>
        <v>0.5</v>
      </c>
      <c r="H190" s="116">
        <f t="shared" si="273"/>
        <v>0</v>
      </c>
      <c r="I190" s="116">
        <f t="shared" si="234"/>
        <v>-0.5</v>
      </c>
      <c r="J190" s="81">
        <v>0.1</v>
      </c>
      <c r="K190" s="72">
        <v>46220</v>
      </c>
      <c r="L190" s="72">
        <f t="shared" si="235"/>
        <v>46220</v>
      </c>
      <c r="M190" s="74"/>
      <c r="N190" s="72">
        <f t="shared" si="236"/>
        <v>46262</v>
      </c>
      <c r="O190" s="72">
        <f t="shared" si="237"/>
        <v>46262</v>
      </c>
      <c r="P190" s="72"/>
      <c r="Q190" s="72">
        <f t="shared" si="238"/>
        <v>46304</v>
      </c>
      <c r="R190" s="72">
        <f t="shared" si="239"/>
        <v>46304</v>
      </c>
      <c r="S190" s="72"/>
      <c r="T190" s="72">
        <f t="shared" si="240"/>
        <v>46318</v>
      </c>
      <c r="U190" s="72">
        <f t="shared" si="241"/>
        <v>46318</v>
      </c>
      <c r="V190" s="72"/>
      <c r="X190" s="185" t="str">
        <f t="shared" ca="1" si="204"/>
        <v>Overdue</v>
      </c>
      <c r="Y190" s="185" t="str">
        <f t="shared" ca="1" si="205"/>
        <v/>
      </c>
      <c r="Z190" s="185" t="str">
        <f t="shared" ca="1" si="206"/>
        <v/>
      </c>
      <c r="AA190" s="186" t="str">
        <f t="shared" ca="1" si="207"/>
        <v/>
      </c>
    </row>
    <row r="191" spans="1:27" s="64" customFormat="1" ht="9.5" customHeight="1" x14ac:dyDescent="0.25">
      <c r="A191" s="70" t="s">
        <v>61</v>
      </c>
      <c r="B191" s="70" t="s">
        <v>62</v>
      </c>
      <c r="C191" s="70" t="s">
        <v>94</v>
      </c>
      <c r="D191" s="75" t="s">
        <v>378</v>
      </c>
      <c r="E191" s="75" t="s">
        <v>196</v>
      </c>
      <c r="F191" s="116">
        <f t="shared" si="273"/>
        <v>0.5</v>
      </c>
      <c r="G191" s="116">
        <f t="shared" si="273"/>
        <v>0.5</v>
      </c>
      <c r="H191" s="116">
        <f t="shared" si="273"/>
        <v>0.7</v>
      </c>
      <c r="I191" s="116">
        <f t="shared" si="234"/>
        <v>0.19999999999999996</v>
      </c>
      <c r="J191" s="81">
        <v>0.15</v>
      </c>
      <c r="K191" s="72">
        <v>46220</v>
      </c>
      <c r="L191" s="72">
        <f t="shared" si="235"/>
        <v>46220</v>
      </c>
      <c r="M191" s="72">
        <v>46199</v>
      </c>
      <c r="N191" s="72">
        <f t="shared" si="236"/>
        <v>46262</v>
      </c>
      <c r="O191" s="72">
        <f t="shared" si="237"/>
        <v>46262</v>
      </c>
      <c r="P191" s="74">
        <v>46204</v>
      </c>
      <c r="Q191" s="72">
        <f t="shared" si="238"/>
        <v>46304</v>
      </c>
      <c r="R191" s="72">
        <f t="shared" si="239"/>
        <v>46304</v>
      </c>
      <c r="S191" s="72"/>
      <c r="T191" s="72">
        <f t="shared" si="240"/>
        <v>46318</v>
      </c>
      <c r="U191" s="72">
        <f t="shared" si="241"/>
        <v>46318</v>
      </c>
      <c r="V191" s="72"/>
      <c r="X191" s="185" t="str">
        <f t="shared" ca="1" si="204"/>
        <v>Completed</v>
      </c>
      <c r="Y191" s="185" t="str">
        <f t="shared" ca="1" si="205"/>
        <v>Completed</v>
      </c>
      <c r="Z191" s="185" t="str">
        <f t="shared" ca="1" si="206"/>
        <v/>
      </c>
      <c r="AA191" s="186" t="str">
        <f t="shared" ca="1" si="207"/>
        <v/>
      </c>
    </row>
    <row r="192" spans="1:27" s="64" customFormat="1" ht="9.5" customHeight="1" x14ac:dyDescent="0.25">
      <c r="A192" s="70" t="s">
        <v>61</v>
      </c>
      <c r="B192" s="70" t="s">
        <v>62</v>
      </c>
      <c r="C192" s="70" t="s">
        <v>94</v>
      </c>
      <c r="D192" s="75" t="s">
        <v>379</v>
      </c>
      <c r="E192" s="75" t="s">
        <v>197</v>
      </c>
      <c r="F192" s="116">
        <f t="shared" si="273"/>
        <v>0.5</v>
      </c>
      <c r="G192" s="116">
        <f t="shared" si="273"/>
        <v>0.5</v>
      </c>
      <c r="H192" s="116">
        <f t="shared" si="273"/>
        <v>0.7</v>
      </c>
      <c r="I192" s="116">
        <f t="shared" si="234"/>
        <v>0.19999999999999996</v>
      </c>
      <c r="J192" s="81">
        <v>0.15</v>
      </c>
      <c r="K192" s="72">
        <v>46220</v>
      </c>
      <c r="L192" s="72">
        <f t="shared" si="235"/>
        <v>46220</v>
      </c>
      <c r="M192" s="72">
        <v>46199</v>
      </c>
      <c r="N192" s="72">
        <f t="shared" si="236"/>
        <v>46262</v>
      </c>
      <c r="O192" s="72">
        <f t="shared" si="237"/>
        <v>46262</v>
      </c>
      <c r="P192" s="74">
        <v>46204</v>
      </c>
      <c r="Q192" s="72">
        <f t="shared" si="238"/>
        <v>46304</v>
      </c>
      <c r="R192" s="72">
        <f t="shared" si="239"/>
        <v>46304</v>
      </c>
      <c r="S192" s="72"/>
      <c r="T192" s="72">
        <f t="shared" si="240"/>
        <v>46318</v>
      </c>
      <c r="U192" s="72">
        <f t="shared" si="241"/>
        <v>46318</v>
      </c>
      <c r="V192" s="72"/>
      <c r="X192" s="185" t="str">
        <f t="shared" ca="1" si="204"/>
        <v>Completed</v>
      </c>
      <c r="Y192" s="185" t="str">
        <f t="shared" ca="1" si="205"/>
        <v>Completed</v>
      </c>
      <c r="Z192" s="185" t="str">
        <f t="shared" ca="1" si="206"/>
        <v/>
      </c>
      <c r="AA192" s="186" t="str">
        <f t="shared" ca="1" si="207"/>
        <v/>
      </c>
    </row>
    <row r="193" spans="1:27" s="64" customFormat="1" ht="9.5" customHeight="1" x14ac:dyDescent="0.25">
      <c r="A193" s="70" t="s">
        <v>61</v>
      </c>
      <c r="B193" s="70" t="s">
        <v>62</v>
      </c>
      <c r="C193" s="70" t="s">
        <v>94</v>
      </c>
      <c r="D193" s="75" t="s">
        <v>380</v>
      </c>
      <c r="E193" s="75" t="s">
        <v>198</v>
      </c>
      <c r="F193" s="116">
        <f t="shared" si="273"/>
        <v>0.5</v>
      </c>
      <c r="G193" s="116">
        <f t="shared" si="273"/>
        <v>0.5</v>
      </c>
      <c r="H193" s="116">
        <f t="shared" si="273"/>
        <v>0.5</v>
      </c>
      <c r="I193" s="116">
        <f t="shared" si="234"/>
        <v>0</v>
      </c>
      <c r="J193" s="81">
        <v>0.1</v>
      </c>
      <c r="K193" s="72">
        <v>46227</v>
      </c>
      <c r="L193" s="72">
        <f t="shared" si="235"/>
        <v>46227</v>
      </c>
      <c r="M193" s="72">
        <v>46178</v>
      </c>
      <c r="N193" s="72">
        <f t="shared" si="236"/>
        <v>46269</v>
      </c>
      <c r="O193" s="72">
        <f t="shared" si="237"/>
        <v>46269</v>
      </c>
      <c r="P193" s="72"/>
      <c r="Q193" s="72">
        <f t="shared" si="238"/>
        <v>46311</v>
      </c>
      <c r="R193" s="72">
        <f t="shared" si="239"/>
        <v>46311</v>
      </c>
      <c r="S193" s="72"/>
      <c r="T193" s="72">
        <f t="shared" si="240"/>
        <v>46325</v>
      </c>
      <c r="U193" s="72">
        <f t="shared" si="241"/>
        <v>46325</v>
      </c>
      <c r="V193" s="72"/>
      <c r="X193" s="185" t="str">
        <f t="shared" ca="1" si="204"/>
        <v>Completed</v>
      </c>
      <c r="Y193" s="185" t="str">
        <f t="shared" ca="1" si="205"/>
        <v/>
      </c>
      <c r="Z193" s="185" t="str">
        <f t="shared" ca="1" si="206"/>
        <v/>
      </c>
      <c r="AA193" s="186" t="str">
        <f t="shared" ca="1" si="207"/>
        <v/>
      </c>
    </row>
    <row r="194" spans="1:27" s="64" customFormat="1" ht="9.5" customHeight="1" x14ac:dyDescent="0.25">
      <c r="A194" s="70" t="s">
        <v>61</v>
      </c>
      <c r="B194" s="70" t="s">
        <v>62</v>
      </c>
      <c r="C194" s="70" t="s">
        <v>94</v>
      </c>
      <c r="D194" s="75" t="s">
        <v>381</v>
      </c>
      <c r="E194" s="75" t="s">
        <v>199</v>
      </c>
      <c r="F194" s="116">
        <f t="shared" si="273"/>
        <v>0.5</v>
      </c>
      <c r="G194" s="116">
        <f t="shared" si="273"/>
        <v>0.5</v>
      </c>
      <c r="H194" s="116">
        <f t="shared" si="273"/>
        <v>0.5</v>
      </c>
      <c r="I194" s="116">
        <f t="shared" si="234"/>
        <v>0</v>
      </c>
      <c r="J194" s="81">
        <v>0.1</v>
      </c>
      <c r="K194" s="72">
        <v>46227</v>
      </c>
      <c r="L194" s="72">
        <f t="shared" si="235"/>
        <v>46227</v>
      </c>
      <c r="M194" s="72">
        <v>46178</v>
      </c>
      <c r="N194" s="72">
        <f t="shared" si="236"/>
        <v>46269</v>
      </c>
      <c r="O194" s="72">
        <f t="shared" si="237"/>
        <v>46269</v>
      </c>
      <c r="P194" s="72"/>
      <c r="Q194" s="72">
        <f t="shared" si="238"/>
        <v>46311</v>
      </c>
      <c r="R194" s="72">
        <f t="shared" si="239"/>
        <v>46311</v>
      </c>
      <c r="S194" s="72"/>
      <c r="T194" s="72">
        <f t="shared" si="240"/>
        <v>46325</v>
      </c>
      <c r="U194" s="72">
        <f t="shared" si="241"/>
        <v>46325</v>
      </c>
      <c r="V194" s="72"/>
      <c r="X194" s="185" t="str">
        <f t="shared" ca="1" si="204"/>
        <v>Completed</v>
      </c>
      <c r="Y194" s="185" t="str">
        <f t="shared" ca="1" si="205"/>
        <v/>
      </c>
      <c r="Z194" s="185" t="str">
        <f t="shared" ca="1" si="206"/>
        <v/>
      </c>
      <c r="AA194" s="186" t="str">
        <f t="shared" ca="1" si="207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94</v>
      </c>
      <c r="D195" s="124" t="s">
        <v>382</v>
      </c>
      <c r="E195" s="124" t="s">
        <v>200</v>
      </c>
      <c r="F195" s="125">
        <f t="shared" si="273"/>
        <v>0.5</v>
      </c>
      <c r="G195" s="125">
        <f t="shared" si="273"/>
        <v>0.5</v>
      </c>
      <c r="H195" s="125">
        <f t="shared" si="273"/>
        <v>0.5</v>
      </c>
      <c r="I195" s="125">
        <f t="shared" si="234"/>
        <v>0</v>
      </c>
      <c r="J195" s="81">
        <v>0.1</v>
      </c>
      <c r="K195" s="72">
        <v>46227</v>
      </c>
      <c r="L195" s="74">
        <f t="shared" si="235"/>
        <v>46227</v>
      </c>
      <c r="M195" s="72">
        <v>46178</v>
      </c>
      <c r="N195" s="74">
        <f t="shared" si="236"/>
        <v>46269</v>
      </c>
      <c r="O195" s="74">
        <f t="shared" si="237"/>
        <v>46269</v>
      </c>
      <c r="P195" s="74"/>
      <c r="Q195" s="74">
        <f t="shared" si="238"/>
        <v>46311</v>
      </c>
      <c r="R195" s="74">
        <f t="shared" si="239"/>
        <v>46311</v>
      </c>
      <c r="S195" s="74"/>
      <c r="T195" s="74">
        <f t="shared" si="240"/>
        <v>46325</v>
      </c>
      <c r="U195" s="74">
        <f t="shared" si="241"/>
        <v>46325</v>
      </c>
      <c r="V195" s="72"/>
      <c r="X195" s="185" t="str">
        <f t="shared" ca="1" si="204"/>
        <v>Completed</v>
      </c>
      <c r="Y195" s="185" t="str">
        <f t="shared" ca="1" si="205"/>
        <v/>
      </c>
      <c r="Z195" s="185" t="str">
        <f t="shared" ca="1" si="206"/>
        <v/>
      </c>
      <c r="AA195" s="186" t="str">
        <f t="shared" ca="1" si="207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94</v>
      </c>
      <c r="D196" s="124" t="s">
        <v>383</v>
      </c>
      <c r="E196" s="124" t="s">
        <v>201</v>
      </c>
      <c r="F196" s="125">
        <f t="shared" si="273"/>
        <v>0.5</v>
      </c>
      <c r="G196" s="125">
        <f t="shared" si="273"/>
        <v>0.5</v>
      </c>
      <c r="H196" s="125">
        <f t="shared" si="273"/>
        <v>0.5</v>
      </c>
      <c r="I196" s="125">
        <f t="shared" si="234"/>
        <v>0</v>
      </c>
      <c r="J196" s="81">
        <v>0.1</v>
      </c>
      <c r="K196" s="72">
        <v>46227</v>
      </c>
      <c r="L196" s="74">
        <f t="shared" si="235"/>
        <v>46227</v>
      </c>
      <c r="M196" s="72">
        <v>46178</v>
      </c>
      <c r="N196" s="74">
        <f t="shared" si="236"/>
        <v>46269</v>
      </c>
      <c r="O196" s="74">
        <f t="shared" si="237"/>
        <v>46269</v>
      </c>
      <c r="P196" s="74"/>
      <c r="Q196" s="74">
        <f t="shared" si="238"/>
        <v>46311</v>
      </c>
      <c r="R196" s="74">
        <f t="shared" si="239"/>
        <v>46311</v>
      </c>
      <c r="S196" s="74"/>
      <c r="T196" s="74">
        <f t="shared" si="240"/>
        <v>46325</v>
      </c>
      <c r="U196" s="74">
        <f t="shared" si="241"/>
        <v>46325</v>
      </c>
      <c r="V196" s="72"/>
      <c r="X196" s="185" t="str">
        <f t="shared" ca="1" si="204"/>
        <v>Completed</v>
      </c>
      <c r="Y196" s="185" t="str">
        <f t="shared" ca="1" si="205"/>
        <v/>
      </c>
      <c r="Z196" s="185" t="str">
        <f t="shared" ca="1" si="206"/>
        <v/>
      </c>
      <c r="AA196" s="186" t="str">
        <f t="shared" ca="1" si="207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94</v>
      </c>
      <c r="D197" s="124" t="s">
        <v>384</v>
      </c>
      <c r="E197" s="124" t="s">
        <v>202</v>
      </c>
      <c r="F197" s="125">
        <f t="shared" si="273"/>
        <v>0.5</v>
      </c>
      <c r="G197" s="125">
        <f t="shared" si="273"/>
        <v>0.5</v>
      </c>
      <c r="H197" s="125">
        <f t="shared" si="273"/>
        <v>0.5</v>
      </c>
      <c r="I197" s="125">
        <f t="shared" si="234"/>
        <v>0</v>
      </c>
      <c r="J197" s="81">
        <v>0.1</v>
      </c>
      <c r="K197" s="72">
        <v>46227</v>
      </c>
      <c r="L197" s="74">
        <f t="shared" si="235"/>
        <v>46227</v>
      </c>
      <c r="M197" s="72">
        <v>46178</v>
      </c>
      <c r="N197" s="74">
        <f t="shared" si="236"/>
        <v>46269</v>
      </c>
      <c r="O197" s="74">
        <f t="shared" si="237"/>
        <v>46269</v>
      </c>
      <c r="P197" s="74"/>
      <c r="Q197" s="74">
        <f t="shared" si="238"/>
        <v>46311</v>
      </c>
      <c r="R197" s="74">
        <f t="shared" si="239"/>
        <v>46311</v>
      </c>
      <c r="S197" s="74"/>
      <c r="T197" s="74">
        <f t="shared" si="240"/>
        <v>46325</v>
      </c>
      <c r="U197" s="74">
        <f t="shared" si="241"/>
        <v>46325</v>
      </c>
      <c r="V197" s="74"/>
      <c r="X197" s="185" t="str">
        <f t="shared" ca="1" si="204"/>
        <v>Completed</v>
      </c>
      <c r="Y197" s="185" t="str">
        <f t="shared" ca="1" si="205"/>
        <v/>
      </c>
      <c r="Z197" s="185" t="str">
        <f t="shared" ca="1" si="206"/>
        <v/>
      </c>
      <c r="AA197" s="186" t="str">
        <f t="shared" ca="1" si="207"/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94</v>
      </c>
      <c r="D198" s="124" t="s">
        <v>385</v>
      </c>
      <c r="E198" s="124" t="s">
        <v>203</v>
      </c>
      <c r="F198" s="125">
        <f t="shared" ref="F198:F201" si="283">(COUNTIFS(K198,"&lt;="&amp;$D$1)*50%)+(COUNTIFS(N198,"&lt;="&amp;$D$1)*20%)+(COUNTIFS(Q198,"&lt;="&amp;$D$1)*10%)+(COUNTIFS(T198,"&lt;="&amp;$D$1)*20%)</f>
        <v>0.5</v>
      </c>
      <c r="G198" s="125">
        <f t="shared" ref="G198:G201" si="284">(COUNTIFS(L198,"&lt;="&amp;$D$1)*50%)+(COUNTIFS(O198,"&lt;="&amp;$D$1)*20%)+(COUNTIFS(R198,"&lt;="&amp;$D$1)*10%)+(COUNTIFS(U198,"&lt;="&amp;$D$1)*20%)</f>
        <v>0.5</v>
      </c>
      <c r="H198" s="125">
        <f t="shared" ref="H198:H201" si="285">(COUNTIFS(M198,"&lt;="&amp;$D$1)*50%)+(COUNTIFS(P198,"&lt;="&amp;$D$1)*20%)+(COUNTIFS(S198,"&lt;="&amp;$D$1)*10%)+(COUNTIFS(V198,"&lt;="&amp;$D$1)*20%)</f>
        <v>0.5</v>
      </c>
      <c r="I198" s="125">
        <f t="shared" ref="I198:I201" si="286">H198-F198</f>
        <v>0</v>
      </c>
      <c r="J198" s="81">
        <v>0.1</v>
      </c>
      <c r="K198" s="72">
        <v>46227</v>
      </c>
      <c r="L198" s="74">
        <f t="shared" si="235"/>
        <v>46227</v>
      </c>
      <c r="M198" s="72">
        <v>46178</v>
      </c>
      <c r="N198" s="74">
        <f t="shared" si="236"/>
        <v>46269</v>
      </c>
      <c r="O198" s="74">
        <f t="shared" si="237"/>
        <v>46269</v>
      </c>
      <c r="P198" s="74"/>
      <c r="Q198" s="74">
        <f t="shared" si="238"/>
        <v>46311</v>
      </c>
      <c r="R198" s="74">
        <f t="shared" si="239"/>
        <v>46311</v>
      </c>
      <c r="S198" s="74"/>
      <c r="T198" s="74">
        <f t="shared" si="240"/>
        <v>46325</v>
      </c>
      <c r="U198" s="74">
        <f t="shared" si="241"/>
        <v>46325</v>
      </c>
      <c r="V198" s="74"/>
      <c r="X198" s="185" t="str">
        <f t="shared" ca="1" si="204"/>
        <v>Completed</v>
      </c>
      <c r="Y198" s="185" t="str">
        <f t="shared" ca="1" si="205"/>
        <v/>
      </c>
      <c r="Z198" s="185" t="str">
        <f t="shared" ca="1" si="206"/>
        <v/>
      </c>
      <c r="AA198" s="186" t="str">
        <f t="shared" ca="1" si="207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94</v>
      </c>
      <c r="D199" s="124" t="s">
        <v>386</v>
      </c>
      <c r="E199" s="124" t="s">
        <v>204</v>
      </c>
      <c r="F199" s="125">
        <f t="shared" si="283"/>
        <v>0.5</v>
      </c>
      <c r="G199" s="125">
        <f t="shared" si="284"/>
        <v>0.5</v>
      </c>
      <c r="H199" s="125">
        <f t="shared" si="285"/>
        <v>0.5</v>
      </c>
      <c r="I199" s="125">
        <f t="shared" si="286"/>
        <v>0</v>
      </c>
      <c r="J199" s="81">
        <v>0.1</v>
      </c>
      <c r="K199" s="72">
        <v>46227</v>
      </c>
      <c r="L199" s="74">
        <f t="shared" si="235"/>
        <v>46227</v>
      </c>
      <c r="M199" s="72">
        <v>46178</v>
      </c>
      <c r="N199" s="74">
        <f t="shared" si="236"/>
        <v>46269</v>
      </c>
      <c r="O199" s="74">
        <f t="shared" si="237"/>
        <v>46269</v>
      </c>
      <c r="P199" s="74"/>
      <c r="Q199" s="74">
        <f t="shared" si="238"/>
        <v>46311</v>
      </c>
      <c r="R199" s="74">
        <f t="shared" si="239"/>
        <v>46311</v>
      </c>
      <c r="S199" s="74"/>
      <c r="T199" s="74">
        <f t="shared" si="240"/>
        <v>46325</v>
      </c>
      <c r="U199" s="74">
        <f t="shared" si="241"/>
        <v>46325</v>
      </c>
      <c r="V199" s="74"/>
      <c r="X199" s="185" t="str">
        <f t="shared" ca="1" si="204"/>
        <v>Completed</v>
      </c>
      <c r="Y199" s="185" t="str">
        <f t="shared" ca="1" si="205"/>
        <v/>
      </c>
      <c r="Z199" s="185" t="str">
        <f t="shared" ca="1" si="206"/>
        <v/>
      </c>
      <c r="AA199" s="186" t="str">
        <f t="shared" ca="1" si="207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94</v>
      </c>
      <c r="D200" s="124" t="s">
        <v>387</v>
      </c>
      <c r="E200" s="124" t="s">
        <v>205</v>
      </c>
      <c r="F200" s="125">
        <f t="shared" si="283"/>
        <v>0.5</v>
      </c>
      <c r="G200" s="125">
        <f t="shared" si="284"/>
        <v>0.5</v>
      </c>
      <c r="H200" s="125">
        <f t="shared" si="285"/>
        <v>0.5</v>
      </c>
      <c r="I200" s="125">
        <f t="shared" si="286"/>
        <v>0</v>
      </c>
      <c r="J200" s="81">
        <v>0.1</v>
      </c>
      <c r="K200" s="72">
        <v>46227</v>
      </c>
      <c r="L200" s="74">
        <f t="shared" si="235"/>
        <v>46227</v>
      </c>
      <c r="M200" s="72">
        <v>46178</v>
      </c>
      <c r="N200" s="74">
        <f t="shared" si="236"/>
        <v>46269</v>
      </c>
      <c r="O200" s="74">
        <f t="shared" si="237"/>
        <v>46269</v>
      </c>
      <c r="P200" s="74"/>
      <c r="Q200" s="74">
        <f t="shared" si="238"/>
        <v>46311</v>
      </c>
      <c r="R200" s="74">
        <f t="shared" si="239"/>
        <v>46311</v>
      </c>
      <c r="S200" s="74"/>
      <c r="T200" s="74">
        <f t="shared" si="240"/>
        <v>46325</v>
      </c>
      <c r="U200" s="74">
        <f t="shared" si="241"/>
        <v>46325</v>
      </c>
      <c r="V200" s="74"/>
      <c r="X200" s="185" t="str">
        <f t="shared" ca="1" si="204"/>
        <v>Completed</v>
      </c>
      <c r="Y200" s="185" t="str">
        <f t="shared" ca="1" si="205"/>
        <v/>
      </c>
      <c r="Z200" s="185" t="str">
        <f t="shared" ca="1" si="206"/>
        <v/>
      </c>
      <c r="AA200" s="186" t="str">
        <f t="shared" ca="1" si="207"/>
        <v/>
      </c>
    </row>
    <row r="201" spans="1:27" s="64" customFormat="1" ht="9.5" customHeight="1" x14ac:dyDescent="0.25">
      <c r="A201" s="70" t="s">
        <v>61</v>
      </c>
      <c r="B201" s="70" t="s">
        <v>62</v>
      </c>
      <c r="C201" s="70" t="s">
        <v>94</v>
      </c>
      <c r="D201" s="124" t="s">
        <v>388</v>
      </c>
      <c r="E201" s="124" t="s">
        <v>206</v>
      </c>
      <c r="F201" s="125">
        <f t="shared" si="283"/>
        <v>0.5</v>
      </c>
      <c r="G201" s="125">
        <f t="shared" si="284"/>
        <v>0.5</v>
      </c>
      <c r="H201" s="125">
        <f t="shared" si="285"/>
        <v>0.5</v>
      </c>
      <c r="I201" s="125">
        <f t="shared" si="286"/>
        <v>0</v>
      </c>
      <c r="J201" s="81">
        <v>0.1</v>
      </c>
      <c r="K201" s="72">
        <v>46227</v>
      </c>
      <c r="L201" s="74">
        <f t="shared" si="235"/>
        <v>46227</v>
      </c>
      <c r="M201" s="72">
        <v>46178</v>
      </c>
      <c r="N201" s="74">
        <f t="shared" si="236"/>
        <v>46269</v>
      </c>
      <c r="O201" s="74">
        <f t="shared" si="237"/>
        <v>46269</v>
      </c>
      <c r="P201" s="74"/>
      <c r="Q201" s="74">
        <f t="shared" si="238"/>
        <v>46311</v>
      </c>
      <c r="R201" s="74">
        <f t="shared" si="239"/>
        <v>46311</v>
      </c>
      <c r="S201" s="74"/>
      <c r="T201" s="74">
        <f t="shared" si="240"/>
        <v>46325</v>
      </c>
      <c r="U201" s="74">
        <f t="shared" si="241"/>
        <v>46325</v>
      </c>
      <c r="V201" s="74"/>
      <c r="X201" s="185" t="str">
        <f t="shared" ca="1" si="204"/>
        <v>Completed</v>
      </c>
      <c r="Y201" s="185" t="str">
        <f t="shared" ca="1" si="205"/>
        <v/>
      </c>
      <c r="Z201" s="185" t="str">
        <f t="shared" ca="1" si="206"/>
        <v/>
      </c>
      <c r="AA201" s="186" t="str">
        <f t="shared" ca="1" si="207"/>
        <v/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94</v>
      </c>
      <c r="D202" s="124" t="s">
        <v>389</v>
      </c>
      <c r="E202" s="124" t="s">
        <v>207</v>
      </c>
      <c r="F202" s="125">
        <f t="shared" si="273"/>
        <v>0.5</v>
      </c>
      <c r="G202" s="125">
        <f t="shared" si="273"/>
        <v>0.5</v>
      </c>
      <c r="H202" s="125">
        <f t="shared" si="273"/>
        <v>0.5</v>
      </c>
      <c r="I202" s="125">
        <f t="shared" si="234"/>
        <v>0</v>
      </c>
      <c r="J202" s="81">
        <v>0.1</v>
      </c>
      <c r="K202" s="72">
        <v>46227</v>
      </c>
      <c r="L202" s="74">
        <f t="shared" si="235"/>
        <v>46227</v>
      </c>
      <c r="M202" s="72">
        <v>46178</v>
      </c>
      <c r="N202" s="74">
        <f t="shared" si="236"/>
        <v>46269</v>
      </c>
      <c r="O202" s="74">
        <f t="shared" si="237"/>
        <v>46269</v>
      </c>
      <c r="P202" s="74"/>
      <c r="Q202" s="74">
        <f t="shared" si="238"/>
        <v>46311</v>
      </c>
      <c r="R202" s="74">
        <f t="shared" si="239"/>
        <v>46311</v>
      </c>
      <c r="S202" s="74"/>
      <c r="T202" s="74">
        <f t="shared" si="240"/>
        <v>46325</v>
      </c>
      <c r="U202" s="74">
        <f t="shared" si="241"/>
        <v>46325</v>
      </c>
      <c r="V202" s="72"/>
      <c r="X202" s="185" t="str">
        <f t="shared" ref="X202:X237" ca="1" si="287">IF(OR(M202&lt;&gt;""),"Completed",
IF(L202="","",IF(L202&lt;TODAY(),"Overdue",
IF(AND(L202&gt;=TODAY()-WEEKDAY(TODAY(),2)+1,L202&lt;=TODAY()-WEEKDAY(TODAY(),2)+7),"Follow-This Week",
IF(AND(L202&gt;=TODAY()-WEEKDAY(TODAY(),2)+8,L202&lt;=TODAY()-WEEKDAY(TODAY(),2)+14),"Follow-Next Week","")))))</f>
        <v>Completed</v>
      </c>
      <c r="Y202" s="185" t="str">
        <f t="shared" ref="Y202:Y237" ca="1" si="288">IF(OR(P202&lt;&gt;""),"Completed",IF(O202="","",
IF(O202&lt;TODAY(),"Overdue",
IF(AND(O202&gt;=TODAY()-WEEKDAY(TODAY(),2)+1,O202&lt;=TODAY()-WEEKDAY(TODAY(),2)+7),"Follow-This Week",
IF(AND(O202&gt;=TODAY()-WEEKDAY(TODAY(),2)+8,O202&lt;=TODAY()-WEEKDAY(TODAY(),2)+14),"Follow-Next Week","")))))</f>
        <v/>
      </c>
      <c r="Z202" s="185" t="str">
        <f t="shared" ref="Z202:Z237" ca="1" si="289">IF(OR(S202&lt;&gt;""),"Completed",IF(R202="","",
IF(R202&lt;TODAY(),"Overdue",
IF(AND(R202&gt;=TODAY()-WEEKDAY(TODAY(),2)+1,R202&lt;=TODAY()-WEEKDAY(TODAY(),2)+7),"Follow-This Week",
IF(AND(R202&gt;=TODAY()-WEEKDAY(TODAY(),2)+8,R202&lt;=TODAY()-WEEKDAY(TODAY(),2)+14),"Follow-Next Week","")))))</f>
        <v/>
      </c>
      <c r="AA202" s="186" t="str">
        <f t="shared" ref="AA202:AA237" ca="1" si="290">IF(OR(V202&lt;&gt;""),"Completed",IF(U202="","",
IF(U202&lt;TODAY(),"Overdue",
IF(AND(U202&gt;=TODAY()-WEEKDAY(TODAY(),2)+1,U202&lt;=TODAY()-WEEKDAY(TODAY(),2)+7),"Follow-This Week",
IF(AND(U202&gt;=TODAY()-WEEKDAY(TODAY(),2)+8,U202&lt;=TODAY()-WEEKDAY(TODAY(),2)+14),"Follow-Next Week","")))))</f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94</v>
      </c>
      <c r="D203" s="124" t="s">
        <v>390</v>
      </c>
      <c r="E203" s="124" t="s">
        <v>208</v>
      </c>
      <c r="F203" s="125">
        <f t="shared" si="273"/>
        <v>0.5</v>
      </c>
      <c r="G203" s="125">
        <f t="shared" si="273"/>
        <v>0.5</v>
      </c>
      <c r="H203" s="125">
        <f t="shared" si="273"/>
        <v>0.5</v>
      </c>
      <c r="I203" s="125">
        <f t="shared" si="234"/>
        <v>0</v>
      </c>
      <c r="J203" s="81">
        <v>0.1</v>
      </c>
      <c r="K203" s="72">
        <v>46227</v>
      </c>
      <c r="L203" s="74">
        <f t="shared" si="235"/>
        <v>46227</v>
      </c>
      <c r="M203" s="72">
        <v>46185</v>
      </c>
      <c r="N203" s="74">
        <f t="shared" si="236"/>
        <v>46269</v>
      </c>
      <c r="O203" s="74">
        <f t="shared" si="237"/>
        <v>46269</v>
      </c>
      <c r="P203" s="74"/>
      <c r="Q203" s="74">
        <f t="shared" si="238"/>
        <v>46311</v>
      </c>
      <c r="R203" s="74">
        <f t="shared" si="239"/>
        <v>46311</v>
      </c>
      <c r="S203" s="74"/>
      <c r="T203" s="74">
        <f t="shared" si="240"/>
        <v>46325</v>
      </c>
      <c r="U203" s="74">
        <f t="shared" si="241"/>
        <v>46325</v>
      </c>
      <c r="V203" s="72"/>
      <c r="X203" s="185" t="str">
        <f t="shared" ca="1" si="287"/>
        <v>Completed</v>
      </c>
      <c r="Y203" s="185" t="str">
        <f t="shared" ca="1" si="288"/>
        <v/>
      </c>
      <c r="Z203" s="185" t="str">
        <f t="shared" ca="1" si="289"/>
        <v/>
      </c>
      <c r="AA203" s="186" t="str">
        <f t="shared" ca="1" si="290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94</v>
      </c>
      <c r="D204" s="75" t="s">
        <v>391</v>
      </c>
      <c r="E204" s="75" t="s">
        <v>209</v>
      </c>
      <c r="F204" s="116">
        <f t="shared" si="273"/>
        <v>0.5</v>
      </c>
      <c r="G204" s="116">
        <f t="shared" si="273"/>
        <v>0.5</v>
      </c>
      <c r="H204" s="116">
        <f t="shared" si="273"/>
        <v>0.5</v>
      </c>
      <c r="I204" s="116">
        <f t="shared" si="234"/>
        <v>0</v>
      </c>
      <c r="J204" s="81">
        <v>0.1</v>
      </c>
      <c r="K204" s="72">
        <v>46227</v>
      </c>
      <c r="L204" s="72">
        <f t="shared" si="235"/>
        <v>46227</v>
      </c>
      <c r="M204" s="72">
        <v>46178</v>
      </c>
      <c r="N204" s="72">
        <f t="shared" si="236"/>
        <v>46269</v>
      </c>
      <c r="O204" s="72">
        <f t="shared" si="237"/>
        <v>46269</v>
      </c>
      <c r="P204" s="72"/>
      <c r="Q204" s="72">
        <f t="shared" si="238"/>
        <v>46311</v>
      </c>
      <c r="R204" s="72">
        <f t="shared" si="239"/>
        <v>46311</v>
      </c>
      <c r="S204" s="72"/>
      <c r="T204" s="72">
        <f t="shared" si="240"/>
        <v>46325</v>
      </c>
      <c r="U204" s="72">
        <f t="shared" si="241"/>
        <v>46325</v>
      </c>
      <c r="V204" s="72"/>
      <c r="X204" s="185" t="str">
        <f t="shared" ca="1" si="287"/>
        <v>Completed</v>
      </c>
      <c r="Y204" s="185" t="str">
        <f t="shared" ca="1" si="288"/>
        <v/>
      </c>
      <c r="Z204" s="185" t="str">
        <f t="shared" ca="1" si="289"/>
        <v/>
      </c>
      <c r="AA204" s="186" t="str">
        <f t="shared" ca="1" si="290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94</v>
      </c>
      <c r="D205" s="75" t="s">
        <v>436</v>
      </c>
      <c r="E205" s="75" t="s">
        <v>437</v>
      </c>
      <c r="F205" s="116">
        <f t="shared" si="273"/>
        <v>0.5</v>
      </c>
      <c r="G205" s="125">
        <f t="shared" si="273"/>
        <v>0.5</v>
      </c>
      <c r="H205" s="125">
        <f t="shared" si="273"/>
        <v>0.5</v>
      </c>
      <c r="I205" s="125">
        <f t="shared" si="234"/>
        <v>0</v>
      </c>
      <c r="J205" s="81">
        <v>0.1</v>
      </c>
      <c r="K205" s="72">
        <v>46227</v>
      </c>
      <c r="L205" s="74">
        <f t="shared" ref="L205:L221" si="291">K205</f>
        <v>46227</v>
      </c>
      <c r="M205" s="72">
        <v>46185</v>
      </c>
      <c r="N205" s="74">
        <f t="shared" ref="N205:N221" si="292">K205+42</f>
        <v>46269</v>
      </c>
      <c r="O205" s="74">
        <f t="shared" ref="O205:O221" si="293">N205</f>
        <v>46269</v>
      </c>
      <c r="P205" s="74"/>
      <c r="Q205" s="74">
        <f t="shared" ref="Q205:Q221" si="294">N205+42</f>
        <v>46311</v>
      </c>
      <c r="R205" s="74">
        <f t="shared" ref="R205:R221" si="295">Q205</f>
        <v>46311</v>
      </c>
      <c r="S205" s="74"/>
      <c r="T205" s="74">
        <f t="shared" ref="T205:T221" si="296">Q205+14</f>
        <v>46325</v>
      </c>
      <c r="U205" s="74">
        <f t="shared" ref="U205:U221" si="297">T205</f>
        <v>46325</v>
      </c>
      <c r="V205" s="72"/>
      <c r="X205" s="185" t="str">
        <f t="shared" ca="1" si="287"/>
        <v>Completed</v>
      </c>
      <c r="Y205" s="185" t="str">
        <f t="shared" ca="1" si="288"/>
        <v/>
      </c>
      <c r="Z205" s="185" t="str">
        <f t="shared" ca="1" si="289"/>
        <v/>
      </c>
      <c r="AA205" s="186" t="str">
        <f t="shared" ca="1" si="290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94</v>
      </c>
      <c r="D206" s="75" t="s">
        <v>438</v>
      </c>
      <c r="E206" s="75" t="s">
        <v>439</v>
      </c>
      <c r="F206" s="116">
        <f t="shared" si="273"/>
        <v>0.5</v>
      </c>
      <c r="G206" s="125">
        <f t="shared" ref="G206:G221" si="298">(COUNTIFS(L206,"&lt;="&amp;$D$1)*50%)+(COUNTIFS(O206,"&lt;="&amp;$D$1)*20%)+(COUNTIFS(R206,"&lt;="&amp;$D$1)*10%)+(COUNTIFS(U206,"&lt;="&amp;$D$1)*20%)</f>
        <v>0.5</v>
      </c>
      <c r="H206" s="125">
        <f t="shared" ref="H206:H221" si="299">(COUNTIFS(M206,"&lt;="&amp;$D$1)*50%)+(COUNTIFS(P206,"&lt;="&amp;$D$1)*20%)+(COUNTIFS(S206,"&lt;="&amp;$D$1)*10%)+(COUNTIFS(V206,"&lt;="&amp;$D$1)*20%)</f>
        <v>0.5</v>
      </c>
      <c r="I206" s="125">
        <f t="shared" ref="I206:I221" si="300">H206-F206</f>
        <v>0</v>
      </c>
      <c r="J206" s="81">
        <v>0.1</v>
      </c>
      <c r="K206" s="72">
        <v>46227</v>
      </c>
      <c r="L206" s="74">
        <f t="shared" si="291"/>
        <v>46227</v>
      </c>
      <c r="M206" s="72">
        <v>46185</v>
      </c>
      <c r="N206" s="74">
        <f t="shared" si="292"/>
        <v>46269</v>
      </c>
      <c r="O206" s="74">
        <f t="shared" si="293"/>
        <v>46269</v>
      </c>
      <c r="P206" s="74"/>
      <c r="Q206" s="74">
        <f t="shared" si="294"/>
        <v>46311</v>
      </c>
      <c r="R206" s="74">
        <f t="shared" si="295"/>
        <v>46311</v>
      </c>
      <c r="S206" s="74"/>
      <c r="T206" s="74">
        <f t="shared" si="296"/>
        <v>46325</v>
      </c>
      <c r="U206" s="74">
        <f t="shared" si="297"/>
        <v>46325</v>
      </c>
      <c r="V206" s="72"/>
      <c r="X206" s="185" t="str">
        <f t="shared" ca="1" si="287"/>
        <v>Completed</v>
      </c>
      <c r="Y206" s="185" t="str">
        <f t="shared" ca="1" si="288"/>
        <v/>
      </c>
      <c r="Z206" s="185" t="str">
        <f t="shared" ca="1" si="289"/>
        <v/>
      </c>
      <c r="AA206" s="186" t="str">
        <f t="shared" ca="1" si="290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94</v>
      </c>
      <c r="D207" s="75" t="s">
        <v>440</v>
      </c>
      <c r="E207" s="75" t="s">
        <v>441</v>
      </c>
      <c r="F207" s="116">
        <f t="shared" si="273"/>
        <v>0.5</v>
      </c>
      <c r="G207" s="125">
        <f t="shared" si="298"/>
        <v>0.5</v>
      </c>
      <c r="H207" s="125">
        <f t="shared" si="299"/>
        <v>0</v>
      </c>
      <c r="I207" s="125">
        <f t="shared" si="300"/>
        <v>-0.5</v>
      </c>
      <c r="J207" s="81">
        <v>0.1</v>
      </c>
      <c r="K207" s="72">
        <v>46227</v>
      </c>
      <c r="L207" s="74">
        <f t="shared" si="291"/>
        <v>46227</v>
      </c>
      <c r="M207" s="148"/>
      <c r="N207" s="74">
        <f t="shared" si="292"/>
        <v>46269</v>
      </c>
      <c r="O207" s="74">
        <f t="shared" si="293"/>
        <v>46269</v>
      </c>
      <c r="P207" s="74"/>
      <c r="Q207" s="74">
        <f t="shared" si="294"/>
        <v>46311</v>
      </c>
      <c r="R207" s="74">
        <f t="shared" si="295"/>
        <v>46311</v>
      </c>
      <c r="S207" s="74"/>
      <c r="T207" s="74">
        <f t="shared" si="296"/>
        <v>46325</v>
      </c>
      <c r="U207" s="74">
        <f t="shared" si="297"/>
        <v>46325</v>
      </c>
      <c r="V207" s="72"/>
      <c r="X207" s="185" t="str">
        <f t="shared" ca="1" si="287"/>
        <v>Overdue</v>
      </c>
      <c r="Y207" s="185" t="str">
        <f t="shared" ca="1" si="288"/>
        <v/>
      </c>
      <c r="Z207" s="185" t="str">
        <f t="shared" ca="1" si="289"/>
        <v/>
      </c>
      <c r="AA207" s="186" t="str">
        <f t="shared" ca="1" si="290"/>
        <v/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94</v>
      </c>
      <c r="D208" s="75" t="s">
        <v>442</v>
      </c>
      <c r="E208" s="75" t="s">
        <v>443</v>
      </c>
      <c r="F208" s="116">
        <f t="shared" si="273"/>
        <v>0.5</v>
      </c>
      <c r="G208" s="116">
        <f t="shared" si="298"/>
        <v>0.5</v>
      </c>
      <c r="H208" s="116">
        <f t="shared" si="299"/>
        <v>0</v>
      </c>
      <c r="I208" s="116">
        <f t="shared" si="300"/>
        <v>-0.5</v>
      </c>
      <c r="J208" s="81">
        <v>0.1</v>
      </c>
      <c r="K208" s="72">
        <v>46227</v>
      </c>
      <c r="L208" s="72">
        <f t="shared" si="291"/>
        <v>46227</v>
      </c>
      <c r="M208" s="148"/>
      <c r="N208" s="72">
        <f t="shared" si="292"/>
        <v>46269</v>
      </c>
      <c r="O208" s="72">
        <f t="shared" si="293"/>
        <v>46269</v>
      </c>
      <c r="P208" s="72"/>
      <c r="Q208" s="72">
        <f t="shared" si="294"/>
        <v>46311</v>
      </c>
      <c r="R208" s="72">
        <f t="shared" si="295"/>
        <v>46311</v>
      </c>
      <c r="S208" s="72"/>
      <c r="T208" s="72">
        <f t="shared" si="296"/>
        <v>46325</v>
      </c>
      <c r="U208" s="72">
        <f t="shared" si="297"/>
        <v>46325</v>
      </c>
      <c r="V208" s="72"/>
      <c r="X208" s="185" t="str">
        <f t="shared" ca="1" si="287"/>
        <v>Overdue</v>
      </c>
      <c r="Y208" s="185" t="str">
        <f t="shared" ca="1" si="288"/>
        <v/>
      </c>
      <c r="Z208" s="185" t="str">
        <f t="shared" ca="1" si="289"/>
        <v/>
      </c>
      <c r="AA208" s="186" t="str">
        <f t="shared" ca="1" si="290"/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94</v>
      </c>
      <c r="D209" s="75" t="s">
        <v>444</v>
      </c>
      <c r="E209" s="75" t="s">
        <v>445</v>
      </c>
      <c r="F209" s="116">
        <f t="shared" si="273"/>
        <v>0.5</v>
      </c>
      <c r="G209" s="125">
        <f t="shared" si="298"/>
        <v>0.5</v>
      </c>
      <c r="H209" s="125">
        <f t="shared" si="299"/>
        <v>0</v>
      </c>
      <c r="I209" s="125">
        <f t="shared" si="300"/>
        <v>-0.5</v>
      </c>
      <c r="J209" s="81">
        <v>0.1</v>
      </c>
      <c r="K209" s="72">
        <v>46227</v>
      </c>
      <c r="L209" s="74">
        <f t="shared" si="291"/>
        <v>46227</v>
      </c>
      <c r="M209" s="148"/>
      <c r="N209" s="74">
        <f t="shared" si="292"/>
        <v>46269</v>
      </c>
      <c r="O209" s="74">
        <f t="shared" si="293"/>
        <v>46269</v>
      </c>
      <c r="P209" s="74"/>
      <c r="Q209" s="74">
        <f t="shared" si="294"/>
        <v>46311</v>
      </c>
      <c r="R209" s="74">
        <f t="shared" si="295"/>
        <v>46311</v>
      </c>
      <c r="S209" s="74"/>
      <c r="T209" s="74">
        <f t="shared" si="296"/>
        <v>46325</v>
      </c>
      <c r="U209" s="74">
        <f t="shared" si="297"/>
        <v>46325</v>
      </c>
      <c r="V209" s="72"/>
      <c r="X209" s="185" t="str">
        <f t="shared" ca="1" si="287"/>
        <v>Overdue</v>
      </c>
      <c r="Y209" s="185" t="str">
        <f t="shared" ca="1" si="288"/>
        <v/>
      </c>
      <c r="Z209" s="185" t="str">
        <f t="shared" ca="1" si="289"/>
        <v/>
      </c>
      <c r="AA209" s="186" t="str">
        <f t="shared" ca="1" si="290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94</v>
      </c>
      <c r="D210" s="75" t="s">
        <v>446</v>
      </c>
      <c r="E210" s="75" t="s">
        <v>447</v>
      </c>
      <c r="F210" s="116">
        <f t="shared" si="273"/>
        <v>0.5</v>
      </c>
      <c r="G210" s="125">
        <f t="shared" si="298"/>
        <v>0.5</v>
      </c>
      <c r="H210" s="125">
        <f t="shared" si="299"/>
        <v>0</v>
      </c>
      <c r="I210" s="125">
        <f t="shared" si="300"/>
        <v>-0.5</v>
      </c>
      <c r="J210" s="81">
        <v>0.1</v>
      </c>
      <c r="K210" s="72">
        <v>46227</v>
      </c>
      <c r="L210" s="74">
        <f t="shared" si="291"/>
        <v>46227</v>
      </c>
      <c r="M210" s="148"/>
      <c r="N210" s="74">
        <f t="shared" si="292"/>
        <v>46269</v>
      </c>
      <c r="O210" s="74">
        <f t="shared" si="293"/>
        <v>46269</v>
      </c>
      <c r="P210" s="74"/>
      <c r="Q210" s="74">
        <f t="shared" si="294"/>
        <v>46311</v>
      </c>
      <c r="R210" s="74">
        <f t="shared" si="295"/>
        <v>46311</v>
      </c>
      <c r="S210" s="74"/>
      <c r="T210" s="74">
        <f t="shared" si="296"/>
        <v>46325</v>
      </c>
      <c r="U210" s="74">
        <f t="shared" si="297"/>
        <v>46325</v>
      </c>
      <c r="V210" s="72"/>
      <c r="X210" s="185" t="str">
        <f t="shared" ca="1" si="287"/>
        <v>Overdue</v>
      </c>
      <c r="Y210" s="185" t="str">
        <f t="shared" ca="1" si="288"/>
        <v/>
      </c>
      <c r="Z210" s="185" t="str">
        <f t="shared" ca="1" si="289"/>
        <v/>
      </c>
      <c r="AA210" s="186" t="str">
        <f t="shared" ca="1" si="290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94</v>
      </c>
      <c r="D211" s="75" t="s">
        <v>448</v>
      </c>
      <c r="E211" s="75" t="s">
        <v>449</v>
      </c>
      <c r="F211" s="116">
        <f t="shared" si="273"/>
        <v>0.5</v>
      </c>
      <c r="G211" s="125">
        <f t="shared" si="298"/>
        <v>0.5</v>
      </c>
      <c r="H211" s="125">
        <f t="shared" si="299"/>
        <v>0</v>
      </c>
      <c r="I211" s="125">
        <f t="shared" si="300"/>
        <v>-0.5</v>
      </c>
      <c r="J211" s="81">
        <v>0.1</v>
      </c>
      <c r="K211" s="72">
        <v>46227</v>
      </c>
      <c r="L211" s="74">
        <f t="shared" si="291"/>
        <v>46227</v>
      </c>
      <c r="M211" s="148"/>
      <c r="N211" s="74">
        <f t="shared" si="292"/>
        <v>46269</v>
      </c>
      <c r="O211" s="74">
        <f t="shared" si="293"/>
        <v>46269</v>
      </c>
      <c r="P211" s="74"/>
      <c r="Q211" s="74">
        <f t="shared" si="294"/>
        <v>46311</v>
      </c>
      <c r="R211" s="74">
        <f t="shared" si="295"/>
        <v>46311</v>
      </c>
      <c r="S211" s="74"/>
      <c r="T211" s="74">
        <f t="shared" si="296"/>
        <v>46325</v>
      </c>
      <c r="U211" s="74">
        <f t="shared" si="297"/>
        <v>46325</v>
      </c>
      <c r="V211" s="72"/>
      <c r="X211" s="185" t="str">
        <f t="shared" ca="1" si="287"/>
        <v>Overdue</v>
      </c>
      <c r="Y211" s="185" t="str">
        <f t="shared" ca="1" si="288"/>
        <v/>
      </c>
      <c r="Z211" s="185" t="str">
        <f t="shared" ca="1" si="289"/>
        <v/>
      </c>
      <c r="AA211" s="186" t="str">
        <f t="shared" ca="1" si="290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94</v>
      </c>
      <c r="D212" s="75" t="s">
        <v>450</v>
      </c>
      <c r="E212" s="75" t="s">
        <v>451</v>
      </c>
      <c r="F212" s="116">
        <f t="shared" si="273"/>
        <v>0.5</v>
      </c>
      <c r="G212" s="116">
        <f t="shared" si="298"/>
        <v>0.5</v>
      </c>
      <c r="H212" s="116">
        <f t="shared" si="299"/>
        <v>0.5</v>
      </c>
      <c r="I212" s="116">
        <f t="shared" si="300"/>
        <v>0</v>
      </c>
      <c r="J212" s="81">
        <v>0.1</v>
      </c>
      <c r="K212" s="72">
        <v>46227</v>
      </c>
      <c r="L212" s="72">
        <f t="shared" si="291"/>
        <v>46227</v>
      </c>
      <c r="M212" s="149">
        <v>46237</v>
      </c>
      <c r="N212" s="72">
        <f t="shared" si="292"/>
        <v>46269</v>
      </c>
      <c r="O212" s="72">
        <f t="shared" si="293"/>
        <v>46269</v>
      </c>
      <c r="P212" s="72"/>
      <c r="Q212" s="72">
        <f t="shared" si="294"/>
        <v>46311</v>
      </c>
      <c r="R212" s="72">
        <f t="shared" si="295"/>
        <v>46311</v>
      </c>
      <c r="S212" s="72"/>
      <c r="T212" s="72">
        <f t="shared" si="296"/>
        <v>46325</v>
      </c>
      <c r="U212" s="72">
        <f t="shared" si="297"/>
        <v>46325</v>
      </c>
      <c r="V212" s="72"/>
      <c r="X212" s="185" t="str">
        <f t="shared" ca="1" si="287"/>
        <v>Completed</v>
      </c>
      <c r="Y212" s="185" t="str">
        <f t="shared" ca="1" si="288"/>
        <v/>
      </c>
      <c r="Z212" s="185" t="str">
        <f t="shared" ca="1" si="289"/>
        <v/>
      </c>
      <c r="AA212" s="186" t="str">
        <f t="shared" ca="1" si="290"/>
        <v/>
      </c>
    </row>
    <row r="213" spans="1:27" s="64" customFormat="1" ht="9.5" customHeight="1" x14ac:dyDescent="0.25">
      <c r="A213" s="70" t="s">
        <v>61</v>
      </c>
      <c r="B213" s="70" t="s">
        <v>62</v>
      </c>
      <c r="C213" s="70" t="s">
        <v>94</v>
      </c>
      <c r="D213" s="75" t="s">
        <v>452</v>
      </c>
      <c r="E213" s="75" t="s">
        <v>453</v>
      </c>
      <c r="F213" s="116">
        <f t="shared" si="273"/>
        <v>0.5</v>
      </c>
      <c r="G213" s="125">
        <f t="shared" si="298"/>
        <v>0.5</v>
      </c>
      <c r="H213" s="125">
        <f t="shared" si="299"/>
        <v>0.5</v>
      </c>
      <c r="I213" s="125">
        <f t="shared" si="300"/>
        <v>0</v>
      </c>
      <c r="J213" s="81">
        <v>0.1</v>
      </c>
      <c r="K213" s="72">
        <v>46227</v>
      </c>
      <c r="L213" s="74">
        <f t="shared" si="291"/>
        <v>46227</v>
      </c>
      <c r="M213" s="149">
        <v>46237</v>
      </c>
      <c r="N213" s="74">
        <f t="shared" si="292"/>
        <v>46269</v>
      </c>
      <c r="O213" s="74">
        <f t="shared" si="293"/>
        <v>46269</v>
      </c>
      <c r="P213" s="74"/>
      <c r="Q213" s="74">
        <f t="shared" si="294"/>
        <v>46311</v>
      </c>
      <c r="R213" s="74">
        <f t="shared" si="295"/>
        <v>46311</v>
      </c>
      <c r="S213" s="74"/>
      <c r="T213" s="74">
        <f t="shared" si="296"/>
        <v>46325</v>
      </c>
      <c r="U213" s="74">
        <f t="shared" si="297"/>
        <v>46325</v>
      </c>
      <c r="V213" s="72"/>
      <c r="X213" s="185" t="str">
        <f t="shared" ca="1" si="287"/>
        <v>Completed</v>
      </c>
      <c r="Y213" s="185" t="str">
        <f t="shared" ca="1" si="288"/>
        <v/>
      </c>
      <c r="Z213" s="185" t="str">
        <f t="shared" ca="1" si="289"/>
        <v/>
      </c>
      <c r="AA213" s="186" t="str">
        <f t="shared" ca="1" si="290"/>
        <v/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94</v>
      </c>
      <c r="D214" s="75" t="s">
        <v>454</v>
      </c>
      <c r="E214" s="75" t="s">
        <v>455</v>
      </c>
      <c r="F214" s="116">
        <f t="shared" si="273"/>
        <v>0.5</v>
      </c>
      <c r="G214" s="125">
        <f t="shared" si="298"/>
        <v>0.5</v>
      </c>
      <c r="H214" s="125">
        <f t="shared" si="299"/>
        <v>0</v>
      </c>
      <c r="I214" s="125">
        <f t="shared" si="300"/>
        <v>-0.5</v>
      </c>
      <c r="J214" s="81">
        <v>0.1</v>
      </c>
      <c r="K214" s="72">
        <v>46227</v>
      </c>
      <c r="L214" s="74">
        <f t="shared" si="291"/>
        <v>46227</v>
      </c>
      <c r="M214" s="72"/>
      <c r="N214" s="74">
        <f t="shared" si="292"/>
        <v>46269</v>
      </c>
      <c r="O214" s="74">
        <f t="shared" si="293"/>
        <v>46269</v>
      </c>
      <c r="P214" s="74"/>
      <c r="Q214" s="74">
        <f t="shared" si="294"/>
        <v>46311</v>
      </c>
      <c r="R214" s="74">
        <f t="shared" si="295"/>
        <v>46311</v>
      </c>
      <c r="S214" s="74"/>
      <c r="T214" s="74">
        <f t="shared" si="296"/>
        <v>46325</v>
      </c>
      <c r="U214" s="74">
        <f t="shared" si="297"/>
        <v>46325</v>
      </c>
      <c r="V214" s="72"/>
      <c r="X214" s="185" t="str">
        <f t="shared" ca="1" si="287"/>
        <v>Overdue</v>
      </c>
      <c r="Y214" s="185" t="str">
        <f t="shared" ca="1" si="288"/>
        <v/>
      </c>
      <c r="Z214" s="185" t="str">
        <f t="shared" ca="1" si="289"/>
        <v/>
      </c>
      <c r="AA214" s="186" t="str">
        <f t="shared" ca="1" si="290"/>
        <v/>
      </c>
    </row>
    <row r="215" spans="1:27" s="64" customFormat="1" ht="9.5" customHeight="1" x14ac:dyDescent="0.25">
      <c r="A215" s="70" t="s">
        <v>61</v>
      </c>
      <c r="B215" s="70" t="s">
        <v>62</v>
      </c>
      <c r="C215" s="70" t="s">
        <v>94</v>
      </c>
      <c r="D215" s="75" t="s">
        <v>456</v>
      </c>
      <c r="E215" s="75" t="s">
        <v>457</v>
      </c>
      <c r="F215" s="116">
        <f t="shared" si="273"/>
        <v>0.5</v>
      </c>
      <c r="G215" s="125">
        <f t="shared" si="298"/>
        <v>0.5</v>
      </c>
      <c r="H215" s="125">
        <f t="shared" si="299"/>
        <v>0.5</v>
      </c>
      <c r="I215" s="125">
        <f t="shared" si="300"/>
        <v>0</v>
      </c>
      <c r="J215" s="81">
        <v>0.1</v>
      </c>
      <c r="K215" s="72">
        <v>46227</v>
      </c>
      <c r="L215" s="74">
        <f t="shared" si="291"/>
        <v>46227</v>
      </c>
      <c r="M215" s="149">
        <v>46237</v>
      </c>
      <c r="N215" s="74">
        <f t="shared" si="292"/>
        <v>46269</v>
      </c>
      <c r="O215" s="74">
        <f t="shared" si="293"/>
        <v>46269</v>
      </c>
      <c r="P215" s="74"/>
      <c r="Q215" s="74">
        <f t="shared" si="294"/>
        <v>46311</v>
      </c>
      <c r="R215" s="74">
        <f t="shared" si="295"/>
        <v>46311</v>
      </c>
      <c r="S215" s="74"/>
      <c r="T215" s="74">
        <f t="shared" si="296"/>
        <v>46325</v>
      </c>
      <c r="U215" s="74">
        <f t="shared" si="297"/>
        <v>46325</v>
      </c>
      <c r="V215" s="72"/>
      <c r="X215" s="185" t="str">
        <f t="shared" ca="1" si="287"/>
        <v>Completed</v>
      </c>
      <c r="Y215" s="185" t="str">
        <f t="shared" ca="1" si="288"/>
        <v/>
      </c>
      <c r="Z215" s="185" t="str">
        <f t="shared" ca="1" si="289"/>
        <v/>
      </c>
      <c r="AA215" s="186" t="str">
        <f t="shared" ca="1" si="290"/>
        <v/>
      </c>
    </row>
    <row r="216" spans="1:27" s="64" customFormat="1" ht="9.5" customHeight="1" x14ac:dyDescent="0.25">
      <c r="A216" s="70" t="s">
        <v>61</v>
      </c>
      <c r="B216" s="70" t="s">
        <v>62</v>
      </c>
      <c r="C216" s="70" t="s">
        <v>94</v>
      </c>
      <c r="D216" s="75" t="s">
        <v>458</v>
      </c>
      <c r="E216" s="75" t="s">
        <v>459</v>
      </c>
      <c r="F216" s="116">
        <f t="shared" si="273"/>
        <v>0.5</v>
      </c>
      <c r="G216" s="116">
        <f t="shared" si="298"/>
        <v>0.5</v>
      </c>
      <c r="H216" s="116">
        <f t="shared" si="299"/>
        <v>0.5</v>
      </c>
      <c r="I216" s="116">
        <f t="shared" si="300"/>
        <v>0</v>
      </c>
      <c r="J216" s="81">
        <v>0.1</v>
      </c>
      <c r="K216" s="72">
        <v>46227</v>
      </c>
      <c r="L216" s="72">
        <f t="shared" si="291"/>
        <v>46227</v>
      </c>
      <c r="M216" s="149">
        <v>46237</v>
      </c>
      <c r="N216" s="72">
        <f t="shared" si="292"/>
        <v>46269</v>
      </c>
      <c r="O216" s="72">
        <f t="shared" si="293"/>
        <v>46269</v>
      </c>
      <c r="P216" s="72"/>
      <c r="Q216" s="72">
        <f t="shared" si="294"/>
        <v>46311</v>
      </c>
      <c r="R216" s="72">
        <f t="shared" si="295"/>
        <v>46311</v>
      </c>
      <c r="S216" s="72"/>
      <c r="T216" s="72">
        <f t="shared" si="296"/>
        <v>46325</v>
      </c>
      <c r="U216" s="72">
        <f t="shared" si="297"/>
        <v>46325</v>
      </c>
      <c r="V216" s="72"/>
      <c r="X216" s="185" t="str">
        <f t="shared" ca="1" si="287"/>
        <v>Completed</v>
      </c>
      <c r="Y216" s="185" t="str">
        <f t="shared" ca="1" si="288"/>
        <v/>
      </c>
      <c r="Z216" s="185" t="str">
        <f t="shared" ca="1" si="289"/>
        <v/>
      </c>
      <c r="AA216" s="186" t="str">
        <f t="shared" ca="1" si="290"/>
        <v/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94</v>
      </c>
      <c r="D217" s="75" t="s">
        <v>460</v>
      </c>
      <c r="E217" s="75" t="s">
        <v>461</v>
      </c>
      <c r="F217" s="116">
        <f t="shared" si="273"/>
        <v>0.5</v>
      </c>
      <c r="G217" s="125">
        <f t="shared" si="298"/>
        <v>0.5</v>
      </c>
      <c r="H217" s="125">
        <f t="shared" si="299"/>
        <v>0.5</v>
      </c>
      <c r="I217" s="125">
        <f t="shared" si="300"/>
        <v>0</v>
      </c>
      <c r="J217" s="81">
        <v>0.1</v>
      </c>
      <c r="K217" s="72">
        <v>46227</v>
      </c>
      <c r="L217" s="74">
        <f t="shared" si="291"/>
        <v>46227</v>
      </c>
      <c r="M217" s="149">
        <v>46237</v>
      </c>
      <c r="N217" s="74">
        <f t="shared" si="292"/>
        <v>46269</v>
      </c>
      <c r="O217" s="74">
        <f t="shared" si="293"/>
        <v>46269</v>
      </c>
      <c r="P217" s="74"/>
      <c r="Q217" s="74">
        <f t="shared" si="294"/>
        <v>46311</v>
      </c>
      <c r="R217" s="74">
        <f t="shared" si="295"/>
        <v>46311</v>
      </c>
      <c r="S217" s="74"/>
      <c r="T217" s="74">
        <f t="shared" si="296"/>
        <v>46325</v>
      </c>
      <c r="U217" s="74">
        <f t="shared" si="297"/>
        <v>46325</v>
      </c>
      <c r="V217" s="72"/>
      <c r="X217" s="185" t="str">
        <f t="shared" ca="1" si="287"/>
        <v>Completed</v>
      </c>
      <c r="Y217" s="185" t="str">
        <f t="shared" ca="1" si="288"/>
        <v/>
      </c>
      <c r="Z217" s="185" t="str">
        <f t="shared" ca="1" si="289"/>
        <v/>
      </c>
      <c r="AA217" s="186" t="str">
        <f t="shared" ca="1" si="290"/>
        <v/>
      </c>
    </row>
    <row r="218" spans="1:27" s="64" customFormat="1" ht="9.5" customHeight="1" x14ac:dyDescent="0.25">
      <c r="A218" s="140" t="s">
        <v>61</v>
      </c>
      <c r="B218" s="140" t="s">
        <v>62</v>
      </c>
      <c r="C218" s="140" t="s">
        <v>94</v>
      </c>
      <c r="D218" s="141" t="s">
        <v>462</v>
      </c>
      <c r="E218" s="141" t="s">
        <v>510</v>
      </c>
      <c r="F218" s="142">
        <f t="shared" si="273"/>
        <v>0.5</v>
      </c>
      <c r="G218" s="147">
        <f t="shared" si="298"/>
        <v>0.5</v>
      </c>
      <c r="H218" s="147">
        <f t="shared" si="299"/>
        <v>1</v>
      </c>
      <c r="I218" s="147">
        <f t="shared" si="300"/>
        <v>0.5</v>
      </c>
      <c r="J218" s="143">
        <v>0.1</v>
      </c>
      <c r="K218" s="144">
        <v>46227</v>
      </c>
      <c r="L218" s="148">
        <f t="shared" si="291"/>
        <v>46227</v>
      </c>
      <c r="M218" s="190">
        <v>46234</v>
      </c>
      <c r="N218" s="148">
        <f t="shared" si="292"/>
        <v>46269</v>
      </c>
      <c r="O218" s="148">
        <f t="shared" si="293"/>
        <v>46269</v>
      </c>
      <c r="P218" s="190">
        <v>46234</v>
      </c>
      <c r="Q218" s="148">
        <f t="shared" si="294"/>
        <v>46311</v>
      </c>
      <c r="R218" s="148">
        <f t="shared" si="295"/>
        <v>46311</v>
      </c>
      <c r="S218" s="190">
        <v>46234</v>
      </c>
      <c r="T218" s="148">
        <f t="shared" si="296"/>
        <v>46325</v>
      </c>
      <c r="U218" s="148">
        <f t="shared" si="297"/>
        <v>46325</v>
      </c>
      <c r="V218" s="190">
        <v>46234</v>
      </c>
      <c r="X218" s="185" t="str">
        <f t="shared" ca="1" si="287"/>
        <v>Completed</v>
      </c>
      <c r="Y218" s="185" t="str">
        <f t="shared" ca="1" si="288"/>
        <v>Completed</v>
      </c>
      <c r="Z218" s="185" t="str">
        <f t="shared" ca="1" si="289"/>
        <v>Completed</v>
      </c>
      <c r="AA218" s="186" t="str">
        <f t="shared" ca="1" si="290"/>
        <v>Completed</v>
      </c>
    </row>
    <row r="219" spans="1:27" s="64" customFormat="1" ht="9.5" customHeight="1" x14ac:dyDescent="0.25">
      <c r="A219" s="140" t="s">
        <v>61</v>
      </c>
      <c r="B219" s="140" t="s">
        <v>62</v>
      </c>
      <c r="C219" s="140" t="s">
        <v>94</v>
      </c>
      <c r="D219" s="141" t="s">
        <v>463</v>
      </c>
      <c r="E219" s="141" t="s">
        <v>511</v>
      </c>
      <c r="F219" s="142">
        <f t="shared" si="273"/>
        <v>0.5</v>
      </c>
      <c r="G219" s="147">
        <f t="shared" si="298"/>
        <v>0.5</v>
      </c>
      <c r="H219" s="147">
        <f t="shared" si="299"/>
        <v>1</v>
      </c>
      <c r="I219" s="147">
        <f t="shared" si="300"/>
        <v>0.5</v>
      </c>
      <c r="J219" s="143">
        <v>0.1</v>
      </c>
      <c r="K219" s="144">
        <v>46227</v>
      </c>
      <c r="L219" s="148">
        <f t="shared" si="291"/>
        <v>46227</v>
      </c>
      <c r="M219" s="190">
        <v>46234</v>
      </c>
      <c r="N219" s="148">
        <f t="shared" si="292"/>
        <v>46269</v>
      </c>
      <c r="O219" s="148">
        <f t="shared" si="293"/>
        <v>46269</v>
      </c>
      <c r="P219" s="190">
        <v>46234</v>
      </c>
      <c r="Q219" s="148">
        <f t="shared" si="294"/>
        <v>46311</v>
      </c>
      <c r="R219" s="148">
        <f t="shared" si="295"/>
        <v>46311</v>
      </c>
      <c r="S219" s="190">
        <v>46234</v>
      </c>
      <c r="T219" s="148">
        <f t="shared" si="296"/>
        <v>46325</v>
      </c>
      <c r="U219" s="148">
        <f t="shared" si="297"/>
        <v>46325</v>
      </c>
      <c r="V219" s="190">
        <v>46234</v>
      </c>
      <c r="X219" s="185" t="str">
        <f t="shared" ca="1" si="287"/>
        <v>Completed</v>
      </c>
      <c r="Y219" s="185" t="str">
        <f t="shared" ca="1" si="288"/>
        <v>Completed</v>
      </c>
      <c r="Z219" s="185" t="str">
        <f t="shared" ca="1" si="289"/>
        <v>Completed</v>
      </c>
      <c r="AA219" s="186" t="str">
        <f t="shared" ca="1" si="290"/>
        <v>Completed</v>
      </c>
    </row>
    <row r="220" spans="1:27" s="64" customFormat="1" ht="9.5" customHeight="1" x14ac:dyDescent="0.25">
      <c r="A220" s="140" t="s">
        <v>61</v>
      </c>
      <c r="B220" s="140" t="s">
        <v>62</v>
      </c>
      <c r="C220" s="140" t="s">
        <v>94</v>
      </c>
      <c r="D220" s="141" t="s">
        <v>464</v>
      </c>
      <c r="E220" s="141" t="s">
        <v>512</v>
      </c>
      <c r="F220" s="142">
        <f t="shared" si="273"/>
        <v>0.5</v>
      </c>
      <c r="G220" s="142">
        <f t="shared" si="298"/>
        <v>0.5</v>
      </c>
      <c r="H220" s="142">
        <f t="shared" si="299"/>
        <v>1</v>
      </c>
      <c r="I220" s="142">
        <f t="shared" si="300"/>
        <v>0.5</v>
      </c>
      <c r="J220" s="143">
        <v>0.1</v>
      </c>
      <c r="K220" s="144">
        <v>46227</v>
      </c>
      <c r="L220" s="144">
        <f t="shared" si="291"/>
        <v>46227</v>
      </c>
      <c r="M220" s="190">
        <v>46234</v>
      </c>
      <c r="N220" s="144">
        <f t="shared" si="292"/>
        <v>46269</v>
      </c>
      <c r="O220" s="144">
        <f t="shared" si="293"/>
        <v>46269</v>
      </c>
      <c r="P220" s="190">
        <v>46234</v>
      </c>
      <c r="Q220" s="144">
        <f t="shared" si="294"/>
        <v>46311</v>
      </c>
      <c r="R220" s="144">
        <f t="shared" si="295"/>
        <v>46311</v>
      </c>
      <c r="S220" s="190">
        <v>46235</v>
      </c>
      <c r="T220" s="144">
        <f t="shared" si="296"/>
        <v>46325</v>
      </c>
      <c r="U220" s="144">
        <f t="shared" si="297"/>
        <v>46325</v>
      </c>
      <c r="V220" s="190">
        <v>46234</v>
      </c>
      <c r="X220" s="185" t="str">
        <f t="shared" ca="1" si="287"/>
        <v>Completed</v>
      </c>
      <c r="Y220" s="185" t="str">
        <f t="shared" ca="1" si="288"/>
        <v>Completed</v>
      </c>
      <c r="Z220" s="185" t="str">
        <f t="shared" ca="1" si="289"/>
        <v>Completed</v>
      </c>
      <c r="AA220" s="186" t="str">
        <f t="shared" ca="1" si="290"/>
        <v>Completed</v>
      </c>
    </row>
    <row r="221" spans="1:27" s="145" customFormat="1" ht="9.5" customHeight="1" x14ac:dyDescent="0.25">
      <c r="A221" s="140" t="s">
        <v>61</v>
      </c>
      <c r="B221" s="140" t="s">
        <v>62</v>
      </c>
      <c r="C221" s="140" t="s">
        <v>94</v>
      </c>
      <c r="D221" s="141" t="s">
        <v>465</v>
      </c>
      <c r="E221" s="141" t="s">
        <v>466</v>
      </c>
      <c r="F221" s="142">
        <f t="shared" si="273"/>
        <v>0.5</v>
      </c>
      <c r="G221" s="147">
        <f t="shared" si="298"/>
        <v>0.5</v>
      </c>
      <c r="H221" s="147">
        <f t="shared" si="299"/>
        <v>1</v>
      </c>
      <c r="I221" s="147">
        <f t="shared" si="300"/>
        <v>0.5</v>
      </c>
      <c r="J221" s="143">
        <v>0</v>
      </c>
      <c r="K221" s="144">
        <v>46227</v>
      </c>
      <c r="L221" s="148">
        <f t="shared" si="291"/>
        <v>46227</v>
      </c>
      <c r="M221" s="190">
        <v>46234</v>
      </c>
      <c r="N221" s="148">
        <f t="shared" si="292"/>
        <v>46269</v>
      </c>
      <c r="O221" s="148">
        <f t="shared" si="293"/>
        <v>46269</v>
      </c>
      <c r="P221" s="190">
        <v>46234</v>
      </c>
      <c r="Q221" s="148">
        <f t="shared" si="294"/>
        <v>46311</v>
      </c>
      <c r="R221" s="148">
        <f t="shared" si="295"/>
        <v>46311</v>
      </c>
      <c r="S221" s="190">
        <v>46236</v>
      </c>
      <c r="T221" s="148">
        <f t="shared" si="296"/>
        <v>46325</v>
      </c>
      <c r="U221" s="148">
        <f t="shared" si="297"/>
        <v>46325</v>
      </c>
      <c r="V221" s="190">
        <v>46234</v>
      </c>
      <c r="X221" s="185" t="str">
        <f t="shared" ca="1" si="287"/>
        <v>Completed</v>
      </c>
      <c r="Y221" s="185" t="str">
        <f t="shared" ca="1" si="288"/>
        <v>Completed</v>
      </c>
      <c r="Z221" s="185" t="str">
        <f t="shared" ca="1" si="289"/>
        <v>Completed</v>
      </c>
      <c r="AA221" s="186" t="str">
        <f t="shared" ca="1" si="290"/>
        <v>Completed</v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94</v>
      </c>
      <c r="D222" s="75" t="s">
        <v>392</v>
      </c>
      <c r="E222" s="75" t="s">
        <v>210</v>
      </c>
      <c r="F222" s="116">
        <f t="shared" si="273"/>
        <v>0.5</v>
      </c>
      <c r="G222" s="116">
        <f t="shared" si="273"/>
        <v>0.5</v>
      </c>
      <c r="H222" s="116">
        <f t="shared" si="273"/>
        <v>0.5</v>
      </c>
      <c r="I222" s="116">
        <f t="shared" si="234"/>
        <v>0</v>
      </c>
      <c r="J222" s="81">
        <v>0.1</v>
      </c>
      <c r="K222" s="72">
        <v>46227</v>
      </c>
      <c r="L222" s="72">
        <f t="shared" si="235"/>
        <v>46227</v>
      </c>
      <c r="M222" s="72">
        <v>46185</v>
      </c>
      <c r="N222" s="72">
        <f t="shared" si="236"/>
        <v>46269</v>
      </c>
      <c r="O222" s="72">
        <f t="shared" si="237"/>
        <v>46269</v>
      </c>
      <c r="P222" s="72"/>
      <c r="Q222" s="72">
        <f t="shared" si="238"/>
        <v>46311</v>
      </c>
      <c r="R222" s="72">
        <f t="shared" si="239"/>
        <v>46311</v>
      </c>
      <c r="S222" s="72"/>
      <c r="T222" s="72">
        <f t="shared" si="240"/>
        <v>46325</v>
      </c>
      <c r="U222" s="72">
        <f t="shared" si="241"/>
        <v>46325</v>
      </c>
      <c r="V222" s="72"/>
      <c r="X222" s="185" t="str">
        <f t="shared" ca="1" si="287"/>
        <v>Completed</v>
      </c>
      <c r="Y222" s="185" t="str">
        <f t="shared" ca="1" si="288"/>
        <v/>
      </c>
      <c r="Z222" s="185" t="str">
        <f t="shared" ca="1" si="289"/>
        <v/>
      </c>
      <c r="AA222" s="186" t="str">
        <f t="shared" ca="1" si="290"/>
        <v/>
      </c>
    </row>
    <row r="223" spans="1:27" s="64" customFormat="1" ht="9.5" customHeight="1" x14ac:dyDescent="0.25">
      <c r="A223" s="70" t="s">
        <v>61</v>
      </c>
      <c r="B223" s="70" t="s">
        <v>62</v>
      </c>
      <c r="C223" s="70" t="s">
        <v>94</v>
      </c>
      <c r="D223" s="75" t="s">
        <v>393</v>
      </c>
      <c r="E223" s="75" t="s">
        <v>211</v>
      </c>
      <c r="F223" s="116">
        <f t="shared" si="273"/>
        <v>0.5</v>
      </c>
      <c r="G223" s="116">
        <f t="shared" si="273"/>
        <v>0.5</v>
      </c>
      <c r="H223" s="116">
        <f t="shared" si="273"/>
        <v>0.7</v>
      </c>
      <c r="I223" s="116">
        <f t="shared" si="234"/>
        <v>0.19999999999999996</v>
      </c>
      <c r="J223" s="81">
        <v>0.1</v>
      </c>
      <c r="K223" s="72">
        <v>46227</v>
      </c>
      <c r="L223" s="72">
        <f t="shared" si="235"/>
        <v>46227</v>
      </c>
      <c r="M223" s="72">
        <v>46185</v>
      </c>
      <c r="N223" s="72">
        <f t="shared" si="236"/>
        <v>46269</v>
      </c>
      <c r="O223" s="72">
        <f t="shared" si="237"/>
        <v>46269</v>
      </c>
      <c r="P223" s="72">
        <v>46192</v>
      </c>
      <c r="Q223" s="72">
        <f t="shared" si="238"/>
        <v>46311</v>
      </c>
      <c r="R223" s="72">
        <f t="shared" si="239"/>
        <v>46311</v>
      </c>
      <c r="S223" s="72"/>
      <c r="T223" s="72">
        <f t="shared" si="240"/>
        <v>46325</v>
      </c>
      <c r="U223" s="72">
        <f t="shared" si="241"/>
        <v>46325</v>
      </c>
      <c r="V223" s="72"/>
      <c r="X223" s="185" t="str">
        <f t="shared" ca="1" si="287"/>
        <v>Completed</v>
      </c>
      <c r="Y223" s="185" t="str">
        <f t="shared" ca="1" si="288"/>
        <v>Completed</v>
      </c>
      <c r="Z223" s="185" t="str">
        <f t="shared" ca="1" si="289"/>
        <v/>
      </c>
      <c r="AA223" s="186" t="str">
        <f t="shared" ca="1" si="290"/>
        <v/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94</v>
      </c>
      <c r="D224" s="75" t="s">
        <v>394</v>
      </c>
      <c r="E224" s="75" t="s">
        <v>212</v>
      </c>
      <c r="F224" s="116">
        <f t="shared" si="273"/>
        <v>0.5</v>
      </c>
      <c r="G224" s="116">
        <f t="shared" si="273"/>
        <v>0.5</v>
      </c>
      <c r="H224" s="116">
        <f t="shared" si="273"/>
        <v>0.7</v>
      </c>
      <c r="I224" s="116">
        <f t="shared" si="234"/>
        <v>0.19999999999999996</v>
      </c>
      <c r="J224" s="81">
        <v>0.1</v>
      </c>
      <c r="K224" s="72">
        <v>46227</v>
      </c>
      <c r="L224" s="72">
        <f t="shared" si="235"/>
        <v>46227</v>
      </c>
      <c r="M224" s="72">
        <v>46185</v>
      </c>
      <c r="N224" s="72">
        <f t="shared" si="236"/>
        <v>46269</v>
      </c>
      <c r="O224" s="72">
        <f t="shared" si="237"/>
        <v>46269</v>
      </c>
      <c r="P224" s="72">
        <v>46192</v>
      </c>
      <c r="Q224" s="72">
        <f t="shared" si="238"/>
        <v>46311</v>
      </c>
      <c r="R224" s="72">
        <f t="shared" si="239"/>
        <v>46311</v>
      </c>
      <c r="S224" s="72"/>
      <c r="T224" s="72">
        <f t="shared" si="240"/>
        <v>46325</v>
      </c>
      <c r="U224" s="72">
        <f t="shared" si="241"/>
        <v>46325</v>
      </c>
      <c r="V224" s="72"/>
      <c r="X224" s="185" t="str">
        <f t="shared" ca="1" si="287"/>
        <v>Completed</v>
      </c>
      <c r="Y224" s="185" t="str">
        <f t="shared" ca="1" si="288"/>
        <v>Completed</v>
      </c>
      <c r="Z224" s="185" t="str">
        <f t="shared" ca="1" si="289"/>
        <v/>
      </c>
      <c r="AA224" s="186" t="str">
        <f t="shared" ca="1" si="290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94</v>
      </c>
      <c r="D225" s="75" t="s">
        <v>395</v>
      </c>
      <c r="E225" s="75" t="s">
        <v>213</v>
      </c>
      <c r="F225" s="116">
        <f t="shared" si="273"/>
        <v>0.5</v>
      </c>
      <c r="G225" s="116">
        <f t="shared" si="273"/>
        <v>0.5</v>
      </c>
      <c r="H225" s="116">
        <f t="shared" si="273"/>
        <v>0.5</v>
      </c>
      <c r="I225" s="116">
        <f t="shared" si="234"/>
        <v>0</v>
      </c>
      <c r="J225" s="81">
        <v>0.1</v>
      </c>
      <c r="K225" s="72">
        <v>46227</v>
      </c>
      <c r="L225" s="72">
        <f t="shared" si="235"/>
        <v>46227</v>
      </c>
      <c r="M225" s="72">
        <v>46171</v>
      </c>
      <c r="N225" s="72">
        <f t="shared" si="236"/>
        <v>46269</v>
      </c>
      <c r="O225" s="72">
        <f t="shared" si="237"/>
        <v>46269</v>
      </c>
      <c r="P225" s="72"/>
      <c r="Q225" s="72">
        <f t="shared" si="238"/>
        <v>46311</v>
      </c>
      <c r="R225" s="72">
        <f t="shared" si="239"/>
        <v>46311</v>
      </c>
      <c r="S225" s="72"/>
      <c r="T225" s="72">
        <f t="shared" si="240"/>
        <v>46325</v>
      </c>
      <c r="U225" s="72">
        <f t="shared" si="241"/>
        <v>46325</v>
      </c>
      <c r="V225" s="72"/>
      <c r="X225" s="185" t="str">
        <f t="shared" ca="1" si="287"/>
        <v>Completed</v>
      </c>
      <c r="Y225" s="185" t="str">
        <f t="shared" ca="1" si="288"/>
        <v/>
      </c>
      <c r="Z225" s="185" t="str">
        <f t="shared" ca="1" si="289"/>
        <v/>
      </c>
      <c r="AA225" s="186" t="str">
        <f t="shared" ca="1" si="290"/>
        <v/>
      </c>
    </row>
    <row r="226" spans="1:27" s="64" customFormat="1" ht="9.5" customHeight="1" x14ac:dyDescent="0.25">
      <c r="A226" s="70" t="s">
        <v>61</v>
      </c>
      <c r="B226" s="70" t="s">
        <v>62</v>
      </c>
      <c r="C226" s="70" t="s">
        <v>94</v>
      </c>
      <c r="D226" s="75" t="s">
        <v>396</v>
      </c>
      <c r="E226" s="75" t="s">
        <v>214</v>
      </c>
      <c r="F226" s="116">
        <f t="shared" si="273"/>
        <v>0.5</v>
      </c>
      <c r="G226" s="116">
        <f t="shared" si="273"/>
        <v>0.5</v>
      </c>
      <c r="H226" s="116">
        <f t="shared" si="273"/>
        <v>0.5</v>
      </c>
      <c r="I226" s="116">
        <f t="shared" si="234"/>
        <v>0</v>
      </c>
      <c r="J226" s="81">
        <v>0.1</v>
      </c>
      <c r="K226" s="72">
        <v>46227</v>
      </c>
      <c r="L226" s="72">
        <f t="shared" si="235"/>
        <v>46227</v>
      </c>
      <c r="M226" s="72">
        <v>46171</v>
      </c>
      <c r="N226" s="72">
        <f t="shared" si="236"/>
        <v>46269</v>
      </c>
      <c r="O226" s="72">
        <f t="shared" si="237"/>
        <v>46269</v>
      </c>
      <c r="P226" s="72"/>
      <c r="Q226" s="72">
        <f t="shared" si="238"/>
        <v>46311</v>
      </c>
      <c r="R226" s="72">
        <f t="shared" si="239"/>
        <v>46311</v>
      </c>
      <c r="S226" s="72"/>
      <c r="T226" s="72">
        <f t="shared" si="240"/>
        <v>46325</v>
      </c>
      <c r="U226" s="72">
        <f t="shared" si="241"/>
        <v>46325</v>
      </c>
      <c r="V226" s="72"/>
      <c r="X226" s="185" t="str">
        <f t="shared" ca="1" si="287"/>
        <v>Completed</v>
      </c>
      <c r="Y226" s="185" t="str">
        <f t="shared" ca="1" si="288"/>
        <v/>
      </c>
      <c r="Z226" s="185" t="str">
        <f t="shared" ca="1" si="289"/>
        <v/>
      </c>
      <c r="AA226" s="186" t="str">
        <f t="shared" ca="1" si="290"/>
        <v/>
      </c>
    </row>
    <row r="227" spans="1:27" s="64" customFormat="1" ht="9.5" customHeight="1" x14ac:dyDescent="0.25">
      <c r="A227" s="70" t="s">
        <v>61</v>
      </c>
      <c r="B227" s="70" t="s">
        <v>62</v>
      </c>
      <c r="C227" s="70" t="s">
        <v>94</v>
      </c>
      <c r="D227" s="75" t="s">
        <v>397</v>
      </c>
      <c r="E227" s="75" t="s">
        <v>215</v>
      </c>
      <c r="F227" s="116">
        <f t="shared" si="273"/>
        <v>0.5</v>
      </c>
      <c r="G227" s="116">
        <f t="shared" si="273"/>
        <v>0.5</v>
      </c>
      <c r="H227" s="116">
        <f t="shared" si="273"/>
        <v>0</v>
      </c>
      <c r="I227" s="116">
        <f t="shared" si="234"/>
        <v>-0.5</v>
      </c>
      <c r="J227" s="81">
        <v>0.1</v>
      </c>
      <c r="K227" s="72">
        <v>46227</v>
      </c>
      <c r="L227" s="72">
        <f t="shared" si="235"/>
        <v>46227</v>
      </c>
      <c r="M227" s="72"/>
      <c r="N227" s="72">
        <f t="shared" si="236"/>
        <v>46269</v>
      </c>
      <c r="O227" s="72">
        <f t="shared" si="237"/>
        <v>46269</v>
      </c>
      <c r="P227" s="72"/>
      <c r="Q227" s="72">
        <f t="shared" si="238"/>
        <v>46311</v>
      </c>
      <c r="R227" s="72">
        <f t="shared" si="239"/>
        <v>46311</v>
      </c>
      <c r="S227" s="72"/>
      <c r="T227" s="72">
        <f t="shared" si="240"/>
        <v>46325</v>
      </c>
      <c r="U227" s="72">
        <f t="shared" si="241"/>
        <v>46325</v>
      </c>
      <c r="V227" s="72"/>
      <c r="X227" s="185" t="str">
        <f t="shared" ca="1" si="287"/>
        <v>Overdue</v>
      </c>
      <c r="Y227" s="185" t="str">
        <f t="shared" ca="1" si="288"/>
        <v/>
      </c>
      <c r="Z227" s="185" t="str">
        <f t="shared" ca="1" si="289"/>
        <v/>
      </c>
      <c r="AA227" s="186" t="str">
        <f t="shared" ca="1" si="290"/>
        <v/>
      </c>
    </row>
    <row r="228" spans="1:27" s="64" customFormat="1" ht="9.5" customHeight="1" x14ac:dyDescent="0.25">
      <c r="A228" s="70" t="s">
        <v>61</v>
      </c>
      <c r="B228" s="70" t="s">
        <v>62</v>
      </c>
      <c r="C228" s="70" t="s">
        <v>94</v>
      </c>
      <c r="D228" s="75" t="s">
        <v>398</v>
      </c>
      <c r="E228" s="75" t="s">
        <v>216</v>
      </c>
      <c r="F228" s="116">
        <f t="shared" si="273"/>
        <v>0.5</v>
      </c>
      <c r="G228" s="116">
        <f t="shared" si="273"/>
        <v>0.5</v>
      </c>
      <c r="H228" s="116">
        <f t="shared" si="273"/>
        <v>0</v>
      </c>
      <c r="I228" s="116">
        <f t="shared" si="234"/>
        <v>-0.5</v>
      </c>
      <c r="J228" s="81">
        <v>0.1</v>
      </c>
      <c r="K228" s="72">
        <v>46227</v>
      </c>
      <c r="L228" s="72">
        <f t="shared" si="235"/>
        <v>46227</v>
      </c>
      <c r="M228" s="72"/>
      <c r="N228" s="72">
        <f t="shared" si="236"/>
        <v>46269</v>
      </c>
      <c r="O228" s="72">
        <f t="shared" si="237"/>
        <v>46269</v>
      </c>
      <c r="P228" s="72"/>
      <c r="Q228" s="72">
        <f t="shared" si="238"/>
        <v>46311</v>
      </c>
      <c r="R228" s="72">
        <f t="shared" si="239"/>
        <v>46311</v>
      </c>
      <c r="S228" s="72"/>
      <c r="T228" s="72">
        <f t="shared" si="240"/>
        <v>46325</v>
      </c>
      <c r="U228" s="72">
        <f t="shared" si="241"/>
        <v>46325</v>
      </c>
      <c r="V228" s="72"/>
      <c r="X228" s="185" t="str">
        <f t="shared" ca="1" si="287"/>
        <v>Overdue</v>
      </c>
      <c r="Y228" s="185" t="str">
        <f t="shared" ca="1" si="288"/>
        <v/>
      </c>
      <c r="Z228" s="185" t="str">
        <f t="shared" ca="1" si="289"/>
        <v/>
      </c>
      <c r="AA228" s="186" t="str">
        <f t="shared" ca="1" si="290"/>
        <v/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94</v>
      </c>
      <c r="D229" s="75" t="s">
        <v>399</v>
      </c>
      <c r="E229" s="75" t="s">
        <v>217</v>
      </c>
      <c r="F229" s="116">
        <f t="shared" si="273"/>
        <v>0.5</v>
      </c>
      <c r="G229" s="116">
        <f t="shared" si="273"/>
        <v>0.5</v>
      </c>
      <c r="H229" s="116">
        <f t="shared" si="273"/>
        <v>0.5</v>
      </c>
      <c r="I229" s="116">
        <f t="shared" si="234"/>
        <v>0</v>
      </c>
      <c r="J229" s="81">
        <v>0.1</v>
      </c>
      <c r="K229" s="72">
        <v>46227</v>
      </c>
      <c r="L229" s="72">
        <f t="shared" si="235"/>
        <v>46227</v>
      </c>
      <c r="M229" s="72">
        <v>46185</v>
      </c>
      <c r="N229" s="72">
        <f t="shared" si="236"/>
        <v>46269</v>
      </c>
      <c r="O229" s="72">
        <f t="shared" si="237"/>
        <v>46269</v>
      </c>
      <c r="P229" s="72"/>
      <c r="Q229" s="72">
        <f t="shared" si="238"/>
        <v>46311</v>
      </c>
      <c r="R229" s="72">
        <f t="shared" si="239"/>
        <v>46311</v>
      </c>
      <c r="S229" s="72"/>
      <c r="T229" s="72">
        <f t="shared" si="240"/>
        <v>46325</v>
      </c>
      <c r="U229" s="72">
        <f t="shared" si="241"/>
        <v>46325</v>
      </c>
      <c r="V229" s="72"/>
      <c r="X229" s="185" t="str">
        <f t="shared" ca="1" si="287"/>
        <v>Completed</v>
      </c>
      <c r="Y229" s="185" t="str">
        <f t="shared" ca="1" si="288"/>
        <v/>
      </c>
      <c r="Z229" s="185" t="str">
        <f t="shared" ca="1" si="289"/>
        <v/>
      </c>
      <c r="AA229" s="186" t="str">
        <f t="shared" ca="1" si="290"/>
        <v/>
      </c>
    </row>
    <row r="230" spans="1:27" s="64" customFormat="1" ht="9.5" customHeight="1" x14ac:dyDescent="0.25">
      <c r="A230" s="70" t="s">
        <v>61</v>
      </c>
      <c r="B230" s="70" t="s">
        <v>62</v>
      </c>
      <c r="C230" s="70" t="s">
        <v>94</v>
      </c>
      <c r="D230" s="75" t="s">
        <v>400</v>
      </c>
      <c r="E230" s="75" t="s">
        <v>218</v>
      </c>
      <c r="F230" s="116">
        <f t="shared" si="273"/>
        <v>0.5</v>
      </c>
      <c r="G230" s="116">
        <f t="shared" si="273"/>
        <v>0.5</v>
      </c>
      <c r="H230" s="116">
        <f t="shared" si="273"/>
        <v>0.7</v>
      </c>
      <c r="I230" s="116">
        <f t="shared" si="234"/>
        <v>0.19999999999999996</v>
      </c>
      <c r="J230" s="81">
        <v>0.1</v>
      </c>
      <c r="K230" s="72">
        <v>46227</v>
      </c>
      <c r="L230" s="72">
        <f t="shared" si="235"/>
        <v>46227</v>
      </c>
      <c r="M230" s="72">
        <v>46185</v>
      </c>
      <c r="N230" s="72">
        <f t="shared" si="236"/>
        <v>46269</v>
      </c>
      <c r="O230" s="72">
        <f t="shared" si="237"/>
        <v>46269</v>
      </c>
      <c r="P230" s="72">
        <v>46192</v>
      </c>
      <c r="Q230" s="72">
        <f t="shared" si="238"/>
        <v>46311</v>
      </c>
      <c r="R230" s="72">
        <f t="shared" si="239"/>
        <v>46311</v>
      </c>
      <c r="S230" s="74"/>
      <c r="T230" s="72">
        <f t="shared" si="240"/>
        <v>46325</v>
      </c>
      <c r="U230" s="72">
        <f t="shared" si="241"/>
        <v>46325</v>
      </c>
      <c r="V230" s="72"/>
      <c r="X230" s="185" t="str">
        <f t="shared" ca="1" si="287"/>
        <v>Completed</v>
      </c>
      <c r="Y230" s="185" t="str">
        <f t="shared" ca="1" si="288"/>
        <v>Completed</v>
      </c>
      <c r="Z230" s="185" t="str">
        <f t="shared" ca="1" si="289"/>
        <v/>
      </c>
      <c r="AA230" s="186" t="str">
        <f t="shared" ca="1" si="290"/>
        <v/>
      </c>
    </row>
    <row r="231" spans="1:27" s="64" customFormat="1" ht="9.5" customHeight="1" x14ac:dyDescent="0.25">
      <c r="A231" s="70" t="s">
        <v>61</v>
      </c>
      <c r="B231" s="70" t="s">
        <v>62</v>
      </c>
      <c r="C231" s="70" t="s">
        <v>94</v>
      </c>
      <c r="D231" s="75" t="s">
        <v>401</v>
      </c>
      <c r="E231" s="75" t="s">
        <v>219</v>
      </c>
      <c r="F231" s="116">
        <f t="shared" si="273"/>
        <v>0.5</v>
      </c>
      <c r="G231" s="116">
        <f t="shared" si="273"/>
        <v>0.5</v>
      </c>
      <c r="H231" s="116">
        <f t="shared" si="273"/>
        <v>0.5</v>
      </c>
      <c r="I231" s="116">
        <f t="shared" si="234"/>
        <v>0</v>
      </c>
      <c r="J231" s="81">
        <v>0.1</v>
      </c>
      <c r="K231" s="72">
        <v>46227</v>
      </c>
      <c r="L231" s="72">
        <f t="shared" si="235"/>
        <v>46227</v>
      </c>
      <c r="M231" s="72">
        <v>46171</v>
      </c>
      <c r="N231" s="72">
        <f t="shared" si="236"/>
        <v>46269</v>
      </c>
      <c r="O231" s="72">
        <f t="shared" si="237"/>
        <v>46269</v>
      </c>
      <c r="P231" s="72"/>
      <c r="Q231" s="72">
        <f t="shared" si="238"/>
        <v>46311</v>
      </c>
      <c r="R231" s="72">
        <f t="shared" si="239"/>
        <v>46311</v>
      </c>
      <c r="S231" s="74"/>
      <c r="T231" s="72">
        <f t="shared" si="240"/>
        <v>46325</v>
      </c>
      <c r="U231" s="72">
        <f t="shared" si="241"/>
        <v>46325</v>
      </c>
      <c r="V231" s="72"/>
      <c r="X231" s="185" t="str">
        <f t="shared" ca="1" si="287"/>
        <v>Completed</v>
      </c>
      <c r="Y231" s="185" t="str">
        <f t="shared" ca="1" si="288"/>
        <v/>
      </c>
      <c r="Z231" s="185" t="str">
        <f t="shared" ca="1" si="289"/>
        <v/>
      </c>
      <c r="AA231" s="186" t="str">
        <f t="shared" ca="1" si="290"/>
        <v/>
      </c>
    </row>
    <row r="232" spans="1:27" s="64" customFormat="1" ht="9.5" customHeight="1" x14ac:dyDescent="0.25">
      <c r="A232" s="70" t="s">
        <v>61</v>
      </c>
      <c r="B232" s="70" t="s">
        <v>62</v>
      </c>
      <c r="C232" s="70" t="s">
        <v>94</v>
      </c>
      <c r="D232" s="75" t="s">
        <v>402</v>
      </c>
      <c r="E232" s="75" t="s">
        <v>220</v>
      </c>
      <c r="F232" s="116">
        <f t="shared" si="273"/>
        <v>0.5</v>
      </c>
      <c r="G232" s="116">
        <f t="shared" si="273"/>
        <v>0.5</v>
      </c>
      <c r="H232" s="116">
        <f t="shared" si="273"/>
        <v>0.5</v>
      </c>
      <c r="I232" s="116">
        <f t="shared" si="234"/>
        <v>0</v>
      </c>
      <c r="J232" s="81">
        <v>0.1</v>
      </c>
      <c r="K232" s="72">
        <v>46227</v>
      </c>
      <c r="L232" s="72">
        <f t="shared" si="235"/>
        <v>46227</v>
      </c>
      <c r="M232" s="72">
        <v>46171</v>
      </c>
      <c r="N232" s="72">
        <f t="shared" si="236"/>
        <v>46269</v>
      </c>
      <c r="O232" s="72">
        <f t="shared" si="237"/>
        <v>46269</v>
      </c>
      <c r="P232" s="72"/>
      <c r="Q232" s="72">
        <f t="shared" si="238"/>
        <v>46311</v>
      </c>
      <c r="R232" s="72">
        <f t="shared" si="239"/>
        <v>46311</v>
      </c>
      <c r="S232" s="74"/>
      <c r="T232" s="72">
        <f t="shared" si="240"/>
        <v>46325</v>
      </c>
      <c r="U232" s="72">
        <f t="shared" si="241"/>
        <v>46325</v>
      </c>
      <c r="V232" s="72"/>
      <c r="X232" s="185" t="str">
        <f t="shared" ca="1" si="287"/>
        <v>Completed</v>
      </c>
      <c r="Y232" s="185" t="str">
        <f t="shared" ca="1" si="288"/>
        <v/>
      </c>
      <c r="Z232" s="185" t="str">
        <f t="shared" ca="1" si="289"/>
        <v/>
      </c>
      <c r="AA232" s="186" t="str">
        <f t="shared" ca="1" si="290"/>
        <v/>
      </c>
    </row>
    <row r="233" spans="1:27" s="64" customFormat="1" ht="9.5" customHeight="1" x14ac:dyDescent="0.25">
      <c r="A233" s="70" t="s">
        <v>61</v>
      </c>
      <c r="B233" s="70" t="s">
        <v>62</v>
      </c>
      <c r="C233" s="70" t="s">
        <v>94</v>
      </c>
      <c r="D233" s="75" t="s">
        <v>403</v>
      </c>
      <c r="E233" s="75" t="s">
        <v>221</v>
      </c>
      <c r="F233" s="116">
        <f t="shared" si="273"/>
        <v>0.5</v>
      </c>
      <c r="G233" s="116">
        <f t="shared" si="273"/>
        <v>0.5</v>
      </c>
      <c r="H233" s="116">
        <f t="shared" si="273"/>
        <v>0.5</v>
      </c>
      <c r="I233" s="116">
        <f t="shared" si="234"/>
        <v>0</v>
      </c>
      <c r="J233" s="81">
        <v>0.1</v>
      </c>
      <c r="K233" s="72">
        <v>46227</v>
      </c>
      <c r="L233" s="72">
        <f t="shared" si="235"/>
        <v>46227</v>
      </c>
      <c r="M233" s="72">
        <v>46171</v>
      </c>
      <c r="N233" s="72">
        <f t="shared" si="236"/>
        <v>46269</v>
      </c>
      <c r="O233" s="72">
        <f t="shared" si="237"/>
        <v>46269</v>
      </c>
      <c r="P233" s="72"/>
      <c r="Q233" s="72">
        <f t="shared" si="238"/>
        <v>46311</v>
      </c>
      <c r="R233" s="72">
        <f t="shared" si="239"/>
        <v>46311</v>
      </c>
      <c r="S233" s="74"/>
      <c r="T233" s="72">
        <f t="shared" si="240"/>
        <v>46325</v>
      </c>
      <c r="U233" s="72">
        <f t="shared" si="241"/>
        <v>46325</v>
      </c>
      <c r="V233" s="72"/>
      <c r="X233" s="185" t="str">
        <f t="shared" ca="1" si="287"/>
        <v>Completed</v>
      </c>
      <c r="Y233" s="185" t="str">
        <f t="shared" ca="1" si="288"/>
        <v/>
      </c>
      <c r="Z233" s="185" t="str">
        <f t="shared" ca="1" si="289"/>
        <v/>
      </c>
      <c r="AA233" s="186" t="str">
        <f t="shared" ca="1" si="290"/>
        <v/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94</v>
      </c>
      <c r="D234" s="75" t="s">
        <v>404</v>
      </c>
      <c r="E234" s="75" t="s">
        <v>222</v>
      </c>
      <c r="F234" s="116">
        <f t="shared" si="273"/>
        <v>0.5</v>
      </c>
      <c r="G234" s="116">
        <f t="shared" si="273"/>
        <v>0.5</v>
      </c>
      <c r="H234" s="116">
        <f t="shared" si="273"/>
        <v>0.5</v>
      </c>
      <c r="I234" s="116">
        <f t="shared" si="234"/>
        <v>0</v>
      </c>
      <c r="J234" s="81">
        <v>0.1</v>
      </c>
      <c r="K234" s="72">
        <v>46227</v>
      </c>
      <c r="L234" s="72">
        <f t="shared" si="235"/>
        <v>46227</v>
      </c>
      <c r="M234" s="72">
        <v>46171</v>
      </c>
      <c r="N234" s="72">
        <f t="shared" si="236"/>
        <v>46269</v>
      </c>
      <c r="O234" s="72">
        <f t="shared" si="237"/>
        <v>46269</v>
      </c>
      <c r="P234" s="72"/>
      <c r="Q234" s="72">
        <f t="shared" si="238"/>
        <v>46311</v>
      </c>
      <c r="R234" s="72">
        <f t="shared" si="239"/>
        <v>46311</v>
      </c>
      <c r="S234" s="74"/>
      <c r="T234" s="72">
        <f t="shared" si="240"/>
        <v>46325</v>
      </c>
      <c r="U234" s="72">
        <f t="shared" si="241"/>
        <v>46325</v>
      </c>
      <c r="V234" s="72"/>
      <c r="X234" s="185" t="str">
        <f t="shared" ca="1" si="287"/>
        <v>Completed</v>
      </c>
      <c r="Y234" s="185" t="str">
        <f t="shared" ca="1" si="288"/>
        <v/>
      </c>
      <c r="Z234" s="185" t="str">
        <f t="shared" ca="1" si="289"/>
        <v/>
      </c>
      <c r="AA234" s="186" t="str">
        <f t="shared" ca="1" si="290"/>
        <v/>
      </c>
    </row>
    <row r="235" spans="1:27" s="64" customFormat="1" ht="9.5" customHeight="1" x14ac:dyDescent="0.25">
      <c r="A235" s="70" t="s">
        <v>61</v>
      </c>
      <c r="B235" s="70" t="s">
        <v>62</v>
      </c>
      <c r="C235" s="70" t="s">
        <v>94</v>
      </c>
      <c r="D235" s="75" t="s">
        <v>405</v>
      </c>
      <c r="E235" s="75" t="s">
        <v>223</v>
      </c>
      <c r="F235" s="116">
        <f t="shared" si="273"/>
        <v>0.7</v>
      </c>
      <c r="G235" s="116">
        <f t="shared" si="273"/>
        <v>0.7</v>
      </c>
      <c r="H235" s="116">
        <f t="shared" si="273"/>
        <v>0.5</v>
      </c>
      <c r="I235" s="116">
        <f t="shared" si="234"/>
        <v>-0.19999999999999996</v>
      </c>
      <c r="J235" s="81">
        <v>0.1</v>
      </c>
      <c r="K235" s="72">
        <v>46185</v>
      </c>
      <c r="L235" s="72">
        <f t="shared" si="235"/>
        <v>46185</v>
      </c>
      <c r="M235" s="72">
        <v>46185</v>
      </c>
      <c r="N235" s="72">
        <f t="shared" si="236"/>
        <v>46227</v>
      </c>
      <c r="O235" s="72">
        <f t="shared" si="237"/>
        <v>46227</v>
      </c>
      <c r="P235" s="72"/>
      <c r="Q235" s="72">
        <f t="shared" si="238"/>
        <v>46269</v>
      </c>
      <c r="R235" s="72">
        <f t="shared" si="239"/>
        <v>46269</v>
      </c>
      <c r="S235" s="74"/>
      <c r="T235" s="72">
        <f t="shared" si="240"/>
        <v>46283</v>
      </c>
      <c r="U235" s="72">
        <f t="shared" si="241"/>
        <v>46283</v>
      </c>
      <c r="V235" s="107"/>
      <c r="X235" s="185" t="str">
        <f t="shared" ca="1" si="287"/>
        <v>Completed</v>
      </c>
      <c r="Y235" s="185" t="str">
        <f t="shared" ca="1" si="288"/>
        <v>Overdue</v>
      </c>
      <c r="Z235" s="185" t="str">
        <f t="shared" ca="1" si="289"/>
        <v/>
      </c>
      <c r="AA235" s="186" t="str">
        <f t="shared" ca="1" si="290"/>
        <v/>
      </c>
    </row>
    <row r="236" spans="1:27" s="64" customFormat="1" ht="9.5" customHeight="1" x14ac:dyDescent="0.25">
      <c r="A236" s="70" t="s">
        <v>61</v>
      </c>
      <c r="B236" s="70" t="s">
        <v>62</v>
      </c>
      <c r="C236" s="80" t="s">
        <v>94</v>
      </c>
      <c r="D236" s="124" t="s">
        <v>406</v>
      </c>
      <c r="E236" s="124" t="s">
        <v>224</v>
      </c>
      <c r="F236" s="125">
        <f t="shared" ref="F236" si="301">(COUNTIFS(K236,"&lt;="&amp;$D$1)*50%)+(COUNTIFS(N236,"&lt;="&amp;$D$1)*20%)+(COUNTIFS(Q236,"&lt;="&amp;$D$1)*10%)+(COUNTIFS(T236,"&lt;="&amp;$D$1)*20%)</f>
        <v>0.7</v>
      </c>
      <c r="G236" s="125">
        <f t="shared" ref="G236" si="302">(COUNTIFS(L236,"&lt;="&amp;$D$1)*50%)+(COUNTIFS(O236,"&lt;="&amp;$D$1)*20%)+(COUNTIFS(R236,"&lt;="&amp;$D$1)*10%)+(COUNTIFS(U236,"&lt;="&amp;$D$1)*20%)</f>
        <v>0.7</v>
      </c>
      <c r="H236" s="125">
        <f t="shared" ref="H236" si="303">(COUNTIFS(M236,"&lt;="&amp;$D$1)*50%)+(COUNTIFS(P236,"&lt;="&amp;$D$1)*20%)+(COUNTIFS(S236,"&lt;="&amp;$D$1)*10%)+(COUNTIFS(V236,"&lt;="&amp;$D$1)*20%)</f>
        <v>0.5</v>
      </c>
      <c r="I236" s="125">
        <f t="shared" ref="I236" si="304">H236-F236</f>
        <v>-0.19999999999999996</v>
      </c>
      <c r="J236" s="81">
        <v>0.1</v>
      </c>
      <c r="K236" s="74">
        <v>46185</v>
      </c>
      <c r="L236" s="74">
        <f t="shared" si="235"/>
        <v>46185</v>
      </c>
      <c r="M236" s="72">
        <v>46185</v>
      </c>
      <c r="N236" s="74">
        <f t="shared" si="236"/>
        <v>46227</v>
      </c>
      <c r="O236" s="74">
        <f t="shared" si="237"/>
        <v>46227</v>
      </c>
      <c r="P236" s="74"/>
      <c r="Q236" s="74">
        <f t="shared" si="238"/>
        <v>46269</v>
      </c>
      <c r="R236" s="74">
        <f t="shared" si="239"/>
        <v>46269</v>
      </c>
      <c r="S236" s="74"/>
      <c r="T236" s="74">
        <f t="shared" si="240"/>
        <v>46283</v>
      </c>
      <c r="U236" s="74">
        <f t="shared" si="241"/>
        <v>46283</v>
      </c>
      <c r="V236" s="74"/>
      <c r="X236" s="185" t="str">
        <f t="shared" ca="1" si="287"/>
        <v>Completed</v>
      </c>
      <c r="Y236" s="185" t="str">
        <f t="shared" ca="1" si="288"/>
        <v>Overdue</v>
      </c>
      <c r="Z236" s="185" t="str">
        <f t="shared" ca="1" si="289"/>
        <v/>
      </c>
      <c r="AA236" s="186" t="str">
        <f t="shared" ca="1" si="290"/>
        <v/>
      </c>
    </row>
    <row r="237" spans="1:27" s="64" customFormat="1" ht="9.5" customHeight="1" x14ac:dyDescent="0.25">
      <c r="A237" s="70" t="s">
        <v>61</v>
      </c>
      <c r="B237" s="70" t="s">
        <v>62</v>
      </c>
      <c r="C237" s="70" t="s">
        <v>94</v>
      </c>
      <c r="D237" s="124" t="s">
        <v>471</v>
      </c>
      <c r="E237" s="124" t="s">
        <v>472</v>
      </c>
      <c r="F237" s="125">
        <f t="shared" ref="F237" si="305">(COUNTIFS(K237,"&lt;="&amp;$D$1)*50%)+(COUNTIFS(N237,"&lt;="&amp;$D$1)*20%)+(COUNTIFS(Q237,"&lt;="&amp;$D$1)*10%)+(COUNTIFS(T237,"&lt;="&amp;$D$1)*20%)</f>
        <v>0.7</v>
      </c>
      <c r="G237" s="125">
        <f t="shared" ref="G237" si="306">(COUNTIFS(L237,"&lt;="&amp;$D$1)*50%)+(COUNTIFS(O237,"&lt;="&amp;$D$1)*20%)+(COUNTIFS(R237,"&lt;="&amp;$D$1)*10%)+(COUNTIFS(U237,"&lt;="&amp;$D$1)*20%)</f>
        <v>0.7</v>
      </c>
      <c r="H237" s="125">
        <f t="shared" ref="H237" si="307">(COUNTIFS(M237,"&lt;="&amp;$D$1)*50%)+(COUNTIFS(P237,"&lt;="&amp;$D$1)*20%)+(COUNTIFS(S237,"&lt;="&amp;$D$1)*10%)+(COUNTIFS(V237,"&lt;="&amp;$D$1)*20%)</f>
        <v>0.5</v>
      </c>
      <c r="I237" s="125">
        <f t="shared" ref="I237" si="308">H237-F237</f>
        <v>-0.19999999999999996</v>
      </c>
      <c r="J237" s="81">
        <v>0.1</v>
      </c>
      <c r="K237" s="74">
        <v>46185</v>
      </c>
      <c r="L237" s="74">
        <f t="shared" ref="L237" si="309">K237</f>
        <v>46185</v>
      </c>
      <c r="M237" s="72">
        <v>46185</v>
      </c>
      <c r="N237" s="74">
        <f t="shared" ref="N237" si="310">K237+42</f>
        <v>46227</v>
      </c>
      <c r="O237" s="74">
        <f t="shared" ref="O237" si="311">N237</f>
        <v>46227</v>
      </c>
      <c r="P237" s="74"/>
      <c r="Q237" s="74">
        <f t="shared" ref="Q237" si="312">N237+42</f>
        <v>46269</v>
      </c>
      <c r="R237" s="74">
        <f t="shared" ref="R237" si="313">Q237</f>
        <v>46269</v>
      </c>
      <c r="S237" s="74"/>
      <c r="T237" s="74">
        <f t="shared" ref="T237" si="314">Q237+14</f>
        <v>46283</v>
      </c>
      <c r="U237" s="74">
        <f t="shared" ref="U237" si="315">T237</f>
        <v>46283</v>
      </c>
      <c r="V237" s="74"/>
      <c r="X237" s="185" t="str">
        <f t="shared" ca="1" si="287"/>
        <v>Completed</v>
      </c>
      <c r="Y237" s="185" t="str">
        <f t="shared" ca="1" si="288"/>
        <v>Overdue</v>
      </c>
      <c r="Z237" s="185" t="str">
        <f t="shared" ca="1" si="289"/>
        <v/>
      </c>
      <c r="AA237" s="186" t="str">
        <f t="shared" ca="1" si="290"/>
        <v/>
      </c>
    </row>
    <row r="238" spans="1:27" s="64" customFormat="1" ht="10.5" customHeight="1" x14ac:dyDescent="0.25">
      <c r="A238" s="70" t="s">
        <v>61</v>
      </c>
      <c r="B238" s="70" t="s">
        <v>58</v>
      </c>
      <c r="C238" s="70" t="s">
        <v>94</v>
      </c>
      <c r="D238" s="75" t="s">
        <v>241</v>
      </c>
      <c r="E238" s="75" t="s">
        <v>59</v>
      </c>
      <c r="F238" s="116">
        <f t="shared" ref="F238:H241" si="316">(COUNTIFS(K238,"&lt;="&amp;$D$1)*50%)+(COUNTIFS(N238,"&lt;="&amp;$D$1)*20%)+(COUNTIFS(Q238,"&lt;="&amp;$D$1)*10%)+(COUNTIFS(T238,"&lt;="&amp;$D$1)*20%)</f>
        <v>0</v>
      </c>
      <c r="G238" s="116">
        <f t="shared" si="316"/>
        <v>0</v>
      </c>
      <c r="H238" s="116">
        <f t="shared" si="316"/>
        <v>0</v>
      </c>
      <c r="I238" s="116">
        <f t="shared" ref="I238:I240" si="317">H238-F238</f>
        <v>0</v>
      </c>
      <c r="J238" s="89">
        <v>1.5</v>
      </c>
      <c r="K238" s="72"/>
      <c r="L238" s="72"/>
      <c r="M238" s="76"/>
      <c r="N238" s="72"/>
      <c r="O238" s="72"/>
      <c r="P238" s="76"/>
      <c r="Q238" s="72"/>
      <c r="R238" s="72"/>
      <c r="S238" s="76"/>
      <c r="T238" s="72"/>
      <c r="U238" s="72"/>
      <c r="V238" s="72"/>
      <c r="X238" s="185" t="str">
        <f ca="1">IF(OR(M240&lt;&gt;""),"Completed",
IF(L240="","",IF(L240&lt;TODAY(),"Overdue",
IF(AND(L240&gt;=TODAY()-WEEKDAY(TODAY(),2)+1,L240&lt;=TODAY()-WEEKDAY(TODAY(),2)+7),"Follow-This Week",
IF(AND(L240&gt;=TODAY()-WEEKDAY(TODAY(),2)+8,L240&lt;=TODAY()-WEEKDAY(TODAY(),2)+14),"Follow-Next Week","")))))</f>
        <v/>
      </c>
      <c r="Y238" s="185" t="str">
        <f ca="1">IF(OR(P240&lt;&gt;""),"Completed",IF(O240="","",
IF(O240&lt;TODAY(),"Overdue",
IF(AND(O240&gt;=TODAY()-WEEKDAY(TODAY(),2)+1,O240&lt;=TODAY()-WEEKDAY(TODAY(),2)+7),"Follow-This Week",
IF(AND(O240&gt;=TODAY()-WEEKDAY(TODAY(),2)+8,O240&lt;=TODAY()-WEEKDAY(TODAY(),2)+14),"Follow-Next Week","")))))</f>
        <v/>
      </c>
      <c r="Z238" s="185" t="str">
        <f ca="1">IF(OR(S240&lt;&gt;""),"Completed",IF(R240="","",
IF(R240&lt;TODAY(),"Overdue",
IF(AND(R240&gt;=TODAY()-WEEKDAY(TODAY(),2)+1,R240&lt;=TODAY()-WEEKDAY(TODAY(),2)+7),"Follow-This Week",
IF(AND(R240&gt;=TODAY()-WEEKDAY(TODAY(),2)+8,R240&lt;=TODAY()-WEEKDAY(TODAY(),2)+14),"Follow-Next Week","")))))</f>
        <v/>
      </c>
      <c r="AA238" s="186" t="str">
        <f ca="1">IF(OR(V240&lt;&gt;""),"Completed",IF(U240="","",
IF(U240&lt;TODAY(),"Overdue",
IF(AND(U240&gt;=TODAY()-WEEKDAY(TODAY(),2)+1,U240&lt;=TODAY()-WEEKDAY(TODAY(),2)+7),"Follow-This Week",
IF(AND(U240&gt;=TODAY()-WEEKDAY(TODAY(),2)+8,U240&lt;=TODAY()-WEEKDAY(TODAY(),2)+14),"Follow-Next Week","")))))</f>
        <v/>
      </c>
    </row>
    <row r="239" spans="1:27" s="64" customFormat="1" ht="10.5" customHeight="1" x14ac:dyDescent="0.25">
      <c r="A239" s="70" t="s">
        <v>61</v>
      </c>
      <c r="B239" s="70" t="s">
        <v>58</v>
      </c>
      <c r="C239" s="80" t="s">
        <v>94</v>
      </c>
      <c r="D239" s="75" t="s">
        <v>242</v>
      </c>
      <c r="E239" s="75" t="s">
        <v>59</v>
      </c>
      <c r="F239" s="116">
        <f t="shared" si="316"/>
        <v>0</v>
      </c>
      <c r="G239" s="116">
        <f t="shared" si="316"/>
        <v>0</v>
      </c>
      <c r="H239" s="116">
        <f t="shared" si="316"/>
        <v>0</v>
      </c>
      <c r="I239" s="116">
        <f t="shared" si="317"/>
        <v>0</v>
      </c>
      <c r="J239" s="89">
        <v>1.5</v>
      </c>
      <c r="K239" s="72"/>
      <c r="L239" s="72"/>
      <c r="M239" s="76"/>
      <c r="N239" s="72"/>
      <c r="O239" s="72"/>
      <c r="P239" s="76"/>
      <c r="Q239" s="72"/>
      <c r="R239" s="72"/>
      <c r="S239" s="76"/>
      <c r="T239" s="72"/>
      <c r="U239" s="72"/>
      <c r="V239" s="72"/>
      <c r="X239" s="185" t="str">
        <f ca="1">IF(OR(M241&lt;&gt;""),"Completed",
IF(L241="","",IF(L241&lt;TODAY(),"Overdue",
IF(AND(L241&gt;=TODAY()-WEEKDAY(TODAY(),2)+1,L241&lt;=TODAY()-WEEKDAY(TODAY(),2)+7),"Follow-This Week",
IF(AND(L241&gt;=TODAY()-WEEKDAY(TODAY(),2)+8,L241&lt;=TODAY()-WEEKDAY(TODAY(),2)+14),"Follow-Next Week","")))))</f>
        <v/>
      </c>
      <c r="Y239" s="185" t="str">
        <f ca="1">IF(OR(P241&lt;&gt;""),"Completed",IF(O241="","",
IF(O241&lt;TODAY(),"Overdue",
IF(AND(O241&gt;=TODAY()-WEEKDAY(TODAY(),2)+1,O241&lt;=TODAY()-WEEKDAY(TODAY(),2)+7),"Follow-This Week",
IF(AND(O241&gt;=TODAY()-WEEKDAY(TODAY(),2)+8,O241&lt;=TODAY()-WEEKDAY(TODAY(),2)+14),"Follow-Next Week","")))))</f>
        <v/>
      </c>
      <c r="Z239" s="185" t="str">
        <f ca="1">IF(OR(S241&lt;&gt;""),"Completed",IF(R241="","",
IF(R241&lt;TODAY(),"Overdue",
IF(AND(R241&gt;=TODAY()-WEEKDAY(TODAY(),2)+1,R241&lt;=TODAY()-WEEKDAY(TODAY(),2)+7),"Follow-This Week",
IF(AND(R241&gt;=TODAY()-WEEKDAY(TODAY(),2)+8,R241&lt;=TODAY()-WEEKDAY(TODAY(),2)+14),"Follow-Next Week","")))))</f>
        <v/>
      </c>
      <c r="AA239" s="186" t="str">
        <f ca="1">IF(OR(V241&lt;&gt;""),"Completed",IF(U241="","",
IF(U241&lt;TODAY(),"Overdue",
IF(AND(U241&gt;=TODAY()-WEEKDAY(TODAY(),2)+1,U241&lt;=TODAY()-WEEKDAY(TODAY(),2)+7),"Follow-This Week",
IF(AND(U241&gt;=TODAY()-WEEKDAY(TODAY(),2)+8,U241&lt;=TODAY()-WEEKDAY(TODAY(),2)+14),"Follow-Next Week","")))))</f>
        <v/>
      </c>
    </row>
    <row r="240" spans="1:27" s="64" customFormat="1" ht="10.5" customHeight="1" x14ac:dyDescent="0.25">
      <c r="A240" s="70" t="s">
        <v>61</v>
      </c>
      <c r="B240" s="70" t="s">
        <v>58</v>
      </c>
      <c r="C240" s="70" t="s">
        <v>94</v>
      </c>
      <c r="D240" s="75" t="s">
        <v>243</v>
      </c>
      <c r="E240" s="75" t="s">
        <v>59</v>
      </c>
      <c r="F240" s="116">
        <f t="shared" si="316"/>
        <v>0</v>
      </c>
      <c r="G240" s="116">
        <f t="shared" si="316"/>
        <v>0</v>
      </c>
      <c r="H240" s="116">
        <f t="shared" si="316"/>
        <v>0</v>
      </c>
      <c r="I240" s="116">
        <f t="shared" si="317"/>
        <v>0</v>
      </c>
      <c r="J240" s="89">
        <v>1.5</v>
      </c>
      <c r="K240" s="72"/>
      <c r="L240" s="72"/>
      <c r="M240" s="76"/>
      <c r="N240" s="72"/>
      <c r="O240" s="72"/>
      <c r="P240" s="76"/>
      <c r="Q240" s="72"/>
      <c r="R240" s="72"/>
      <c r="S240" s="76"/>
      <c r="T240" s="72"/>
      <c r="U240" s="72"/>
      <c r="V240" s="72"/>
      <c r="X240" s="185" t="str">
        <f ca="1">IF(OR(M242&lt;&gt;""),"Completed",
IF(L242="","",IF(L242&lt;TODAY(),"Overdue",
IF(AND(L242&gt;=TODAY()-WEEKDAY(TODAY(),2)+1,L242&lt;=TODAY()-WEEKDAY(TODAY(),2)+7),"Follow-This Week",
IF(AND(L242&gt;=TODAY()-WEEKDAY(TODAY(),2)+8,L242&lt;=TODAY()-WEEKDAY(TODAY(),2)+14),"Follow-Next Week","")))))</f>
        <v/>
      </c>
      <c r="Y240" s="185" t="str">
        <f ca="1">IF(OR(P242&lt;&gt;""),"Completed",IF(O242="","",
IF(O242&lt;TODAY(),"Overdue",
IF(AND(O242&gt;=TODAY()-WEEKDAY(TODAY(),2)+1,O242&lt;=TODAY()-WEEKDAY(TODAY(),2)+7),"Follow-This Week",
IF(AND(O242&gt;=TODAY()-WEEKDAY(TODAY(),2)+8,O242&lt;=TODAY()-WEEKDAY(TODAY(),2)+14),"Follow-Next Week","")))))</f>
        <v/>
      </c>
      <c r="Z240" s="185" t="str">
        <f ca="1">IF(OR(S242&lt;&gt;""),"Completed",IF(R242="","",
IF(R242&lt;TODAY(),"Overdue",
IF(AND(R242&gt;=TODAY()-WEEKDAY(TODAY(),2)+1,R242&lt;=TODAY()-WEEKDAY(TODAY(),2)+7),"Follow-This Week",
IF(AND(R242&gt;=TODAY()-WEEKDAY(TODAY(),2)+8,R242&lt;=TODAY()-WEEKDAY(TODAY(),2)+14),"Follow-Next Week","")))))</f>
        <v/>
      </c>
      <c r="AA240" s="186" t="str">
        <f ca="1">IF(OR(V242&lt;&gt;""),"Completed",IF(U242="","",
IF(U242&lt;TODAY(),"Overdue",
IF(AND(U242&gt;=TODAY()-WEEKDAY(TODAY(),2)+1,U242&lt;=TODAY()-WEEKDAY(TODAY(),2)+7),"Follow-This Week",
IF(AND(U242&gt;=TODAY()-WEEKDAY(TODAY(),2)+8,U242&lt;=TODAY()-WEEKDAY(TODAY(),2)+14),"Follow-Next Week","")))))</f>
        <v/>
      </c>
    </row>
    <row r="241" spans="1:27" s="64" customFormat="1" ht="10.5" customHeight="1" thickBot="1" x14ac:dyDescent="0.3">
      <c r="A241" s="70" t="s">
        <v>61</v>
      </c>
      <c r="B241" s="70" t="s">
        <v>58</v>
      </c>
      <c r="C241" s="80" t="s">
        <v>94</v>
      </c>
      <c r="D241" s="75" t="s">
        <v>244</v>
      </c>
      <c r="E241" s="75" t="s">
        <v>59</v>
      </c>
      <c r="F241" s="116">
        <f t="shared" si="316"/>
        <v>0</v>
      </c>
      <c r="G241" s="116">
        <f t="shared" si="316"/>
        <v>0</v>
      </c>
      <c r="H241" s="116">
        <f t="shared" si="316"/>
        <v>0</v>
      </c>
      <c r="I241" s="116">
        <f t="shared" ref="I241" si="318">H241-F241</f>
        <v>0</v>
      </c>
      <c r="J241" s="90">
        <v>1.5</v>
      </c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X241" s="187" t="str">
        <f ca="1">IF(OR(M243&lt;&gt;""),"Completed",
IF(L243="","",IF(L243&lt;TODAY(),"Overdue",
IF(AND(L243&gt;=TODAY()-WEEKDAY(TODAY(),2)+1,L243&lt;=TODAY()-WEEKDAY(TODAY(),2)+7),"Follow-This Week",
IF(AND(L243&gt;=TODAY()-WEEKDAY(TODAY(),2)+8,L243&lt;=TODAY()-WEEKDAY(TODAY(),2)+14),"Follow-Next Week","")))))</f>
        <v/>
      </c>
      <c r="Y241" s="187" t="str">
        <f ca="1">IF(OR(P243&lt;&gt;""),"Completed",IF(O243="","",
IF(O243&lt;TODAY(),"Overdue",
IF(AND(O243&gt;=TODAY()-WEEKDAY(TODAY(),2)+1,O243&lt;=TODAY()-WEEKDAY(TODAY(),2)+7),"Follow-This Week",
IF(AND(O243&gt;=TODAY()-WEEKDAY(TODAY(),2)+8,O243&lt;=TODAY()-WEEKDAY(TODAY(),2)+14),"Follow-Next Week","")))))</f>
        <v/>
      </c>
      <c r="Z241" s="187" t="str">
        <f ca="1">IF(OR(S243&lt;&gt;""),"Completed",IF(R243="","",
IF(R243&lt;TODAY(),"Overdue",
IF(AND(R243&gt;=TODAY()-WEEKDAY(TODAY(),2)+1,R243&lt;=TODAY()-WEEKDAY(TODAY(),2)+7),"Follow-This Week",
IF(AND(R243&gt;=TODAY()-WEEKDAY(TODAY(),2)+8,R243&lt;=TODAY()-WEEKDAY(TODAY(),2)+14),"Follow-Next Week","")))))</f>
        <v/>
      </c>
      <c r="AA241" s="188" t="str">
        <f ca="1">IF(OR(V243&lt;&gt;""),"Completed",IF(U243="","",
IF(U243&lt;TODAY(),"Overdue",
IF(AND(U243&gt;=TODAY()-WEEKDAY(TODAY(),2)+1,U243&lt;=TODAY()-WEEKDAY(TODAY(),2)+7),"Follow-This Week",
IF(AND(U243&gt;=TODAY()-WEEKDAY(TODAY(),2)+8,U243&lt;=TODAY()-WEEKDAY(TODAY(),2)+14),"Follow-Next Week","")))))</f>
        <v/>
      </c>
    </row>
    <row r="242" spans="1:27" s="64" customFormat="1" ht="10.5" customHeight="1" x14ac:dyDescent="0.35">
      <c r="C242" s="108"/>
      <c r="D242" s="108"/>
      <c r="E242" s="77" t="s">
        <v>37</v>
      </c>
      <c r="F242" s="116"/>
      <c r="G242" s="116"/>
      <c r="H242" s="116"/>
      <c r="I242" s="116"/>
      <c r="J242" s="126">
        <f>SUM(J4:J241)</f>
        <v>100.00000000000001</v>
      </c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X242" s="178"/>
      <c r="Y242"/>
      <c r="Z242"/>
      <c r="AA242"/>
    </row>
  </sheetData>
  <autoFilter ref="A3:V242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3">
    <cfRule type="cellIs" dxfId="243" priority="453" operator="equal">
      <formula>45443</formula>
    </cfRule>
    <cfRule type="expression" dxfId="242" priority="454">
      <formula>"if $C$1&lt;"</formula>
    </cfRule>
    <cfRule type="expression" dxfId="241" priority="455">
      <formula>"if $G$4&gt;$C$1 and $H$4 is ""null"""</formula>
    </cfRule>
  </conditionalFormatting>
  <conditionalFormatting sqref="K108:K110">
    <cfRule type="cellIs" dxfId="240" priority="782" operator="equal">
      <formula>45443</formula>
    </cfRule>
    <cfRule type="expression" dxfId="239" priority="783">
      <formula>"if $G$4&gt;$C$1 and $H$4 is ""null"""</formula>
    </cfRule>
  </conditionalFormatting>
  <conditionalFormatting sqref="K4:L7 O4:O7 K8:K10 L9:L10 O9:O10 R4:R7 R9:R10 U4:U7 U9:U10">
    <cfRule type="expression" dxfId="238" priority="97">
      <formula>"if $C$1&lt;"</formula>
    </cfRule>
  </conditionalFormatting>
  <conditionalFormatting sqref="K9:L12">
    <cfRule type="expression" dxfId="237" priority="95">
      <formula>"if $G$4&gt;$C$1 and $H$4 is ""null"""</formula>
    </cfRule>
    <cfRule type="cellIs" dxfId="236" priority="94" operator="equal">
      <formula>45443</formula>
    </cfRule>
  </conditionalFormatting>
  <conditionalFormatting sqref="K53:L172 K235:L242 O11:O12 R11:R12 U11:U12 U14:U16 K14:L41 O14:O41 R14:R41 T15:T16 T17:U40 U41 T41:T69 O46 R46 O48 R48 O50 R50 O52:O177 R52:R177 L173:L177 L229:L234 O229:O237 R229:R237 N238:O241 Q238:R241 U46 U48 U50 U52:U177 U229:U241 K11:L12 K42:K52 K173:K181">
    <cfRule type="expression" dxfId="235" priority="893">
      <formula>"if $C$1&lt;"</formula>
    </cfRule>
  </conditionalFormatting>
  <conditionalFormatting sqref="K236:L237">
    <cfRule type="cellIs" dxfId="234" priority="485" operator="equal">
      <formula>45443</formula>
    </cfRule>
    <cfRule type="expression" dxfId="233" priority="487">
      <formula>"if $G$4&gt;$C$1 and $H$4 is ""null"""</formula>
    </cfRule>
  </conditionalFormatting>
  <conditionalFormatting sqref="L5:L7">
    <cfRule type="expression" dxfId="232" priority="98">
      <formula>"if $G$4&gt;$C$1 and $H$4 is ""null"""</formula>
    </cfRule>
  </conditionalFormatting>
  <conditionalFormatting sqref="L13">
    <cfRule type="expression" dxfId="231" priority="451">
      <formula>"if $C$1&lt;"</formula>
    </cfRule>
  </conditionalFormatting>
  <conditionalFormatting sqref="L13:L41 P241 O52:O177 O229:O241 O11:O41 R52:R177 R229:R242 R11:R16 U11:U16 T15:T16 S16 R17:U17 T18:U40 R18:R41 U41 T41:T69 O46 R46 O48 R48 O50:P50 R50 L53:L177 L229:L1048576 O242:P1048576">
    <cfRule type="cellIs" dxfId="230" priority="468" operator="equal">
      <formula>45443</formula>
    </cfRule>
  </conditionalFormatting>
  <conditionalFormatting sqref="L179:L180 L181:M181 K182:L183 K184:K192">
    <cfRule type="expression" dxfId="229" priority="206">
      <formula>"if $C$1&lt;"</formula>
    </cfRule>
    <cfRule type="cellIs" dxfId="228" priority="205" operator="equal">
      <formula>45443</formula>
    </cfRule>
    <cfRule type="expression" dxfId="227" priority="207">
      <formula>"if $G$4&gt;$C$1 and $H$4 is ""null"""</formula>
    </cfRule>
  </conditionalFormatting>
  <conditionalFormatting sqref="L187">
    <cfRule type="expression" dxfId="226" priority="744">
      <formula>"if $C$1&lt;"</formula>
    </cfRule>
    <cfRule type="expression" dxfId="225" priority="745">
      <formula>"if $G$4&gt;$C$1 and $H$4 is ""null"""</formula>
    </cfRule>
    <cfRule type="cellIs" dxfId="224" priority="743" operator="equal">
      <formula>45443</formula>
    </cfRule>
  </conditionalFormatting>
  <conditionalFormatting sqref="L189:L192 K193:L194 L195 K195:K234">
    <cfRule type="expression" dxfId="223" priority="801">
      <formula>"if $C$1&lt;"</formula>
    </cfRule>
  </conditionalFormatting>
  <conditionalFormatting sqref="L189:L195">
    <cfRule type="expression" dxfId="222" priority="802">
      <formula>"if $G$4&gt;$C$1 and $H$4 is ""null"""</formula>
    </cfRule>
    <cfRule type="cellIs" dxfId="221" priority="800" operator="equal">
      <formula>45443</formula>
    </cfRule>
  </conditionalFormatting>
  <conditionalFormatting sqref="L202:L203 L206:L207 L210:L211 L214:L215 L218:L219">
    <cfRule type="expression" dxfId="220" priority="738">
      <formula>"if $G$4&gt;$C$1 and $H$4 is ""null"""</formula>
    </cfRule>
    <cfRule type="cellIs" dxfId="219" priority="736" operator="equal">
      <formula>45443</formula>
    </cfRule>
  </conditionalFormatting>
  <conditionalFormatting sqref="L202:L203 L206:L207 L214:L215 L218:L219">
    <cfRule type="expression" dxfId="218" priority="814">
      <formula>"if $C$1&lt;"</formula>
    </cfRule>
  </conditionalFormatting>
  <conditionalFormatting sqref="L210:L211">
    <cfRule type="expression" dxfId="217" priority="737">
      <formula>"if $C$1&lt;"</formula>
    </cfRule>
  </conditionalFormatting>
  <conditionalFormatting sqref="L229:L242 O46 R46 O48 R48 O50 R50 O52:O69 R52:R69 L53:L69 O229:O241 R229:R241">
    <cfRule type="expression" dxfId="216" priority="815">
      <formula>"if $G$4&gt;$C$1 and $H$4 is ""null"""</formula>
    </cfRule>
  </conditionalFormatting>
  <conditionalFormatting sqref="M7:M9">
    <cfRule type="cellIs" dxfId="215" priority="73" operator="equal">
      <formula>45443</formula>
    </cfRule>
  </conditionalFormatting>
  <conditionalFormatting sqref="M16:M17">
    <cfRule type="expression" dxfId="214" priority="135">
      <formula>"if $G$4&gt;$C$1 and $H$4 is ""null"""</formula>
    </cfRule>
    <cfRule type="expression" dxfId="213" priority="134">
      <formula>"if $C$1&lt;"</formula>
    </cfRule>
    <cfRule type="cellIs" dxfId="212" priority="133" operator="equal">
      <formula>45443</formula>
    </cfRule>
  </conditionalFormatting>
  <conditionalFormatting sqref="M21">
    <cfRule type="cellIs" dxfId="211" priority="118" operator="equal">
      <formula>45443</formula>
    </cfRule>
  </conditionalFormatting>
  <conditionalFormatting sqref="M23:M24">
    <cfRule type="cellIs" dxfId="210" priority="644" operator="equal">
      <formula>45443</formula>
    </cfRule>
  </conditionalFormatting>
  <conditionalFormatting sqref="M41:M44">
    <cfRule type="cellIs" dxfId="209" priority="130" operator="equal">
      <formula>45443</formula>
    </cfRule>
    <cfRule type="expression" dxfId="208" priority="132">
      <formula>"if $G$4&gt;$C$1 and $H$4 is ""null"""</formula>
    </cfRule>
    <cfRule type="expression" dxfId="207" priority="131">
      <formula>"if $C$1&lt;"</formula>
    </cfRule>
  </conditionalFormatting>
  <conditionalFormatting sqref="M46">
    <cfRule type="cellIs" dxfId="206" priority="102" operator="equal">
      <formula>45443</formula>
    </cfRule>
    <cfRule type="expression" dxfId="205" priority="103">
      <formula>"if $C$1&lt;"</formula>
    </cfRule>
    <cfRule type="expression" dxfId="204" priority="104">
      <formula>"if $G$4&gt;$C$1 and $H$4 is ""null"""</formula>
    </cfRule>
  </conditionalFormatting>
  <conditionalFormatting sqref="M53:M69">
    <cfRule type="cellIs" dxfId="203" priority="720" operator="equal">
      <formula>45443</formula>
    </cfRule>
  </conditionalFormatting>
  <conditionalFormatting sqref="M146:M147">
    <cfRule type="expression" dxfId="202" priority="128">
      <formula>"if $C$1&lt;"</formula>
    </cfRule>
    <cfRule type="expression" dxfId="201" priority="129">
      <formula>"if $G$4&gt;$C$1 and $H$4 is ""null"""</formula>
    </cfRule>
    <cfRule type="cellIs" dxfId="200" priority="127" operator="equal">
      <formula>45443</formula>
    </cfRule>
  </conditionalFormatting>
  <conditionalFormatting sqref="M169:M170">
    <cfRule type="cellIs" dxfId="199" priority="638" operator="equal">
      <formula>45443</formula>
    </cfRule>
    <cfRule type="expression" dxfId="198" priority="639">
      <formula>"if $C$1&lt;"</formula>
    </cfRule>
    <cfRule type="expression" dxfId="197" priority="640">
      <formula>"if $G$4&gt;$C$1 and $H$4 is ""null"""</formula>
    </cfRule>
  </conditionalFormatting>
  <conditionalFormatting sqref="M182:M187">
    <cfRule type="expression" dxfId="196" priority="125">
      <formula>"if $C$1&lt;"</formula>
    </cfRule>
    <cfRule type="cellIs" dxfId="195" priority="124" operator="equal">
      <formula>45443</formula>
    </cfRule>
    <cfRule type="expression" dxfId="194" priority="126">
      <formula>"if $G$4&gt;$C$1 and $H$4 is ""null"""</formula>
    </cfRule>
  </conditionalFormatting>
  <conditionalFormatting sqref="M193:M202 M204">
    <cfRule type="cellIs" dxfId="193" priority="121" operator="equal">
      <formula>45443</formula>
    </cfRule>
    <cfRule type="expression" dxfId="192" priority="122">
      <formula>"if $C$1&lt;"</formula>
    </cfRule>
    <cfRule type="expression" dxfId="191" priority="123">
      <formula>"if $G$4&gt;$C$1 and $H$4 is ""null"""</formula>
    </cfRule>
  </conditionalFormatting>
  <conditionalFormatting sqref="M214">
    <cfRule type="cellIs" dxfId="190" priority="38" operator="equal">
      <formula>45443</formula>
    </cfRule>
    <cfRule type="expression" dxfId="189" priority="36">
      <formula>"if $C$1&lt;"</formula>
    </cfRule>
    <cfRule type="expression" dxfId="188" priority="37">
      <formula>"if $G$4&gt;$C$1 and $H$4 is ""null"""</formula>
    </cfRule>
  </conditionalFormatting>
  <conditionalFormatting sqref="M227:M228">
    <cfRule type="expression" dxfId="187" priority="39">
      <formula>"if $C$1&lt;"</formula>
    </cfRule>
    <cfRule type="cellIs" dxfId="186" priority="41" operator="equal">
      <formula>45443</formula>
    </cfRule>
    <cfRule type="expression" dxfId="185" priority="40">
      <formula>"if $G$4&gt;$C$1 and $H$4 is ""null"""</formula>
    </cfRule>
  </conditionalFormatting>
  <conditionalFormatting sqref="N7:N13">
    <cfRule type="expression" dxfId="184" priority="89">
      <formula>"if $C$1&lt;"</formula>
    </cfRule>
  </conditionalFormatting>
  <conditionalFormatting sqref="N9:N13">
    <cfRule type="expression" dxfId="183" priority="90">
      <formula>"if $G$4&gt;$C$1 and $H$4 is ""null"""</formula>
    </cfRule>
    <cfRule type="cellIs" dxfId="182" priority="88" operator="equal">
      <formula>45443</formula>
    </cfRule>
  </conditionalFormatting>
  <conditionalFormatting sqref="N31:N34 O1:P3">
    <cfRule type="cellIs" dxfId="181" priority="892" operator="equal">
      <formula>45443</formula>
    </cfRule>
  </conditionalFormatting>
  <conditionalFormatting sqref="N31:N34">
    <cfRule type="expression" dxfId="180" priority="841">
      <formula>"if $G$4&gt;$C$1 and $H$4 is ""null"""</formula>
    </cfRule>
    <cfRule type="expression" dxfId="179" priority="840">
      <formula>"if $C$1&lt;"</formula>
    </cfRule>
  </conditionalFormatting>
  <conditionalFormatting sqref="N70:N85">
    <cfRule type="expression" dxfId="178" priority="233">
      <formula>"if $C$1&lt;"</formula>
    </cfRule>
  </conditionalFormatting>
  <conditionalFormatting sqref="O4:O7 L1:L7 P7:P9">
    <cfRule type="cellIs" dxfId="177" priority="96" operator="equal">
      <formula>45443</formula>
    </cfRule>
  </conditionalFormatting>
  <conditionalFormatting sqref="O4:O7">
    <cfRule type="expression" dxfId="176" priority="87">
      <formula>"if $G$4&gt;$C$1 and $H$4 is ""null"""</formula>
    </cfRule>
  </conditionalFormatting>
  <conditionalFormatting sqref="O9:O10">
    <cfRule type="cellIs" dxfId="175" priority="85" operator="equal">
      <formula>45443</formula>
    </cfRule>
    <cfRule type="expression" dxfId="174" priority="86">
      <formula>"if $G$4&gt;$C$1 and $H$4 is ""null"""</formula>
    </cfRule>
  </conditionalFormatting>
  <conditionalFormatting sqref="O13">
    <cfRule type="expression" dxfId="173" priority="192">
      <formula>"if $C$1&lt;"</formula>
    </cfRule>
  </conditionalFormatting>
  <conditionalFormatting sqref="O86:O177">
    <cfRule type="expression" dxfId="172" priority="204">
      <formula>"if $G$4&gt;$C$1 and $H$4 is ""null"""</formula>
    </cfRule>
  </conditionalFormatting>
  <conditionalFormatting sqref="O179:O183">
    <cfRule type="expression" dxfId="171" priority="190">
      <formula>"if $C$1&lt;"</formula>
    </cfRule>
    <cfRule type="expression" dxfId="170" priority="191">
      <formula>"if $G$4&gt;$C$1 and $H$4 is ""null"""</formula>
    </cfRule>
    <cfRule type="cellIs" dxfId="169" priority="189" operator="equal">
      <formula>45443</formula>
    </cfRule>
  </conditionalFormatting>
  <conditionalFormatting sqref="O187 O189:O195">
    <cfRule type="expression" dxfId="168" priority="200">
      <formula>"if $G$4&gt;$C$1 and $H$4 is ""null"""</formula>
    </cfRule>
    <cfRule type="cellIs" dxfId="167" priority="198" operator="equal">
      <formula>45443</formula>
    </cfRule>
    <cfRule type="expression" dxfId="166" priority="199">
      <formula>"if $C$1&lt;"</formula>
    </cfRule>
  </conditionalFormatting>
  <conditionalFormatting sqref="O202:O203 O206:O207 O210:O211 O214:O215 O218:O219">
    <cfRule type="expression" dxfId="165" priority="201">
      <formula>"if $C$1&lt;"</formula>
    </cfRule>
    <cfRule type="expression" dxfId="164" priority="196">
      <formula>"if $G$4&gt;$C$1 and $H$4 is ""null"""</formula>
    </cfRule>
    <cfRule type="cellIs" dxfId="163" priority="195" operator="equal">
      <formula>45443</formula>
    </cfRule>
  </conditionalFormatting>
  <conditionalFormatting sqref="O236:O237">
    <cfRule type="expression" dxfId="162" priority="194">
      <formula>"if $G$4&gt;$C$1 and $H$4 is ""null"""</formula>
    </cfRule>
    <cfRule type="cellIs" dxfId="161" priority="193" operator="equal">
      <formula>45443</formula>
    </cfRule>
  </conditionalFormatting>
  <conditionalFormatting sqref="P14">
    <cfRule type="expression" dxfId="160" priority="51">
      <formula>"if $C$1&lt;"</formula>
    </cfRule>
    <cfRule type="expression" dxfId="159" priority="52">
      <formula>"if $G$4&gt;$C$1 and $H$4 is ""null"""</formula>
    </cfRule>
    <cfRule type="cellIs" dxfId="158" priority="53" operator="equal">
      <formula>45443</formula>
    </cfRule>
  </conditionalFormatting>
  <conditionalFormatting sqref="P16:P18">
    <cfRule type="expression" dxfId="157" priority="48">
      <formula>"if $C$1&lt;"</formula>
    </cfRule>
    <cfRule type="expression" dxfId="156" priority="49">
      <formula>"if $G$4&gt;$C$1 and $H$4 is ""null"""</formula>
    </cfRule>
  </conditionalFormatting>
  <conditionalFormatting sqref="P16:P19">
    <cfRule type="cellIs" dxfId="155" priority="50" operator="equal">
      <formula>45443</formula>
    </cfRule>
  </conditionalFormatting>
  <conditionalFormatting sqref="P21:P24 P27:P30 P33:P34 P37:P40 P47:P69">
    <cfRule type="cellIs" dxfId="154" priority="99" operator="equal">
      <formula>45443</formula>
    </cfRule>
  </conditionalFormatting>
  <conditionalFormatting sqref="P43:P44">
    <cfRule type="expression" dxfId="153" priority="45">
      <formula>"if $C$1&lt;"</formula>
    </cfRule>
    <cfRule type="expression" dxfId="152" priority="46">
      <formula>"if $G$4&gt;$C$1 and $H$4 is ""null"""</formula>
    </cfRule>
    <cfRule type="cellIs" dxfId="151" priority="47" operator="equal">
      <formula>45443</formula>
    </cfRule>
  </conditionalFormatting>
  <conditionalFormatting sqref="P73">
    <cfRule type="cellIs" dxfId="150" priority="105" operator="equal">
      <formula>45443</formula>
    </cfRule>
  </conditionalFormatting>
  <conditionalFormatting sqref="P75 P78 P80:P81 P90:P92">
    <cfRule type="cellIs" dxfId="149" priority="460" operator="equal">
      <formula>45443</formula>
    </cfRule>
  </conditionalFormatting>
  <conditionalFormatting sqref="P85:P86">
    <cfRule type="expression" dxfId="148" priority="10">
      <formula>"if $C$1&lt;"</formula>
    </cfRule>
    <cfRule type="expression" dxfId="147" priority="11">
      <formula>"if $G$4&gt;$C$1 and $H$4 is ""null"""</formula>
    </cfRule>
    <cfRule type="cellIs" dxfId="146" priority="12" operator="equal">
      <formula>45443</formula>
    </cfRule>
  </conditionalFormatting>
  <conditionalFormatting sqref="P124:P158 P160 P162:P168">
    <cfRule type="expression" dxfId="2" priority="615">
      <formula>"if $C$1&lt;"</formula>
    </cfRule>
    <cfRule type="expression" dxfId="1" priority="616">
      <formula>"if $G$4&gt;$C$1 and $H$4 is ""null"""</formula>
    </cfRule>
    <cfRule type="cellIs" dxfId="0" priority="643" operator="equal">
      <formula>45443</formula>
    </cfRule>
  </conditionalFormatting>
  <conditionalFormatting sqref="P159">
    <cfRule type="cellIs" dxfId="145" priority="120" operator="equal">
      <formula>45443</formula>
    </cfRule>
  </conditionalFormatting>
  <conditionalFormatting sqref="P161">
    <cfRule type="cellIs" dxfId="144" priority="119" operator="equal">
      <formula>45443</formula>
    </cfRule>
  </conditionalFormatting>
  <conditionalFormatting sqref="P169:P185 S178:S185">
    <cfRule type="cellIs" dxfId="143" priority="458" operator="equal">
      <formula>45443</formula>
    </cfRule>
  </conditionalFormatting>
  <conditionalFormatting sqref="P171:P178 S178">
    <cfRule type="expression" dxfId="142" priority="457">
      <formula>"if $G$4&gt;$C$1 and $H$4 is ""null"""</formula>
    </cfRule>
    <cfRule type="expression" dxfId="141" priority="456">
      <formula>"if $C$1&lt;"</formula>
    </cfRule>
  </conditionalFormatting>
  <conditionalFormatting sqref="P199:P217 P222:P237 S229:S237">
    <cfRule type="cellIs" dxfId="140" priority="555" operator="equal">
      <formula>45443</formula>
    </cfRule>
  </conditionalFormatting>
  <conditionalFormatting sqref="P199:P217 P222:P237 S230:S237">
    <cfRule type="expression" dxfId="139" priority="481">
      <formula>"if $G$4&gt;$C$1 and $H$4 is ""null"""</formula>
    </cfRule>
    <cfRule type="expression" dxfId="138" priority="480">
      <formula>"if $C$1&lt;"</formula>
    </cfRule>
  </conditionalFormatting>
  <conditionalFormatting sqref="P241">
    <cfRule type="expression" dxfId="137" priority="221">
      <formula>"if $G$4&gt;$C$1 and $H$4 is ""null"""</formula>
    </cfRule>
    <cfRule type="expression" dxfId="136" priority="222">
      <formula>"if $C$1&lt;"</formula>
    </cfRule>
  </conditionalFormatting>
  <conditionalFormatting sqref="Q7:Q13">
    <cfRule type="expression" dxfId="135" priority="75">
      <formula>"if $C$1&lt;"</formula>
    </cfRule>
  </conditionalFormatting>
  <conditionalFormatting sqref="Q9:Q13">
    <cfRule type="cellIs" dxfId="134" priority="74" operator="equal">
      <formula>45443</formula>
    </cfRule>
    <cfRule type="expression" dxfId="133" priority="76">
      <formula>"if $G$4&gt;$C$1 and $H$4 is ""null"""</formula>
    </cfRule>
  </conditionalFormatting>
  <conditionalFormatting sqref="Q31:Q34">
    <cfRule type="cellIs" dxfId="132" priority="153" operator="equal">
      <formula>45443</formula>
    </cfRule>
    <cfRule type="expression" dxfId="131" priority="152">
      <formula>"if $G$4&gt;$C$1 and $H$4 is ""null"""</formula>
    </cfRule>
    <cfRule type="expression" dxfId="130" priority="151">
      <formula>"if $C$1&lt;"</formula>
    </cfRule>
  </conditionalFormatting>
  <conditionalFormatting sqref="Q70:Q85">
    <cfRule type="expression" dxfId="129" priority="146">
      <formula>"if $C$1&lt;"</formula>
    </cfRule>
  </conditionalFormatting>
  <conditionalFormatting sqref="R4:R7">
    <cfRule type="cellIs" dxfId="128" priority="83" operator="equal">
      <formula>45443</formula>
    </cfRule>
    <cfRule type="expression" dxfId="127" priority="84">
      <formula>"if $G$4&gt;$C$1 and $H$4 is ""null"""</formula>
    </cfRule>
  </conditionalFormatting>
  <conditionalFormatting sqref="R9:R10">
    <cfRule type="cellIs" dxfId="126" priority="81" operator="equal">
      <formula>45443</formula>
    </cfRule>
    <cfRule type="expression" dxfId="125" priority="82">
      <formula>"if $G$4&gt;$C$1 and $H$4 is ""null"""</formula>
    </cfRule>
  </conditionalFormatting>
  <conditionalFormatting sqref="R13">
    <cfRule type="expression" dxfId="124" priority="175">
      <formula>"if $C$1&lt;"</formula>
    </cfRule>
  </conditionalFormatting>
  <conditionalFormatting sqref="R86:R177">
    <cfRule type="expression" dxfId="123" priority="188">
      <formula>"if $G$4&gt;$C$1 and $H$4 is ""null"""</formula>
    </cfRule>
  </conditionalFormatting>
  <conditionalFormatting sqref="R179:R183">
    <cfRule type="expression" dxfId="122" priority="174">
      <formula>"if $G$4&gt;$C$1 and $H$4 is ""null"""</formula>
    </cfRule>
    <cfRule type="cellIs" dxfId="121" priority="172" operator="equal">
      <formula>45443</formula>
    </cfRule>
    <cfRule type="expression" dxfId="120" priority="173">
      <formula>"if $C$1&lt;"</formula>
    </cfRule>
  </conditionalFormatting>
  <conditionalFormatting sqref="R187 R189:R195">
    <cfRule type="expression" dxfId="119" priority="183">
      <formula>"if $G$4&gt;$C$1 and $H$4 is ""null"""</formula>
    </cfRule>
    <cfRule type="expression" dxfId="118" priority="182">
      <formula>"if $C$1&lt;"</formula>
    </cfRule>
    <cfRule type="cellIs" dxfId="117" priority="181" operator="equal">
      <formula>45443</formula>
    </cfRule>
  </conditionalFormatting>
  <conditionalFormatting sqref="R202:R203 R206:R207 R210:R211 R214:R215 R218:R219">
    <cfRule type="expression" dxfId="116" priority="184">
      <formula>"if $C$1&lt;"</formula>
    </cfRule>
    <cfRule type="expression" dxfId="115" priority="179">
      <formula>"if $G$4&gt;$C$1 and $H$4 is ""null"""</formula>
    </cfRule>
    <cfRule type="cellIs" dxfId="114" priority="178" operator="equal">
      <formula>45443</formula>
    </cfRule>
  </conditionalFormatting>
  <conditionalFormatting sqref="R236:R237">
    <cfRule type="expression" dxfId="113" priority="177">
      <formula>"if $G$4&gt;$C$1 and $H$4 is ""null"""</formula>
    </cfRule>
    <cfRule type="cellIs" dxfId="112" priority="176" operator="equal">
      <formula>45443</formula>
    </cfRule>
  </conditionalFormatting>
  <conditionalFormatting sqref="S14">
    <cfRule type="cellIs" dxfId="111" priority="567" operator="equal">
      <formula>45443</formula>
    </cfRule>
  </conditionalFormatting>
  <conditionalFormatting sqref="S18">
    <cfRule type="expression" dxfId="110" priority="33">
      <formula>"if $C$1&lt;"</formula>
    </cfRule>
    <cfRule type="cellIs" dxfId="109" priority="35" operator="equal">
      <formula>45443</formula>
    </cfRule>
    <cfRule type="expression" dxfId="108" priority="34">
      <formula>"if $G$4&gt;$C$1 and $H$4 is ""null"""</formula>
    </cfRule>
  </conditionalFormatting>
  <conditionalFormatting sqref="S27:S28">
    <cfRule type="cellIs" dxfId="107" priority="543" operator="equal">
      <formula>45443</formula>
    </cfRule>
  </conditionalFormatting>
  <conditionalFormatting sqref="S35">
    <cfRule type="cellIs" dxfId="106" priority="563" operator="equal">
      <formula>45443</formula>
    </cfRule>
  </conditionalFormatting>
  <conditionalFormatting sqref="S37:S38">
    <cfRule type="cellIs" dxfId="105" priority="29" operator="equal">
      <formula>45443</formula>
    </cfRule>
  </conditionalFormatting>
  <conditionalFormatting sqref="S69">
    <cfRule type="cellIs" dxfId="104" priority="461" operator="equal">
      <formula>45443</formula>
    </cfRule>
  </conditionalFormatting>
  <conditionalFormatting sqref="S73">
    <cfRule type="cellIs" dxfId="103" priority="27" operator="equal">
      <formula>45443</formula>
    </cfRule>
    <cfRule type="expression" dxfId="102" priority="26">
      <formula>"if $G$4&gt;$C$1 and $H$4 is ""null"""</formula>
    </cfRule>
    <cfRule type="expression" dxfId="101" priority="25">
      <formula>"if $C$1&lt;"</formula>
    </cfRule>
  </conditionalFormatting>
  <conditionalFormatting sqref="S75">
    <cfRule type="cellIs" dxfId="100" priority="24" operator="equal">
      <formula>45443</formula>
    </cfRule>
    <cfRule type="expression" dxfId="99" priority="22">
      <formula>"if $C$1&lt;"</formula>
    </cfRule>
    <cfRule type="expression" dxfId="98" priority="23">
      <formula>"if $G$4&gt;$C$1 and $H$4 is ""null"""</formula>
    </cfRule>
  </conditionalFormatting>
  <conditionalFormatting sqref="S78">
    <cfRule type="expression" dxfId="97" priority="20">
      <formula>"if $G$4&gt;$C$1 and $H$4 is ""null"""</formula>
    </cfRule>
    <cfRule type="expression" dxfId="96" priority="19">
      <formula>"if $C$1&lt;"</formula>
    </cfRule>
    <cfRule type="cellIs" dxfId="95" priority="21" operator="equal">
      <formula>45443</formula>
    </cfRule>
  </conditionalFormatting>
  <conditionalFormatting sqref="S80:S82">
    <cfRule type="expression" dxfId="94" priority="13">
      <formula>"if $C$1&lt;"</formula>
    </cfRule>
    <cfRule type="expression" dxfId="93" priority="14">
      <formula>"if $G$4&gt;$C$1 and $H$4 is ""null"""</formula>
    </cfRule>
    <cfRule type="cellIs" dxfId="92" priority="15" operator="equal">
      <formula>45443</formula>
    </cfRule>
  </conditionalFormatting>
  <conditionalFormatting sqref="S86 S90:S94 S96:S110">
    <cfRule type="cellIs" dxfId="91" priority="437" operator="equal">
      <formula>45443</formula>
    </cfRule>
  </conditionalFormatting>
  <conditionalFormatting sqref="S112:S117">
    <cfRule type="expression" dxfId="90" priority="757">
      <formula>"if $G$4&gt;$C$1 and $H$4 is ""null"""</formula>
    </cfRule>
    <cfRule type="expression" dxfId="89" priority="756">
      <formula>"if $C$1&lt;"</formula>
    </cfRule>
  </conditionalFormatting>
  <conditionalFormatting sqref="S112:S156">
    <cfRule type="cellIs" dxfId="88" priority="755" operator="equal">
      <formula>45443</formula>
    </cfRule>
  </conditionalFormatting>
  <conditionalFormatting sqref="S118:S158 S162:S164 S166 S168">
    <cfRule type="expression" dxfId="87" priority="582">
      <formula>"if $C$1&lt;"</formula>
    </cfRule>
    <cfRule type="expression" dxfId="86" priority="583">
      <formula>"if $G$4&gt;$C$1 and $H$4 is ""null"""</formula>
    </cfRule>
  </conditionalFormatting>
  <conditionalFormatting sqref="S157:S162">
    <cfRule type="cellIs" dxfId="85" priority="6" operator="equal">
      <formula>45443</formula>
    </cfRule>
  </conditionalFormatting>
  <conditionalFormatting sqref="S159:S161">
    <cfRule type="expression" dxfId="84" priority="4">
      <formula>"if $C$1&lt;"</formula>
    </cfRule>
    <cfRule type="expression" dxfId="83" priority="5">
      <formula>"if $G$4&gt;$C$1 and $H$4 is ""null"""</formula>
    </cfRule>
  </conditionalFormatting>
  <conditionalFormatting sqref="S163:S164 S166 S168">
    <cfRule type="cellIs" dxfId="82" priority="685" operator="equal">
      <formula>45443</formula>
    </cfRule>
    <cfRule type="expression" dxfId="81" priority="809">
      <formula>"if $C$1&lt;"</formula>
    </cfRule>
    <cfRule type="expression" dxfId="80" priority="810">
      <formula>"if $G$4&gt;$C$1 and $H$4 is ""null"""</formula>
    </cfRule>
  </conditionalFormatting>
  <conditionalFormatting sqref="S165 S167 S169:S175">
    <cfRule type="cellIs" dxfId="79" priority="570" operator="equal">
      <formula>45443</formula>
    </cfRule>
  </conditionalFormatting>
  <conditionalFormatting sqref="S171:S175">
    <cfRule type="expression" dxfId="78" priority="580">
      <formula>"if $G$4&gt;$C$1 and $H$4 is ""null"""</formula>
    </cfRule>
    <cfRule type="expression" dxfId="77" priority="579">
      <formula>"if $C$1&lt;"</formula>
    </cfRule>
  </conditionalFormatting>
  <conditionalFormatting sqref="S199:S217">
    <cfRule type="cellIs" dxfId="76" priority="562" operator="equal">
      <formula>45443</formula>
    </cfRule>
    <cfRule type="expression" dxfId="75" priority="560">
      <formula>"if $C$1&lt;"</formula>
    </cfRule>
    <cfRule type="expression" dxfId="74" priority="561">
      <formula>"if $G$4&gt;$C$1 and $H$4 is ""null"""</formula>
    </cfRule>
  </conditionalFormatting>
  <conditionalFormatting sqref="S223">
    <cfRule type="expression" dxfId="73" priority="586">
      <formula>"if $G$4&gt;$C$1 and $H$4 is ""null"""</formula>
    </cfRule>
    <cfRule type="expression" dxfId="72" priority="585">
      <formula>"if $C$1&lt;"</formula>
    </cfRule>
    <cfRule type="cellIs" dxfId="71" priority="584" operator="equal">
      <formula>45443</formula>
    </cfRule>
  </conditionalFormatting>
  <conditionalFormatting sqref="S229">
    <cfRule type="expression" dxfId="70" priority="625">
      <formula>"if $C$1&lt;"</formula>
    </cfRule>
    <cfRule type="expression" dxfId="69" priority="626">
      <formula>"if $G$4&gt;$C$1 and $H$4 is ""null"""</formula>
    </cfRule>
  </conditionalFormatting>
  <conditionalFormatting sqref="S241">
    <cfRule type="expression" dxfId="68" priority="219">
      <formula>"if $C$1&lt;"</formula>
    </cfRule>
    <cfRule type="cellIs" dxfId="67" priority="217" operator="equal">
      <formula>45443</formula>
    </cfRule>
    <cfRule type="expression" dxfId="66" priority="218">
      <formula>"if $G$4&gt;$C$1 and $H$4 is ""null"""</formula>
    </cfRule>
  </conditionalFormatting>
  <conditionalFormatting sqref="T4:T5">
    <cfRule type="cellIs" dxfId="65" priority="871" operator="equal">
      <formula>45443</formula>
    </cfRule>
    <cfRule type="expression" dxfId="64" priority="872">
      <formula>"if $C$1&lt;"</formula>
    </cfRule>
    <cfRule type="expression" dxfId="63" priority="873">
      <formula>"if $G$4&gt;$C$1 and $H$4 is ""null"""</formula>
    </cfRule>
  </conditionalFormatting>
  <conditionalFormatting sqref="T7:T13">
    <cfRule type="expression" dxfId="62" priority="92">
      <formula>"if $C$1&lt;"</formula>
    </cfRule>
  </conditionalFormatting>
  <conditionalFormatting sqref="T9:T13">
    <cfRule type="cellIs" dxfId="61" priority="91" operator="equal">
      <formula>45443</formula>
    </cfRule>
    <cfRule type="expression" dxfId="60" priority="93">
      <formula>"if $G$4&gt;$C$1 and $H$4 is ""null"""</formula>
    </cfRule>
  </conditionalFormatting>
  <conditionalFormatting sqref="T70:T85">
    <cfRule type="expression" dxfId="59" priority="255">
      <formula>"if $C$1&lt;"</formula>
    </cfRule>
  </conditionalFormatting>
  <conditionalFormatting sqref="T233 V233">
    <cfRule type="expression" dxfId="58" priority="614">
      <formula>"if $G$4&gt;$C$1 and $H$4 is ""null"""</formula>
    </cfRule>
    <cfRule type="cellIs" dxfId="57" priority="612" operator="equal">
      <formula>45443</formula>
    </cfRule>
    <cfRule type="expression" dxfId="56" priority="613">
      <formula>"if $C$1&lt;"</formula>
    </cfRule>
  </conditionalFormatting>
  <conditionalFormatting sqref="T238:T241 M241">
    <cfRule type="expression" dxfId="55" priority="230">
      <formula>"if $G$4&gt;$C$1 and $H$4 is ""null"""</formula>
    </cfRule>
    <cfRule type="expression" dxfId="54" priority="231">
      <formula>"if $C$1&lt;"</formula>
    </cfRule>
    <cfRule type="cellIs" dxfId="53" priority="229" operator="equal">
      <formula>45443</formula>
    </cfRule>
  </conditionalFormatting>
  <conditionalFormatting sqref="U4:U7">
    <cfRule type="cellIs" dxfId="52" priority="79" operator="equal">
      <formula>45443</formula>
    </cfRule>
    <cfRule type="expression" dxfId="51" priority="80">
      <formula>"if $G$4&gt;$C$1 and $H$4 is ""null"""</formula>
    </cfRule>
  </conditionalFormatting>
  <conditionalFormatting sqref="U9:U10">
    <cfRule type="expression" dxfId="50" priority="78">
      <formula>"if $G$4&gt;$C$1 and $H$4 is ""null"""</formula>
    </cfRule>
    <cfRule type="cellIs" dxfId="49" priority="77" operator="equal">
      <formula>45443</formula>
    </cfRule>
  </conditionalFormatting>
  <conditionalFormatting sqref="U11:U16 O11:O41 R11:R41 L13:L41 T15:T16 T17:U40 U41 T41:T69 L86:L177 K4:L4">
    <cfRule type="expression" dxfId="48" priority="894">
      <formula>"if $G$4&gt;$C$1 and $H$4 is ""null"""</formula>
    </cfRule>
  </conditionalFormatting>
  <conditionalFormatting sqref="U13">
    <cfRule type="expression" dxfId="47" priority="157">
      <formula>"if $C$1&lt;"</formula>
    </cfRule>
  </conditionalFormatting>
  <conditionalFormatting sqref="U46 U48 U50 U52:U69">
    <cfRule type="expression" dxfId="46" priority="167">
      <formula>"if $G$4&gt;$C$1 and $H$4 is ""null"""</formula>
    </cfRule>
  </conditionalFormatting>
  <conditionalFormatting sqref="U46 U48 U50 U52:U177 U229:U241">
    <cfRule type="cellIs" dxfId="45" priority="158" operator="equal">
      <formula>45443</formula>
    </cfRule>
  </conditionalFormatting>
  <conditionalFormatting sqref="U86:U177">
    <cfRule type="expression" dxfId="44" priority="171">
      <formula>"if $G$4&gt;$C$1 and $H$4 is ""null"""</formula>
    </cfRule>
  </conditionalFormatting>
  <conditionalFormatting sqref="U179:U183">
    <cfRule type="cellIs" dxfId="43" priority="154" operator="equal">
      <formula>45443</formula>
    </cfRule>
    <cfRule type="expression" dxfId="42" priority="156">
      <formula>"if $G$4&gt;$C$1 and $H$4 is ""null"""</formula>
    </cfRule>
    <cfRule type="expression" dxfId="41" priority="155">
      <formula>"if $C$1&lt;"</formula>
    </cfRule>
  </conditionalFormatting>
  <conditionalFormatting sqref="U187 U189:U195">
    <cfRule type="cellIs" dxfId="40" priority="163" operator="equal">
      <formula>45443</formula>
    </cfRule>
    <cfRule type="expression" dxfId="39" priority="165">
      <formula>"if $G$4&gt;$C$1 and $H$4 is ""null"""</formula>
    </cfRule>
    <cfRule type="expression" dxfId="38" priority="164">
      <formula>"if $C$1&lt;"</formula>
    </cfRule>
  </conditionalFormatting>
  <conditionalFormatting sqref="U202:U203 U206:U207 U210:U211 U214:U215 U218:U219">
    <cfRule type="cellIs" dxfId="37" priority="161" operator="equal">
      <formula>45443</formula>
    </cfRule>
    <cfRule type="expression" dxfId="36" priority="166">
      <formula>"if $C$1&lt;"</formula>
    </cfRule>
    <cfRule type="expression" dxfId="35" priority="162">
      <formula>"if $G$4&gt;$C$1 and $H$4 is ""null"""</formula>
    </cfRule>
  </conditionalFormatting>
  <conditionalFormatting sqref="U229:U241">
    <cfRule type="expression" dxfId="34" priority="160">
      <formula>"if $G$4&gt;$C$1 and $H$4 is ""null"""</formula>
    </cfRule>
  </conditionalFormatting>
  <conditionalFormatting sqref="V18">
    <cfRule type="expression" dxfId="33" priority="30">
      <formula>"if $C$1&lt;"</formula>
    </cfRule>
    <cfRule type="expression" dxfId="32" priority="31">
      <formula>"if $G$4&gt;$C$1 and $H$4 is ""null"""</formula>
    </cfRule>
    <cfRule type="cellIs" dxfId="31" priority="32" operator="equal">
      <formula>45443</formula>
    </cfRule>
  </conditionalFormatting>
  <conditionalFormatting sqref="V37:V38">
    <cfRule type="cellIs" dxfId="30" priority="28" operator="equal">
      <formula>45443</formula>
    </cfRule>
  </conditionalFormatting>
  <conditionalFormatting sqref="V70:V72">
    <cfRule type="expression" dxfId="29" priority="112">
      <formula>"if $C$1&lt;"</formula>
    </cfRule>
    <cfRule type="cellIs" dxfId="28" priority="114" operator="equal">
      <formula>45443</formula>
    </cfRule>
    <cfRule type="expression" dxfId="27" priority="113">
      <formula>"if $G$4&gt;$C$1 and $H$4 is ""null"""</formula>
    </cfRule>
  </conditionalFormatting>
  <conditionalFormatting sqref="V74">
    <cfRule type="cellIs" dxfId="26" priority="111" operator="equal">
      <formula>45443</formula>
    </cfRule>
    <cfRule type="expression" dxfId="25" priority="110">
      <formula>"if $G$4&gt;$C$1 and $H$4 is ""null"""</formula>
    </cfRule>
    <cfRule type="expression" dxfId="24" priority="109">
      <formula>"if $C$1&lt;"</formula>
    </cfRule>
  </conditionalFormatting>
  <conditionalFormatting sqref="V76:V77">
    <cfRule type="expression" dxfId="23" priority="106">
      <formula>"if $C$1&lt;"</formula>
    </cfRule>
    <cfRule type="expression" dxfId="22" priority="107">
      <formula>"if $G$4&gt;$C$1 and $H$4 is ""null"""</formula>
    </cfRule>
    <cfRule type="cellIs" dxfId="21" priority="108" operator="equal">
      <formula>45443</formula>
    </cfRule>
  </conditionalFormatting>
  <conditionalFormatting sqref="V171:V172 V174:V175 V179">
    <cfRule type="expression" dxfId="20" priority="808">
      <formula>"if $G$4&gt;$C$1 and $H$4 is ""null"""</formula>
    </cfRule>
    <cfRule type="cellIs" dxfId="19" priority="805" operator="equal">
      <formula>45443</formula>
    </cfRule>
    <cfRule type="expression" dxfId="18" priority="807">
      <formula>"if $C$1&lt;"</formula>
    </cfRule>
  </conditionalFormatting>
  <conditionalFormatting sqref="V182:V183">
    <cfRule type="expression" dxfId="17" priority="210">
      <formula>"if $G$4&gt;$C$1 and $H$4 is ""null"""</formula>
    </cfRule>
    <cfRule type="cellIs" dxfId="16" priority="208" operator="equal">
      <formula>45443</formula>
    </cfRule>
    <cfRule type="expression" dxfId="15" priority="209">
      <formula>"if $C$1&lt;"</formula>
    </cfRule>
  </conditionalFormatting>
  <conditionalFormatting sqref="V236:V237">
    <cfRule type="expression" dxfId="14" priority="484">
      <formula>"if $G$4&gt;$C$1 and $H$4 is ""null"""</formula>
    </cfRule>
    <cfRule type="expression" dxfId="13" priority="483">
      <formula>"if $C$1&lt;"</formula>
    </cfRule>
    <cfRule type="cellIs" dxfId="12" priority="482" operator="equal">
      <formula>45443</formula>
    </cfRule>
  </conditionalFormatting>
  <conditionalFormatting sqref="X1:X16 Y3:AA16 X17:AA44 Y45:AA241 X45:X1048576">
    <cfRule type="containsText" dxfId="11" priority="63" operator="containsText" text="Follow-This week">
      <formula>NOT(ISERROR(SEARCH("Follow-This week",X1)))</formula>
    </cfRule>
    <cfRule type="containsText" dxfId="10" priority="61" operator="containsText" text="Overdue">
      <formula>NOT(ISERROR(SEARCH("Overdue",X1)))</formula>
    </cfRule>
    <cfRule type="containsText" dxfId="9" priority="64" operator="containsText" text="completed">
      <formula>NOT(ISERROR(SEARCH("completed",X1)))</formula>
    </cfRule>
    <cfRule type="containsText" dxfId="8" priority="62" operator="containsText" text="Follow-Next Week">
      <formula>NOT(ISERROR(SEARCH("Follow-Next Week",X1)))</formula>
    </cfRule>
  </conditionalFormatting>
  <conditionalFormatting sqref="P82">
    <cfRule type="expression" dxfId="5" priority="1">
      <formula>"if $C$1&lt;"</formula>
    </cfRule>
    <cfRule type="expression" dxfId="4" priority="2">
      <formula>"if $G$4&gt;$C$1 and $H$4 is ""null"""</formula>
    </cfRule>
    <cfRule type="cellIs" dxfId="3" priority="3" operator="equal">
      <formula>45443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05" t="s">
        <v>36</v>
      </c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7"/>
    </row>
    <row r="5" spans="1:97" ht="45" x14ac:dyDescent="0.35">
      <c r="B5" s="26"/>
      <c r="C5" s="206" t="s">
        <v>56</v>
      </c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7" priority="2">
      <formula>ISERROR(D12)</formula>
    </cfRule>
  </conditionalFormatting>
  <conditionalFormatting sqref="D20:CR20">
    <cfRule type="containsErrors" dxfId="6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0" t="s">
        <v>25</v>
      </c>
      <c r="E6" s="200" t="s">
        <v>26</v>
      </c>
      <c r="F6" s="202" t="s">
        <v>30</v>
      </c>
      <c r="G6" s="203"/>
      <c r="H6" s="203"/>
      <c r="I6" s="204"/>
      <c r="J6" s="202" t="s">
        <v>27</v>
      </c>
      <c r="K6" s="203"/>
      <c r="L6" s="203"/>
      <c r="M6" s="204"/>
      <c r="N6" s="202" t="s">
        <v>28</v>
      </c>
      <c r="O6" s="203"/>
      <c r="P6" s="203"/>
      <c r="Q6" s="204"/>
    </row>
    <row r="7" spans="1:17" ht="24.5" customHeight="1" thickBot="1" x14ac:dyDescent="0.4">
      <c r="D7" s="201"/>
      <c r="E7" s="201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2026-08-08T09:11:50Z</cp:lastPrinted>
  <dcterms:created xsi:type="dcterms:W3CDTF">2024-04-23T01:26:48Z</dcterms:created>
  <dcterms:modified xsi:type="dcterms:W3CDTF">2026-08-08T09:55:29Z</dcterms:modified>
</cp:coreProperties>
</file>